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enjamin.djian\Downloads\"/>
    </mc:Choice>
  </mc:AlternateContent>
  <xr:revisionPtr revIDLastSave="0" documentId="13_ncr:1_{9ADAA0F8-9BB5-4E40-AB7A-2C5375D6D6B5}" xr6:coauthVersionLast="47" xr6:coauthVersionMax="47" xr10:uidLastSave="{00000000-0000-0000-0000-000000000000}"/>
  <bookViews>
    <workbookView xWindow="28680" yWindow="-120" windowWidth="29040" windowHeight="17520" tabRatio="704" xr2:uid="{1D63BCF6-1282-4C28-A9B0-5BA9E19D3F13}"/>
  </bookViews>
  <sheets>
    <sheet name="Create" sheetId="3" r:id="rId1"/>
    <sheet name="Transfert to Runner" sheetId="12" r:id="rId2"/>
    <sheet name="Print" sheetId="11" r:id="rId3"/>
    <sheet name="Capture dilutions" sheetId="13" r:id="rId4"/>
    <sheet name="Detect Dilutions" sheetId="16" r:id="rId5"/>
    <sheet name="Standard Dilutions" sheetId="15" r:id="rId6"/>
  </sheets>
  <definedNames>
    <definedName name="solver_adj" localSheetId="3" hidden="1">'Capture dilutions'!#REF!</definedName>
    <definedName name="solver_adj" localSheetId="4" hidden="1">'Detect Dilutions'!#REF!</definedName>
    <definedName name="solver_adj" localSheetId="5" hidden="1">'Standard Dilutions'!#REF!</definedName>
    <definedName name="solver_cvg" localSheetId="3" hidden="1">0.0001</definedName>
    <definedName name="solver_cvg" localSheetId="4" hidden="1">0.0001</definedName>
    <definedName name="solver_cvg" localSheetId="5" hidden="1">0.0001</definedName>
    <definedName name="solver_drv" localSheetId="3" hidden="1">1</definedName>
    <definedName name="solver_drv" localSheetId="4" hidden="1">1</definedName>
    <definedName name="solver_drv" localSheetId="5" hidden="1">1</definedName>
    <definedName name="solver_eng" localSheetId="3" hidden="1">1</definedName>
    <definedName name="solver_eng" localSheetId="4" hidden="1">1</definedName>
    <definedName name="solver_eng" localSheetId="5" hidden="1">1</definedName>
    <definedName name="solver_est" localSheetId="3" hidden="1">1</definedName>
    <definedName name="solver_est" localSheetId="4" hidden="1">1</definedName>
    <definedName name="solver_est" localSheetId="5" hidden="1">1</definedName>
    <definedName name="solver_itr" localSheetId="3" hidden="1">2147483647</definedName>
    <definedName name="solver_itr" localSheetId="4" hidden="1">2147483647</definedName>
    <definedName name="solver_itr" localSheetId="5" hidden="1">2147483647</definedName>
    <definedName name="solver_lhs1" localSheetId="3" hidden="1">'Capture dilutions'!#REF!</definedName>
    <definedName name="solver_lhs1" localSheetId="4" hidden="1">'Detect Dilutions'!#REF!</definedName>
    <definedName name="solver_lhs1" localSheetId="5" hidden="1">'Standard Dilutions'!#REF!</definedName>
    <definedName name="solver_lhs2" localSheetId="3" hidden="1">'Capture dilutions'!#REF!</definedName>
    <definedName name="solver_lhs2" localSheetId="4" hidden="1">'Detect Dilutions'!#REF!</definedName>
    <definedName name="solver_lhs2" localSheetId="5" hidden="1">'Standard Dilutions'!#REF!</definedName>
    <definedName name="solver_mip" localSheetId="3" hidden="1">2147483647</definedName>
    <definedName name="solver_mip" localSheetId="4" hidden="1">2147483647</definedName>
    <definedName name="solver_mip" localSheetId="5" hidden="1">2147483647</definedName>
    <definedName name="solver_mni" localSheetId="3" hidden="1">30</definedName>
    <definedName name="solver_mni" localSheetId="4" hidden="1">30</definedName>
    <definedName name="solver_mni" localSheetId="5" hidden="1">30</definedName>
    <definedName name="solver_mrt" localSheetId="3" hidden="1">0.075</definedName>
    <definedName name="solver_mrt" localSheetId="4" hidden="1">0.075</definedName>
    <definedName name="solver_mrt" localSheetId="5" hidden="1">0.075</definedName>
    <definedName name="solver_msl" localSheetId="3" hidden="1">2</definedName>
    <definedName name="solver_msl" localSheetId="4" hidden="1">2</definedName>
    <definedName name="solver_msl" localSheetId="5" hidden="1">2</definedName>
    <definedName name="solver_neg" localSheetId="3" hidden="1">1</definedName>
    <definedName name="solver_neg" localSheetId="4" hidden="1">1</definedName>
    <definedName name="solver_neg" localSheetId="5" hidden="1">1</definedName>
    <definedName name="solver_nod" localSheetId="3" hidden="1">2147483647</definedName>
    <definedName name="solver_nod" localSheetId="4" hidden="1">2147483647</definedName>
    <definedName name="solver_nod" localSheetId="5" hidden="1">2147483647</definedName>
    <definedName name="solver_num" localSheetId="3" hidden="1">1</definedName>
    <definedName name="solver_num" localSheetId="4" hidden="1">1</definedName>
    <definedName name="solver_num" localSheetId="5" hidden="1">1</definedName>
    <definedName name="solver_nwt" localSheetId="3" hidden="1">1</definedName>
    <definedName name="solver_nwt" localSheetId="4" hidden="1">1</definedName>
    <definedName name="solver_nwt" localSheetId="5" hidden="1">1</definedName>
    <definedName name="solver_opt" localSheetId="3" hidden="1">'Capture dilutions'!#REF!</definedName>
    <definedName name="solver_opt" localSheetId="4" hidden="1">'Detect Dilutions'!#REF!</definedName>
    <definedName name="solver_opt" localSheetId="5" hidden="1">'Standard Dilutions'!#REF!</definedName>
    <definedName name="solver_pre" localSheetId="3" hidden="1">0.000001</definedName>
    <definedName name="solver_pre" localSheetId="4" hidden="1">0.000001</definedName>
    <definedName name="solver_pre" localSheetId="5" hidden="1">0.000001</definedName>
    <definedName name="solver_rbv" localSheetId="3" hidden="1">1</definedName>
    <definedName name="solver_rbv" localSheetId="4" hidden="1">1</definedName>
    <definedName name="solver_rbv" localSheetId="5" hidden="1">1</definedName>
    <definedName name="solver_rel1" localSheetId="3" hidden="1">4</definedName>
    <definedName name="solver_rel1" localSheetId="4" hidden="1">4</definedName>
    <definedName name="solver_rel1" localSheetId="5" hidden="1">4</definedName>
    <definedName name="solver_rel2" localSheetId="3" hidden="1">3</definedName>
    <definedName name="solver_rel2" localSheetId="4" hidden="1">3</definedName>
    <definedName name="solver_rel2" localSheetId="5" hidden="1">3</definedName>
    <definedName name="solver_rhs1" localSheetId="3" hidden="1">integer</definedName>
    <definedName name="solver_rhs1" localSheetId="4" hidden="1">integer</definedName>
    <definedName name="solver_rhs1" localSheetId="5" hidden="1">integer</definedName>
    <definedName name="solver_rhs2" localSheetId="3" hidden="1">30</definedName>
    <definedName name="solver_rhs2" localSheetId="4" hidden="1">30</definedName>
    <definedName name="solver_rhs2" localSheetId="5" hidden="1">30</definedName>
    <definedName name="solver_rlx" localSheetId="3" hidden="1">2</definedName>
    <definedName name="solver_rlx" localSheetId="4" hidden="1">2</definedName>
    <definedName name="solver_rlx" localSheetId="5" hidden="1">2</definedName>
    <definedName name="solver_rsd" localSheetId="3" hidden="1">0</definedName>
    <definedName name="solver_rsd" localSheetId="4" hidden="1">0</definedName>
    <definedName name="solver_rsd" localSheetId="5" hidden="1">0</definedName>
    <definedName name="solver_scl" localSheetId="3" hidden="1">1</definedName>
    <definedName name="solver_scl" localSheetId="4" hidden="1">1</definedName>
    <definedName name="solver_scl" localSheetId="5" hidden="1">1</definedName>
    <definedName name="solver_sho" localSheetId="3" hidden="1">2</definedName>
    <definedName name="solver_sho" localSheetId="4" hidden="1">2</definedName>
    <definedName name="solver_sho" localSheetId="5" hidden="1">2</definedName>
    <definedName name="solver_ssz" localSheetId="3" hidden="1">100</definedName>
    <definedName name="solver_ssz" localSheetId="4" hidden="1">100</definedName>
    <definedName name="solver_ssz" localSheetId="5" hidden="1">100</definedName>
    <definedName name="solver_tim" localSheetId="3" hidden="1">2147483647</definedName>
    <definedName name="solver_tim" localSheetId="4" hidden="1">2147483647</definedName>
    <definedName name="solver_tim" localSheetId="5" hidden="1">2147483647</definedName>
    <definedName name="solver_tol" localSheetId="3" hidden="1">0.01</definedName>
    <definedName name="solver_tol" localSheetId="4" hidden="1">0.01</definedName>
    <definedName name="solver_tol" localSheetId="5" hidden="1">0.01</definedName>
    <definedName name="solver_typ" localSheetId="3" hidden="1">3</definedName>
    <definedName name="solver_typ" localSheetId="4" hidden="1">3</definedName>
    <definedName name="solver_typ" localSheetId="5" hidden="1">3</definedName>
    <definedName name="solver_val" localSheetId="3" hidden="1">20</definedName>
    <definedName name="solver_val" localSheetId="4" hidden="1">20</definedName>
    <definedName name="solver_val" localSheetId="5" hidden="1">20</definedName>
    <definedName name="solver_ver" localSheetId="3" hidden="1">3</definedName>
    <definedName name="solver_ver" localSheetId="4" hidden="1">3</definedName>
    <definedName name="solver_ver" localSheetId="5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30" i="3" l="1"/>
  <c r="H7" i="3" l="1"/>
  <c r="AB4" i="3" s="1"/>
  <c r="G7" i="3"/>
  <c r="AA4" i="3" s="1"/>
  <c r="F7" i="3"/>
  <c r="Z4" i="3" s="1"/>
  <c r="E7" i="3"/>
  <c r="Y4" i="3" s="1"/>
  <c r="D7" i="3"/>
  <c r="X4" i="3" s="1"/>
  <c r="C7" i="3"/>
  <c r="W4" i="3" s="1"/>
  <c r="AF4" i="3"/>
  <c r="I7" i="3"/>
  <c r="AC4" i="3" s="1"/>
  <c r="N18" i="3"/>
  <c r="N23" i="3"/>
  <c r="F8" i="3" l="1"/>
  <c r="F10" i="3" s="1"/>
  <c r="D8" i="3"/>
  <c r="D10" i="3" s="1"/>
  <c r="C8" i="3"/>
  <c r="C10" i="3" s="1"/>
  <c r="E8" i="3"/>
  <c r="E10" i="3" s="1"/>
  <c r="C9" i="3"/>
  <c r="C11" i="3" s="1"/>
  <c r="G8" i="3"/>
  <c r="G10" i="3" s="1"/>
  <c r="H8" i="3"/>
  <c r="H10" i="3" s="1"/>
  <c r="I8" i="3"/>
  <c r="I10" i="3" s="1"/>
  <c r="F9" i="3"/>
  <c r="F11" i="3" s="1"/>
  <c r="G9" i="3"/>
  <c r="G11" i="3" s="1"/>
  <c r="H9" i="3"/>
  <c r="H11" i="3" s="1"/>
  <c r="I9" i="3"/>
  <c r="I11" i="3" s="1"/>
  <c r="E9" i="3"/>
  <c r="E11" i="3" s="1"/>
  <c r="D9" i="3"/>
  <c r="D11" i="3" s="1"/>
  <c r="K5" i="3"/>
  <c r="N28" i="3"/>
  <c r="D15" i="3"/>
  <c r="F15" i="3"/>
  <c r="G94" i="3"/>
  <c r="H94" i="3"/>
  <c r="G95" i="3"/>
  <c r="H95" i="3"/>
  <c r="G96" i="3"/>
  <c r="H96" i="3"/>
  <c r="G97" i="3"/>
  <c r="H97" i="3"/>
  <c r="G98" i="3"/>
  <c r="H98" i="3"/>
  <c r="G99" i="3"/>
  <c r="H99" i="3"/>
  <c r="C5" i="3"/>
  <c r="I16" i="3"/>
  <c r="I15" i="3"/>
  <c r="F94" i="3" l="1"/>
  <c r="I5" i="15"/>
  <c r="I5" i="16"/>
  <c r="I5" i="13"/>
  <c r="Q21" i="3"/>
  <c r="Q20" i="3"/>
  <c r="Q15" i="3"/>
  <c r="Q16" i="3" s="1"/>
  <c r="D94" i="3"/>
  <c r="Q14" i="3"/>
  <c r="R15" i="3"/>
  <c r="Q17" i="3" l="1"/>
  <c r="Q18" i="3" s="1"/>
  <c r="M17" i="3" s="1"/>
  <c r="F5" i="16"/>
  <c r="Z16" i="16" s="1"/>
  <c r="F187" i="16"/>
  <c r="F188" i="16" s="1"/>
  <c r="I154" i="16"/>
  <c r="B26" i="16"/>
  <c r="B6" i="16"/>
  <c r="F3" i="16"/>
  <c r="F5" i="13"/>
  <c r="U10" i="13" s="1"/>
  <c r="F3" i="15"/>
  <c r="B6" i="15"/>
  <c r="B26" i="15"/>
  <c r="I154" i="15"/>
  <c r="F187" i="15"/>
  <c r="F188" i="15" s="1"/>
  <c r="F3" i="13"/>
  <c r="B6" i="13"/>
  <c r="B26" i="13"/>
  <c r="I154" i="13"/>
  <c r="F187" i="13"/>
  <c r="F188" i="13" s="1"/>
  <c r="D16" i="3" l="1"/>
  <c r="D17" i="3" s="1"/>
  <c r="D18" i="3" s="1"/>
  <c r="D19" i="3" s="1"/>
  <c r="D20" i="3" s="1"/>
  <c r="K17" i="3"/>
  <c r="U11" i="13"/>
  <c r="AD16" i="13"/>
  <c r="X14" i="13"/>
  <c r="R12" i="13"/>
  <c r="N11" i="13"/>
  <c r="AB16" i="13"/>
  <c r="L12" i="13"/>
  <c r="M11" i="13"/>
  <c r="AB12" i="13"/>
  <c r="AD13" i="13"/>
  <c r="AD11" i="13"/>
  <c r="J11" i="13"/>
  <c r="X13" i="13"/>
  <c r="AC11" i="13"/>
  <c r="AC10" i="13"/>
  <c r="V16" i="13"/>
  <c r="Z15" i="13"/>
  <c r="Z11" i="13"/>
  <c r="AA10" i="13"/>
  <c r="V11" i="13"/>
  <c r="Z14" i="13"/>
  <c r="T12" i="13"/>
  <c r="R11" i="13"/>
  <c r="U10" i="16"/>
  <c r="J11" i="16"/>
  <c r="R11" i="16"/>
  <c r="Z11" i="16"/>
  <c r="L12" i="16"/>
  <c r="AB12" i="16"/>
  <c r="T13" i="16"/>
  <c r="AB14" i="16"/>
  <c r="T15" i="16"/>
  <c r="AB16" i="16"/>
  <c r="K11" i="16"/>
  <c r="AA11" i="16"/>
  <c r="AD12" i="16"/>
  <c r="L11" i="16"/>
  <c r="AB11" i="16"/>
  <c r="P12" i="16"/>
  <c r="X13" i="16"/>
  <c r="AA10" i="16"/>
  <c r="M11" i="16"/>
  <c r="U11" i="16"/>
  <c r="AC11" i="16"/>
  <c r="R12" i="16"/>
  <c r="Z13" i="16"/>
  <c r="Z15" i="16"/>
  <c r="AC10" i="16"/>
  <c r="N11" i="16"/>
  <c r="V11" i="16"/>
  <c r="AD11" i="16"/>
  <c r="T12" i="16"/>
  <c r="AB13" i="16"/>
  <c r="T14" i="16"/>
  <c r="AB15" i="16"/>
  <c r="T16" i="16"/>
  <c r="T17" i="16" s="1"/>
  <c r="W10" i="16"/>
  <c r="S11" i="16"/>
  <c r="N12" i="16"/>
  <c r="V13" i="16"/>
  <c r="AD14" i="16"/>
  <c r="V15" i="16"/>
  <c r="AD16" i="16"/>
  <c r="Y10" i="16"/>
  <c r="T11" i="16"/>
  <c r="X15" i="16"/>
  <c r="AE10" i="16"/>
  <c r="O11" i="16"/>
  <c r="W11" i="16"/>
  <c r="AE11" i="16"/>
  <c r="V12" i="16"/>
  <c r="AD13" i="16"/>
  <c r="V14" i="16"/>
  <c r="AD15" i="16"/>
  <c r="V16" i="16"/>
  <c r="H11" i="16"/>
  <c r="P11" i="16"/>
  <c r="X11" i="16"/>
  <c r="H12" i="16"/>
  <c r="X12" i="16"/>
  <c r="X14" i="16"/>
  <c r="X16" i="16"/>
  <c r="I11" i="16"/>
  <c r="Q11" i="16"/>
  <c r="Y11" i="16"/>
  <c r="J12" i="16"/>
  <c r="Z12" i="16"/>
  <c r="Z14" i="16"/>
  <c r="Z16" i="13"/>
  <c r="AD15" i="13"/>
  <c r="V14" i="13"/>
  <c r="AB13" i="13"/>
  <c r="P12" i="13"/>
  <c r="AB11" i="13"/>
  <c r="T11" i="13"/>
  <c r="L11" i="13"/>
  <c r="Y10" i="13"/>
  <c r="X16" i="13"/>
  <c r="AB15" i="13"/>
  <c r="T14" i="13"/>
  <c r="Z13" i="13"/>
  <c r="AD12" i="13"/>
  <c r="N12" i="13"/>
  <c r="AA11" i="13"/>
  <c r="S11" i="13"/>
  <c r="K11" i="13"/>
  <c r="W10" i="13"/>
  <c r="X15" i="13"/>
  <c r="V13" i="13"/>
  <c r="Z12" i="13"/>
  <c r="J12" i="13"/>
  <c r="Y11" i="13"/>
  <c r="Q11" i="13"/>
  <c r="I11" i="13"/>
  <c r="V15" i="13"/>
  <c r="AD14" i="13"/>
  <c r="T13" i="13"/>
  <c r="X12" i="13"/>
  <c r="H12" i="13"/>
  <c r="X11" i="13"/>
  <c r="P11" i="13"/>
  <c r="H11" i="13"/>
  <c r="T15" i="13"/>
  <c r="T16" i="13" s="1"/>
  <c r="T17" i="13" s="1"/>
  <c r="AB14" i="13"/>
  <c r="V12" i="13"/>
  <c r="AE11" i="13"/>
  <c r="W11" i="13"/>
  <c r="O11" i="13"/>
  <c r="AE10" i="13"/>
  <c r="F4" i="13" l="1"/>
  <c r="AD22" i="13" s="1"/>
  <c r="D95" i="3"/>
  <c r="AB22" i="13" l="1"/>
  <c r="X22" i="13"/>
  <c r="T22" i="13"/>
  <c r="Z22" i="13"/>
  <c r="D96" i="3"/>
  <c r="V22" i="13"/>
  <c r="D97" i="3" l="1"/>
  <c r="Q28" i="3"/>
  <c r="Q26" i="3"/>
  <c r="G3" i="13" l="1"/>
  <c r="D98" i="3"/>
  <c r="Q29" i="3"/>
  <c r="Q30" i="3" s="1"/>
  <c r="K27" i="3" s="1"/>
  <c r="D99" i="3" l="1"/>
  <c r="H3" i="13"/>
  <c r="H15" i="13"/>
  <c r="Q22" i="3"/>
  <c r="Q23" i="3" s="1"/>
  <c r="Q24" i="3" s="1"/>
  <c r="M22" i="3" s="1"/>
  <c r="C4" i="3"/>
  <c r="K22" i="3" l="1"/>
  <c r="F16" i="3"/>
  <c r="F17" i="3" s="1"/>
  <c r="F18" i="3" s="1"/>
  <c r="F19" i="3" s="1"/>
  <c r="F20" i="3" s="1"/>
  <c r="R15" i="13"/>
  <c r="R16" i="13" s="1"/>
  <c r="R17" i="13" s="1"/>
  <c r="P15" i="13"/>
  <c r="P16" i="13" s="1"/>
  <c r="P17" i="13" s="1"/>
  <c r="N15" i="13"/>
  <c r="N16" i="13" s="1"/>
  <c r="N17" i="13" s="1"/>
  <c r="L15" i="13"/>
  <c r="L16" i="13" s="1"/>
  <c r="L17" i="13" s="1"/>
  <c r="H16" i="13"/>
  <c r="H17" i="13" s="1"/>
  <c r="J15" i="13"/>
  <c r="J16" i="13" s="1"/>
  <c r="J17" i="13" s="1"/>
  <c r="F6" i="16"/>
  <c r="A6" i="3"/>
  <c r="F6" i="15"/>
  <c r="F6" i="13"/>
  <c r="E129" i="3"/>
  <c r="A16" i="3" a="1"/>
  <c r="A16" i="3" s="1"/>
  <c r="E95" i="3" s="1"/>
  <c r="A17" i="3" a="1"/>
  <c r="A17" i="3" s="1"/>
  <c r="E96" i="3" s="1"/>
  <c r="A18" i="3" a="1"/>
  <c r="A18" i="3" s="1"/>
  <c r="E97" i="3" s="1"/>
  <c r="A19" i="3" a="1"/>
  <c r="A19" i="3" s="1"/>
  <c r="E98" i="3" s="1"/>
  <c r="A20" i="3" a="1"/>
  <c r="A20" i="3" s="1"/>
  <c r="E99" i="3" s="1"/>
  <c r="A15" i="3" a="1"/>
  <c r="A15" i="3" s="1"/>
  <c r="E94" i="3" s="1"/>
  <c r="C95" i="3"/>
  <c r="C96" i="3"/>
  <c r="C97" i="3"/>
  <c r="C98" i="3"/>
  <c r="C99" i="3"/>
  <c r="C94" i="3"/>
  <c r="F4" i="16" l="1"/>
  <c r="V22" i="16" s="1"/>
  <c r="F95" i="3"/>
  <c r="F96" i="3"/>
  <c r="H23" i="15"/>
  <c r="H23" i="13"/>
  <c r="H22" i="13" s="1"/>
  <c r="J14" i="13"/>
  <c r="H23" i="16"/>
  <c r="J14" i="16"/>
  <c r="E137" i="3"/>
  <c r="E34" i="3" s="1"/>
  <c r="E176" i="3"/>
  <c r="E73" i="3" s="1"/>
  <c r="J46" i="12" s="1"/>
  <c r="E152" i="3"/>
  <c r="E49" i="3" s="1"/>
  <c r="E144" i="3"/>
  <c r="E41" i="3" s="1"/>
  <c r="E167" i="3"/>
  <c r="E64" i="3" s="1"/>
  <c r="J37" i="12" s="1"/>
  <c r="E159" i="3"/>
  <c r="E56" i="3" s="1"/>
  <c r="J29" i="12" s="1"/>
  <c r="E151" i="3"/>
  <c r="E48" i="3" s="1"/>
  <c r="E143" i="3"/>
  <c r="E40" i="3" s="1"/>
  <c r="E135" i="3"/>
  <c r="E32" i="3" s="1"/>
  <c r="E134" i="3"/>
  <c r="E31" i="3" s="1"/>
  <c r="E174" i="3"/>
  <c r="E71" i="3" s="1"/>
  <c r="J44" i="12" s="1"/>
  <c r="E166" i="3"/>
  <c r="E63" i="3" s="1"/>
  <c r="J36" i="12" s="1"/>
  <c r="E158" i="3"/>
  <c r="E55" i="3" s="1"/>
  <c r="J28" i="12" s="1"/>
  <c r="E150" i="3"/>
  <c r="E47" i="3" s="1"/>
  <c r="E142" i="3"/>
  <c r="E39" i="3" s="1"/>
  <c r="E181" i="3"/>
  <c r="E78" i="3" s="1"/>
  <c r="J51" i="12" s="1"/>
  <c r="E173" i="3"/>
  <c r="E70" i="3" s="1"/>
  <c r="J43" i="12" s="1"/>
  <c r="E165" i="3"/>
  <c r="E62" i="3" s="1"/>
  <c r="J35" i="12" s="1"/>
  <c r="E157" i="3"/>
  <c r="E54" i="3" s="1"/>
  <c r="E149" i="3"/>
  <c r="E46" i="3" s="1"/>
  <c r="E141" i="3"/>
  <c r="E38" i="3" s="1"/>
  <c r="E172" i="3"/>
  <c r="E69" i="3" s="1"/>
  <c r="J42" i="12" s="1"/>
  <c r="E148" i="3"/>
  <c r="E45" i="3" s="1"/>
  <c r="E179" i="3"/>
  <c r="E76" i="3" s="1"/>
  <c r="J49" i="12" s="1"/>
  <c r="E171" i="3"/>
  <c r="E68" i="3" s="1"/>
  <c r="J41" i="12" s="1"/>
  <c r="E163" i="3"/>
  <c r="E60" i="3" s="1"/>
  <c r="J33" i="12" s="1"/>
  <c r="E155" i="3"/>
  <c r="E52" i="3" s="1"/>
  <c r="E147" i="3"/>
  <c r="E44" i="3" s="1"/>
  <c r="E139" i="3"/>
  <c r="E36" i="3" s="1"/>
  <c r="E168" i="3"/>
  <c r="E65" i="3" s="1"/>
  <c r="J38" i="12" s="1"/>
  <c r="E160" i="3"/>
  <c r="E57" i="3" s="1"/>
  <c r="J30" i="12" s="1"/>
  <c r="E136" i="3"/>
  <c r="E33" i="3" s="1"/>
  <c r="E175" i="3"/>
  <c r="E72" i="3" s="1"/>
  <c r="J45" i="12" s="1"/>
  <c r="E180" i="3"/>
  <c r="E77" i="3" s="1"/>
  <c r="J50" i="12" s="1"/>
  <c r="E164" i="3"/>
  <c r="E61" i="3" s="1"/>
  <c r="J34" i="12" s="1"/>
  <c r="E156" i="3"/>
  <c r="E53" i="3" s="1"/>
  <c r="E140" i="3"/>
  <c r="E37" i="3" s="1"/>
  <c r="E178" i="3"/>
  <c r="E75" i="3" s="1"/>
  <c r="J48" i="12" s="1"/>
  <c r="E170" i="3"/>
  <c r="E67" i="3" s="1"/>
  <c r="J40" i="12" s="1"/>
  <c r="E162" i="3"/>
  <c r="E59" i="3" s="1"/>
  <c r="J32" i="12" s="1"/>
  <c r="E154" i="3"/>
  <c r="E51" i="3" s="1"/>
  <c r="E146" i="3"/>
  <c r="E43" i="3" s="1"/>
  <c r="E138" i="3"/>
  <c r="E35" i="3" s="1"/>
  <c r="E177" i="3"/>
  <c r="E74" i="3" s="1"/>
  <c r="J47" i="12" s="1"/>
  <c r="E169" i="3"/>
  <c r="E66" i="3" s="1"/>
  <c r="J39" i="12" s="1"/>
  <c r="E161" i="3"/>
  <c r="E58" i="3" s="1"/>
  <c r="J31" i="12" s="1"/>
  <c r="E153" i="3"/>
  <c r="E50" i="3" s="1"/>
  <c r="E145" i="3"/>
  <c r="E42" i="3" s="1"/>
  <c r="F98" i="3" l="1"/>
  <c r="AB22" i="16"/>
  <c r="AD22" i="16"/>
  <c r="X22" i="16"/>
  <c r="T22" i="16"/>
  <c r="H22" i="16"/>
  <c r="Z22" i="16"/>
  <c r="F10" i="13"/>
  <c r="H13" i="13" s="1"/>
  <c r="N14" i="16"/>
  <c r="N22" i="16" s="1"/>
  <c r="R14" i="16"/>
  <c r="R22" i="16" s="1"/>
  <c r="P14" i="16"/>
  <c r="P22" i="16" s="1"/>
  <c r="P14" i="13"/>
  <c r="P22" i="13" s="1"/>
  <c r="R14" i="13"/>
  <c r="R22" i="13" s="1"/>
  <c r="J22" i="13"/>
  <c r="I10" i="13" s="1"/>
  <c r="Q10" i="13" s="1"/>
  <c r="L14" i="13"/>
  <c r="L22" i="13" s="1"/>
  <c r="N14" i="13"/>
  <c r="N22" i="13" s="1"/>
  <c r="J22" i="16"/>
  <c r="L14" i="16"/>
  <c r="L22" i="16" s="1"/>
  <c r="T4" i="11"/>
  <c r="T13" i="11" a="1"/>
  <c r="V13" i="11" s="1"/>
  <c r="D30" i="3"/>
  <c r="F30" i="3"/>
  <c r="I30" i="3"/>
  <c r="F97" i="3" l="1"/>
  <c r="H14" i="13"/>
  <c r="F99" i="3"/>
  <c r="R13" i="13"/>
  <c r="K10" i="13"/>
  <c r="M10" i="13"/>
  <c r="N13" i="13" s="1"/>
  <c r="O10" i="13"/>
  <c r="P13" i="13" s="1"/>
  <c r="J13" i="13"/>
  <c r="J8" i="12"/>
  <c r="U13" i="11"/>
  <c r="T13" i="11"/>
  <c r="Y13" i="11"/>
  <c r="X13" i="11"/>
  <c r="W13" i="11"/>
  <c r="J5" i="12"/>
  <c r="J6" i="12"/>
  <c r="J7" i="12"/>
  <c r="J9" i="12"/>
  <c r="J10" i="12"/>
  <c r="J11" i="12"/>
  <c r="J12" i="12"/>
  <c r="J13" i="12"/>
  <c r="J14" i="12"/>
  <c r="J15" i="12"/>
  <c r="J16" i="12"/>
  <c r="J17" i="12"/>
  <c r="J18" i="12"/>
  <c r="J19" i="12"/>
  <c r="J20" i="12"/>
  <c r="J21" i="12"/>
  <c r="J22" i="12"/>
  <c r="J23" i="12"/>
  <c r="J24" i="12"/>
  <c r="J25" i="12"/>
  <c r="J26" i="12"/>
  <c r="J27" i="12"/>
  <c r="J4" i="12"/>
  <c r="G3" i="16" l="1"/>
  <c r="H3" i="16" s="1"/>
  <c r="L13" i="13"/>
  <c r="S10" i="13"/>
  <c r="B32" i="11" a="1"/>
  <c r="B32" i="11" s="1"/>
  <c r="B41" i="11" a="1"/>
  <c r="B41" i="11" s="1"/>
  <c r="B23" i="11" a="1"/>
  <c r="B23" i="11" s="1"/>
  <c r="B50" i="11" a="1"/>
  <c r="B50" i="11" s="1"/>
  <c r="B5" i="11" a="1"/>
  <c r="B5" i="11" s="1"/>
  <c r="B14" i="11" a="1"/>
  <c r="B14" i="11" s="1"/>
  <c r="K135" i="3"/>
  <c r="K136" i="3"/>
  <c r="K137" i="3"/>
  <c r="K138" i="3"/>
  <c r="K139" i="3"/>
  <c r="K140" i="3"/>
  <c r="K141" i="3"/>
  <c r="K142" i="3"/>
  <c r="K143" i="3"/>
  <c r="K144" i="3"/>
  <c r="K145" i="3"/>
  <c r="K146" i="3"/>
  <c r="K147" i="3"/>
  <c r="K148" i="3"/>
  <c r="K149" i="3"/>
  <c r="K150" i="3"/>
  <c r="K151" i="3"/>
  <c r="K152" i="3"/>
  <c r="K153" i="3"/>
  <c r="K154" i="3"/>
  <c r="K155" i="3"/>
  <c r="K156" i="3"/>
  <c r="K157" i="3"/>
  <c r="K158" i="3"/>
  <c r="K159" i="3"/>
  <c r="K160" i="3"/>
  <c r="K161" i="3"/>
  <c r="K162" i="3"/>
  <c r="K163" i="3"/>
  <c r="K164" i="3"/>
  <c r="K165" i="3"/>
  <c r="K166" i="3"/>
  <c r="K167" i="3"/>
  <c r="K168" i="3"/>
  <c r="K169" i="3"/>
  <c r="K170" i="3"/>
  <c r="K171" i="3"/>
  <c r="K172" i="3"/>
  <c r="K173" i="3"/>
  <c r="K174" i="3"/>
  <c r="K175" i="3"/>
  <c r="K176" i="3"/>
  <c r="K177" i="3"/>
  <c r="K178" i="3"/>
  <c r="K179" i="3"/>
  <c r="K180" i="3"/>
  <c r="K181" i="3"/>
  <c r="K134" i="3"/>
  <c r="H15" i="16" l="1"/>
  <c r="N15" i="16" l="1"/>
  <c r="N16" i="16" s="1"/>
  <c r="N17" i="16" s="1"/>
  <c r="R15" i="16"/>
  <c r="R16" i="16" s="1"/>
  <c r="R17" i="16" s="1"/>
  <c r="P15" i="16"/>
  <c r="P16" i="16" s="1"/>
  <c r="P17" i="16" s="1"/>
  <c r="H16" i="16"/>
  <c r="H17" i="16" s="1"/>
  <c r="J15" i="16"/>
  <c r="L15" i="16"/>
  <c r="L16" i="16" s="1"/>
  <c r="L17" i="16" s="1"/>
  <c r="F10" i="16" l="1"/>
  <c r="H13" i="16" s="1"/>
  <c r="J16" i="16"/>
  <c r="J17" i="16" s="1"/>
  <c r="I10" i="16"/>
  <c r="O10" i="16" s="1"/>
  <c r="P13" i="16" s="1"/>
  <c r="I12" i="3"/>
  <c r="Q10" i="16" l="1"/>
  <c r="R13" i="16" s="1"/>
  <c r="H14" i="16"/>
  <c r="M10" i="16"/>
  <c r="N13" i="16" s="1"/>
  <c r="K10" i="16"/>
  <c r="J13" i="16"/>
  <c r="U5" i="3"/>
  <c r="V5" i="3" s="1"/>
  <c r="L13" i="16" l="1"/>
  <c r="S10" i="16"/>
  <c r="C12" i="3"/>
  <c r="D12" i="3"/>
  <c r="E12" i="3"/>
  <c r="F12" i="3"/>
  <c r="G12" i="3"/>
  <c r="H12" i="3"/>
  <c r="J12" i="3" l="1"/>
  <c r="D13" i="3" s="1"/>
  <c r="F13" i="3" l="1"/>
  <c r="AT5" i="3" s="1"/>
  <c r="E13" i="3"/>
  <c r="G13" i="3"/>
  <c r="H13" i="3"/>
  <c r="C13" i="3"/>
  <c r="I13" i="3"/>
  <c r="J5" i="3"/>
  <c r="J11" i="3" l="1"/>
  <c r="T18" i="11" l="1" a="1"/>
  <c r="U18" i="11" s="1"/>
  <c r="T17" i="11" a="1"/>
  <c r="U17" i="11" s="1"/>
  <c r="T16" i="11" a="1"/>
  <c r="T16" i="11" s="1"/>
  <c r="T15" i="11" a="1"/>
  <c r="V15" i="11" s="1"/>
  <c r="T14" i="11" a="1"/>
  <c r="U14" i="11" s="1"/>
  <c r="W18" i="11" l="1"/>
  <c r="V18" i="11"/>
  <c r="T18" i="11"/>
  <c r="Y18" i="11"/>
  <c r="X18" i="11"/>
  <c r="W17" i="11"/>
  <c r="V17" i="11"/>
  <c r="T17" i="11"/>
  <c r="Y17" i="11"/>
  <c r="X17" i="11"/>
  <c r="Y16" i="11"/>
  <c r="X16" i="11"/>
  <c r="W16" i="11"/>
  <c r="V16" i="11"/>
  <c r="U16" i="11"/>
  <c r="U15" i="11"/>
  <c r="T15" i="11"/>
  <c r="Y15" i="11"/>
  <c r="X15" i="11"/>
  <c r="W15" i="11"/>
  <c r="T14" i="11"/>
  <c r="Y14" i="11"/>
  <c r="X14" i="11"/>
  <c r="W14" i="11"/>
  <c r="V14" i="11"/>
  <c r="H181" i="3" l="1"/>
  <c r="H78" i="3" s="1"/>
  <c r="C51" i="12" s="1"/>
  <c r="H180" i="3"/>
  <c r="H77" i="3" s="1"/>
  <c r="C50" i="12" s="1"/>
  <c r="H179" i="3"/>
  <c r="H76" i="3" s="1"/>
  <c r="C49" i="12" s="1"/>
  <c r="H178" i="3"/>
  <c r="H75" i="3" s="1"/>
  <c r="C48" i="12" s="1"/>
  <c r="H177" i="3"/>
  <c r="H74" i="3" s="1"/>
  <c r="C47" i="12" s="1"/>
  <c r="H176" i="3"/>
  <c r="H73" i="3" s="1"/>
  <c r="C46" i="12" s="1"/>
  <c r="H175" i="3"/>
  <c r="H72" i="3" s="1"/>
  <c r="C45" i="12" s="1"/>
  <c r="H174" i="3"/>
  <c r="H71" i="3" s="1"/>
  <c r="C44" i="12" s="1"/>
  <c r="H173" i="3"/>
  <c r="H70" i="3" s="1"/>
  <c r="C43" i="12" s="1"/>
  <c r="H172" i="3"/>
  <c r="H69" i="3" s="1"/>
  <c r="C42" i="12" s="1"/>
  <c r="H171" i="3"/>
  <c r="H68" i="3" s="1"/>
  <c r="C41" i="12" s="1"/>
  <c r="H170" i="3"/>
  <c r="H67" i="3" s="1"/>
  <c r="C40" i="12" s="1"/>
  <c r="H169" i="3"/>
  <c r="H66" i="3" s="1"/>
  <c r="C39" i="12" s="1"/>
  <c r="H168" i="3"/>
  <c r="H65" i="3" s="1"/>
  <c r="C38" i="12" s="1"/>
  <c r="H167" i="3"/>
  <c r="H64" i="3" s="1"/>
  <c r="C37" i="12" s="1"/>
  <c r="H166" i="3"/>
  <c r="H63" i="3" s="1"/>
  <c r="C36" i="12" s="1"/>
  <c r="H165" i="3"/>
  <c r="H62" i="3" s="1"/>
  <c r="C35" i="12" s="1"/>
  <c r="H164" i="3"/>
  <c r="H61" i="3" s="1"/>
  <c r="C34" i="12" s="1"/>
  <c r="H163" i="3"/>
  <c r="H60" i="3" s="1"/>
  <c r="C33" i="12" s="1"/>
  <c r="H162" i="3"/>
  <c r="H59" i="3" s="1"/>
  <c r="C32" i="12" s="1"/>
  <c r="H161" i="3"/>
  <c r="H58" i="3" s="1"/>
  <c r="C31" i="12" s="1"/>
  <c r="H160" i="3"/>
  <c r="H57" i="3" s="1"/>
  <c r="C30" i="12" s="1"/>
  <c r="H159" i="3"/>
  <c r="H56" i="3" s="1"/>
  <c r="C29" i="12" s="1"/>
  <c r="H158" i="3"/>
  <c r="H55" i="3" s="1"/>
  <c r="C28" i="12" s="1"/>
  <c r="H157" i="3"/>
  <c r="H54" i="3" s="1"/>
  <c r="C27" i="12" s="1"/>
  <c r="H156" i="3"/>
  <c r="H53" i="3" s="1"/>
  <c r="C26" i="12" s="1"/>
  <c r="H155" i="3"/>
  <c r="H52" i="3" s="1"/>
  <c r="C25" i="12" s="1"/>
  <c r="H154" i="3"/>
  <c r="H51" i="3" s="1"/>
  <c r="C24" i="12" s="1"/>
  <c r="H153" i="3"/>
  <c r="H50" i="3" s="1"/>
  <c r="C23" i="12" s="1"/>
  <c r="H152" i="3"/>
  <c r="H49" i="3" s="1"/>
  <c r="C22" i="12" s="1"/>
  <c r="H151" i="3"/>
  <c r="H48" i="3" s="1"/>
  <c r="C21" i="12" s="1"/>
  <c r="H150" i="3"/>
  <c r="H47" i="3" s="1"/>
  <c r="C20" i="12" s="1"/>
  <c r="H149" i="3"/>
  <c r="H46" i="3" s="1"/>
  <c r="C19" i="12" s="1"/>
  <c r="H148" i="3"/>
  <c r="H45" i="3" s="1"/>
  <c r="C18" i="12" s="1"/>
  <c r="H147" i="3"/>
  <c r="H44" i="3" s="1"/>
  <c r="C17" i="12" s="1"/>
  <c r="H146" i="3"/>
  <c r="H43" i="3" s="1"/>
  <c r="C16" i="12" s="1"/>
  <c r="H145" i="3"/>
  <c r="H42" i="3" s="1"/>
  <c r="C15" i="12" s="1"/>
  <c r="H144" i="3"/>
  <c r="H41" i="3" s="1"/>
  <c r="C14" i="12" s="1"/>
  <c r="H143" i="3"/>
  <c r="H40" i="3" s="1"/>
  <c r="C13" i="12" s="1"/>
  <c r="H142" i="3"/>
  <c r="H39" i="3" s="1"/>
  <c r="C12" i="12" s="1"/>
  <c r="H141" i="3"/>
  <c r="H38" i="3" s="1"/>
  <c r="C11" i="12" s="1"/>
  <c r="H140" i="3"/>
  <c r="H37" i="3" s="1"/>
  <c r="C10" i="12" s="1"/>
  <c r="H139" i="3"/>
  <c r="H36" i="3" s="1"/>
  <c r="C9" i="12" s="1"/>
  <c r="H138" i="3"/>
  <c r="H35" i="3" s="1"/>
  <c r="C8" i="12" s="1"/>
  <c r="H137" i="3"/>
  <c r="H34" i="3" s="1"/>
  <c r="C7" i="12" s="1"/>
  <c r="H136" i="3"/>
  <c r="H33" i="3" s="1"/>
  <c r="C6" i="12" s="1"/>
  <c r="H135" i="3"/>
  <c r="H32" i="3" s="1"/>
  <c r="C5" i="12" s="1"/>
  <c r="H134" i="3"/>
  <c r="H31" i="3" s="1"/>
  <c r="C4" i="12" s="1"/>
  <c r="B35" i="11" l="1" a="1"/>
  <c r="B35" i="11" s="1"/>
  <c r="B26" i="11" a="1"/>
  <c r="B26" i="11" s="1"/>
  <c r="B44" i="11" a="1"/>
  <c r="B44" i="11" s="1"/>
  <c r="B8" i="11" a="1"/>
  <c r="B8" i="11" s="1"/>
  <c r="B17" i="11" a="1"/>
  <c r="B17" i="11" s="1"/>
  <c r="B53" i="11" a="1"/>
  <c r="B53" i="11" s="1"/>
  <c r="D134" i="3"/>
  <c r="D31" i="3" s="1"/>
  <c r="F134" i="3"/>
  <c r="F31" i="3" s="1"/>
  <c r="G134" i="3"/>
  <c r="G31" i="3" s="1"/>
  <c r="L4" i="12" s="1"/>
  <c r="I134" i="3"/>
  <c r="D135" i="3"/>
  <c r="F135" i="3"/>
  <c r="G135" i="3"/>
  <c r="G32" i="3" s="1"/>
  <c r="L5" i="12" s="1"/>
  <c r="I135" i="3"/>
  <c r="D136" i="3"/>
  <c r="F136" i="3"/>
  <c r="G136" i="3"/>
  <c r="G33" i="3" s="1"/>
  <c r="L6" i="12" s="1"/>
  <c r="I136" i="3"/>
  <c r="D137" i="3"/>
  <c r="F137" i="3"/>
  <c r="G137" i="3"/>
  <c r="G34" i="3" s="1"/>
  <c r="L7" i="12" s="1"/>
  <c r="I137" i="3"/>
  <c r="D138" i="3"/>
  <c r="F138" i="3"/>
  <c r="G138" i="3"/>
  <c r="G35" i="3" s="1"/>
  <c r="L8" i="12" s="1"/>
  <c r="I138" i="3"/>
  <c r="D139" i="3"/>
  <c r="F139" i="3"/>
  <c r="G139" i="3"/>
  <c r="G36" i="3" s="1"/>
  <c r="L9" i="12" s="1"/>
  <c r="I139" i="3"/>
  <c r="D140" i="3"/>
  <c r="F140" i="3"/>
  <c r="G140" i="3"/>
  <c r="G37" i="3" s="1"/>
  <c r="L10" i="12" s="1"/>
  <c r="I140" i="3"/>
  <c r="D141" i="3"/>
  <c r="F141" i="3"/>
  <c r="G141" i="3"/>
  <c r="G38" i="3" s="1"/>
  <c r="L11" i="12" s="1"/>
  <c r="I141" i="3"/>
  <c r="D142" i="3"/>
  <c r="F142" i="3"/>
  <c r="G142" i="3"/>
  <c r="G39" i="3" s="1"/>
  <c r="L12" i="12" s="1"/>
  <c r="I142" i="3"/>
  <c r="D143" i="3"/>
  <c r="F143" i="3"/>
  <c r="G143" i="3"/>
  <c r="G40" i="3" s="1"/>
  <c r="L13" i="12" s="1"/>
  <c r="I143" i="3"/>
  <c r="D144" i="3"/>
  <c r="F144" i="3"/>
  <c r="G144" i="3"/>
  <c r="G41" i="3" s="1"/>
  <c r="L14" i="12" s="1"/>
  <c r="I144" i="3"/>
  <c r="D145" i="3"/>
  <c r="F145" i="3"/>
  <c r="G145" i="3"/>
  <c r="G42" i="3" s="1"/>
  <c r="L15" i="12" s="1"/>
  <c r="I145" i="3"/>
  <c r="D146" i="3"/>
  <c r="F146" i="3"/>
  <c r="G146" i="3"/>
  <c r="G43" i="3" s="1"/>
  <c r="L16" i="12" s="1"/>
  <c r="I146" i="3"/>
  <c r="D147" i="3"/>
  <c r="F147" i="3"/>
  <c r="G147" i="3"/>
  <c r="G44" i="3" s="1"/>
  <c r="L17" i="12" s="1"/>
  <c r="I147" i="3"/>
  <c r="D148" i="3"/>
  <c r="F148" i="3"/>
  <c r="G148" i="3"/>
  <c r="G45" i="3" s="1"/>
  <c r="L18" i="12" s="1"/>
  <c r="I148" i="3"/>
  <c r="D149" i="3"/>
  <c r="F149" i="3"/>
  <c r="G149" i="3"/>
  <c r="G46" i="3" s="1"/>
  <c r="L19" i="12" s="1"/>
  <c r="I149" i="3"/>
  <c r="D150" i="3"/>
  <c r="F150" i="3"/>
  <c r="G150" i="3"/>
  <c r="G47" i="3" s="1"/>
  <c r="L20" i="12" s="1"/>
  <c r="I150" i="3"/>
  <c r="D151" i="3"/>
  <c r="F151" i="3"/>
  <c r="G151" i="3"/>
  <c r="G48" i="3" s="1"/>
  <c r="L21" i="12" s="1"/>
  <c r="I151" i="3"/>
  <c r="D152" i="3"/>
  <c r="F152" i="3"/>
  <c r="G152" i="3"/>
  <c r="G49" i="3" s="1"/>
  <c r="L22" i="12" s="1"/>
  <c r="I152" i="3"/>
  <c r="D153" i="3"/>
  <c r="F153" i="3"/>
  <c r="G153" i="3"/>
  <c r="G50" i="3" s="1"/>
  <c r="L23" i="12" s="1"/>
  <c r="I153" i="3"/>
  <c r="D154" i="3"/>
  <c r="F154" i="3"/>
  <c r="G154" i="3"/>
  <c r="G51" i="3" s="1"/>
  <c r="L24" i="12" s="1"/>
  <c r="I154" i="3"/>
  <c r="D155" i="3"/>
  <c r="F155" i="3"/>
  <c r="G155" i="3"/>
  <c r="G52" i="3" s="1"/>
  <c r="L25" i="12" s="1"/>
  <c r="I155" i="3"/>
  <c r="D156" i="3"/>
  <c r="F156" i="3"/>
  <c r="G156" i="3"/>
  <c r="G53" i="3" s="1"/>
  <c r="L26" i="12" s="1"/>
  <c r="I156" i="3"/>
  <c r="D157" i="3"/>
  <c r="F157" i="3"/>
  <c r="G157" i="3"/>
  <c r="G54" i="3" s="1"/>
  <c r="L27" i="12" s="1"/>
  <c r="I157" i="3"/>
  <c r="D158" i="3"/>
  <c r="F158" i="3"/>
  <c r="G158" i="3"/>
  <c r="G55" i="3" s="1"/>
  <c r="L28" i="12" s="1"/>
  <c r="I158" i="3"/>
  <c r="D159" i="3"/>
  <c r="D56" i="3" s="1"/>
  <c r="I29" i="12" s="1"/>
  <c r="F159" i="3"/>
  <c r="F56" i="3" s="1"/>
  <c r="K29" i="12" s="1"/>
  <c r="G159" i="3"/>
  <c r="I159" i="3"/>
  <c r="D160" i="3"/>
  <c r="D57" i="3" s="1"/>
  <c r="I30" i="12" s="1"/>
  <c r="F160" i="3"/>
  <c r="F57" i="3" s="1"/>
  <c r="K30" i="12" s="1"/>
  <c r="G160" i="3"/>
  <c r="I160" i="3"/>
  <c r="D161" i="3"/>
  <c r="D58" i="3" s="1"/>
  <c r="I31" i="12" s="1"/>
  <c r="F161" i="3"/>
  <c r="F58" i="3" s="1"/>
  <c r="K31" i="12" s="1"/>
  <c r="G161" i="3"/>
  <c r="I161" i="3"/>
  <c r="D162" i="3"/>
  <c r="D59" i="3" s="1"/>
  <c r="I32" i="12" s="1"/>
  <c r="F162" i="3"/>
  <c r="F59" i="3" s="1"/>
  <c r="K32" i="12" s="1"/>
  <c r="G162" i="3"/>
  <c r="I162" i="3"/>
  <c r="D163" i="3"/>
  <c r="D60" i="3" s="1"/>
  <c r="I33" i="12" s="1"/>
  <c r="F163" i="3"/>
  <c r="F60" i="3" s="1"/>
  <c r="K33" i="12" s="1"/>
  <c r="G163" i="3"/>
  <c r="I163" i="3"/>
  <c r="D164" i="3"/>
  <c r="D61" i="3" s="1"/>
  <c r="I34" i="12" s="1"/>
  <c r="F164" i="3"/>
  <c r="F61" i="3" s="1"/>
  <c r="K34" i="12" s="1"/>
  <c r="G164" i="3"/>
  <c r="I164" i="3"/>
  <c r="D165" i="3"/>
  <c r="D62" i="3" s="1"/>
  <c r="I35" i="12" s="1"/>
  <c r="F165" i="3"/>
  <c r="F62" i="3" s="1"/>
  <c r="K35" i="12" s="1"/>
  <c r="G165" i="3"/>
  <c r="I165" i="3"/>
  <c r="D166" i="3"/>
  <c r="F166" i="3"/>
  <c r="G166" i="3"/>
  <c r="G63" i="3" s="1"/>
  <c r="L36" i="12" s="1"/>
  <c r="I166" i="3"/>
  <c r="D167" i="3"/>
  <c r="D64" i="3" s="1"/>
  <c r="I37" i="12" s="1"/>
  <c r="F167" i="3"/>
  <c r="F64" i="3" s="1"/>
  <c r="K37" i="12" s="1"/>
  <c r="G167" i="3"/>
  <c r="I167" i="3"/>
  <c r="D168" i="3"/>
  <c r="D65" i="3" s="1"/>
  <c r="I38" i="12" s="1"/>
  <c r="F168" i="3"/>
  <c r="F65" i="3" s="1"/>
  <c r="K38" i="12" s="1"/>
  <c r="G168" i="3"/>
  <c r="I168" i="3"/>
  <c r="D169" i="3"/>
  <c r="D66" i="3" s="1"/>
  <c r="I39" i="12" s="1"/>
  <c r="F169" i="3"/>
  <c r="F66" i="3" s="1"/>
  <c r="K39" i="12" s="1"/>
  <c r="G169" i="3"/>
  <c r="I169" i="3"/>
  <c r="D170" i="3"/>
  <c r="D67" i="3" s="1"/>
  <c r="I40" i="12" s="1"/>
  <c r="F170" i="3"/>
  <c r="F67" i="3" s="1"/>
  <c r="K40" i="12" s="1"/>
  <c r="G170" i="3"/>
  <c r="I170" i="3"/>
  <c r="D171" i="3"/>
  <c r="D68" i="3" s="1"/>
  <c r="I41" i="12" s="1"/>
  <c r="F171" i="3"/>
  <c r="F68" i="3" s="1"/>
  <c r="K41" i="12" s="1"/>
  <c r="G171" i="3"/>
  <c r="I171" i="3"/>
  <c r="D172" i="3"/>
  <c r="D69" i="3" s="1"/>
  <c r="I42" i="12" s="1"/>
  <c r="F172" i="3"/>
  <c r="F69" i="3" s="1"/>
  <c r="K42" i="12" s="1"/>
  <c r="G172" i="3"/>
  <c r="I172" i="3"/>
  <c r="D173" i="3"/>
  <c r="D70" i="3" s="1"/>
  <c r="I43" i="12" s="1"/>
  <c r="F173" i="3"/>
  <c r="F70" i="3" s="1"/>
  <c r="K43" i="12" s="1"/>
  <c r="G173" i="3"/>
  <c r="I173" i="3"/>
  <c r="D174" i="3"/>
  <c r="F174" i="3"/>
  <c r="G174" i="3"/>
  <c r="G71" i="3" s="1"/>
  <c r="L44" i="12" s="1"/>
  <c r="I174" i="3"/>
  <c r="D175" i="3"/>
  <c r="D72" i="3" s="1"/>
  <c r="I45" i="12" s="1"/>
  <c r="F175" i="3"/>
  <c r="F72" i="3" s="1"/>
  <c r="K45" i="12" s="1"/>
  <c r="G175" i="3"/>
  <c r="I175" i="3"/>
  <c r="D176" i="3"/>
  <c r="D73" i="3" s="1"/>
  <c r="I46" i="12" s="1"/>
  <c r="F176" i="3"/>
  <c r="F73" i="3" s="1"/>
  <c r="K46" i="12" s="1"/>
  <c r="G176" i="3"/>
  <c r="I176" i="3"/>
  <c r="D177" i="3"/>
  <c r="D74" i="3" s="1"/>
  <c r="I47" i="12" s="1"/>
  <c r="F177" i="3"/>
  <c r="F74" i="3" s="1"/>
  <c r="K47" i="12" s="1"/>
  <c r="G177" i="3"/>
  <c r="I177" i="3"/>
  <c r="D178" i="3"/>
  <c r="D75" i="3" s="1"/>
  <c r="I48" i="12" s="1"/>
  <c r="F178" i="3"/>
  <c r="F75" i="3" s="1"/>
  <c r="K48" i="12" s="1"/>
  <c r="G178" i="3"/>
  <c r="I178" i="3"/>
  <c r="D179" i="3"/>
  <c r="D76" i="3" s="1"/>
  <c r="I49" i="12" s="1"/>
  <c r="F179" i="3"/>
  <c r="F76" i="3" s="1"/>
  <c r="K49" i="12" s="1"/>
  <c r="G179" i="3"/>
  <c r="I179" i="3"/>
  <c r="D180" i="3"/>
  <c r="D77" i="3" s="1"/>
  <c r="I50" i="12" s="1"/>
  <c r="F180" i="3"/>
  <c r="F77" i="3" s="1"/>
  <c r="K50" i="12" s="1"/>
  <c r="G180" i="3"/>
  <c r="I180" i="3"/>
  <c r="D181" i="3"/>
  <c r="D78" i="3" s="1"/>
  <c r="I51" i="12" s="1"/>
  <c r="F181" i="3"/>
  <c r="F78" i="3" s="1"/>
  <c r="K51" i="12" s="1"/>
  <c r="G181" i="3"/>
  <c r="I181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56" i="3" s="1"/>
  <c r="H29" i="12" s="1"/>
  <c r="C160" i="3"/>
  <c r="C57" i="3" s="1"/>
  <c r="H30" i="12" s="1"/>
  <c r="C161" i="3"/>
  <c r="C58" i="3" s="1"/>
  <c r="H31" i="12" s="1"/>
  <c r="C162" i="3"/>
  <c r="C59" i="3" s="1"/>
  <c r="H32" i="12" s="1"/>
  <c r="C163" i="3"/>
  <c r="C60" i="3" s="1"/>
  <c r="H33" i="12" s="1"/>
  <c r="C164" i="3"/>
  <c r="C61" i="3" s="1"/>
  <c r="H34" i="12" s="1"/>
  <c r="C165" i="3"/>
  <c r="C62" i="3" s="1"/>
  <c r="H35" i="12" s="1"/>
  <c r="C166" i="3"/>
  <c r="C167" i="3"/>
  <c r="C64" i="3" s="1"/>
  <c r="H37" i="12" s="1"/>
  <c r="C168" i="3"/>
  <c r="C65" i="3" s="1"/>
  <c r="H38" i="12" s="1"/>
  <c r="C169" i="3"/>
  <c r="C66" i="3" s="1"/>
  <c r="H39" i="12" s="1"/>
  <c r="C170" i="3"/>
  <c r="C67" i="3" s="1"/>
  <c r="H40" i="12" s="1"/>
  <c r="C171" i="3"/>
  <c r="C68" i="3" s="1"/>
  <c r="H41" i="12" s="1"/>
  <c r="C172" i="3"/>
  <c r="C69" i="3" s="1"/>
  <c r="H42" i="12" s="1"/>
  <c r="C173" i="3"/>
  <c r="C70" i="3" s="1"/>
  <c r="H43" i="12" s="1"/>
  <c r="C174" i="3"/>
  <c r="C175" i="3"/>
  <c r="C72" i="3" s="1"/>
  <c r="H45" i="12" s="1"/>
  <c r="C176" i="3"/>
  <c r="C73" i="3" s="1"/>
  <c r="H46" i="12" s="1"/>
  <c r="C177" i="3"/>
  <c r="C74" i="3" s="1"/>
  <c r="H47" i="12" s="1"/>
  <c r="C178" i="3"/>
  <c r="C75" i="3" s="1"/>
  <c r="H48" i="12" s="1"/>
  <c r="C179" i="3"/>
  <c r="C76" i="3" s="1"/>
  <c r="H49" i="12" s="1"/>
  <c r="C180" i="3"/>
  <c r="C77" i="3" s="1"/>
  <c r="H50" i="12" s="1"/>
  <c r="C181" i="3"/>
  <c r="C78" i="3" s="1"/>
  <c r="H51" i="12" s="1"/>
  <c r="C134" i="3"/>
  <c r="F51" i="3" l="1"/>
  <c r="K24" i="12" s="1"/>
  <c r="F53" i="3"/>
  <c r="K26" i="12" s="1"/>
  <c r="F71" i="3"/>
  <c r="K44" i="12" s="1"/>
  <c r="F52" i="3"/>
  <c r="K25" i="12" s="1"/>
  <c r="F48" i="3"/>
  <c r="K21" i="12" s="1"/>
  <c r="F40" i="3"/>
  <c r="K13" i="12" s="1"/>
  <c r="F32" i="3"/>
  <c r="K5" i="12" s="1"/>
  <c r="F46" i="3"/>
  <c r="K19" i="12" s="1"/>
  <c r="F50" i="3"/>
  <c r="K23" i="12" s="1"/>
  <c r="F42" i="3"/>
  <c r="K15" i="12" s="1"/>
  <c r="F38" i="3"/>
  <c r="K11" i="12" s="1"/>
  <c r="F34" i="3"/>
  <c r="K7" i="12" s="1"/>
  <c r="F54" i="3"/>
  <c r="K27" i="12" s="1"/>
  <c r="F44" i="3"/>
  <c r="K17" i="12" s="1"/>
  <c r="F36" i="3"/>
  <c r="K9" i="12" s="1"/>
  <c r="F63" i="3"/>
  <c r="K36" i="12" s="1"/>
  <c r="F55" i="3"/>
  <c r="K28" i="12" s="1"/>
  <c r="F49" i="3"/>
  <c r="K22" i="12" s="1"/>
  <c r="F47" i="3"/>
  <c r="K20" i="12" s="1"/>
  <c r="F45" i="3"/>
  <c r="K18" i="12" s="1"/>
  <c r="F43" i="3"/>
  <c r="K16" i="12" s="1"/>
  <c r="F41" i="3"/>
  <c r="K14" i="12" s="1"/>
  <c r="F39" i="3"/>
  <c r="K12" i="12" s="1"/>
  <c r="F37" i="3"/>
  <c r="K10" i="12" s="1"/>
  <c r="F35" i="3"/>
  <c r="K8" i="12" s="1"/>
  <c r="F33" i="3"/>
  <c r="K6" i="12" s="1"/>
  <c r="D55" i="3"/>
  <c r="I28" i="12" s="1"/>
  <c r="D53" i="3"/>
  <c r="I26" i="12" s="1"/>
  <c r="D51" i="3"/>
  <c r="I24" i="12" s="1"/>
  <c r="D49" i="3"/>
  <c r="I22" i="12" s="1"/>
  <c r="D47" i="3"/>
  <c r="I20" i="12" s="1"/>
  <c r="D45" i="3"/>
  <c r="I18" i="12" s="1"/>
  <c r="D43" i="3"/>
  <c r="I16" i="12" s="1"/>
  <c r="D41" i="3"/>
  <c r="I14" i="12" s="1"/>
  <c r="D39" i="3"/>
  <c r="I12" i="12" s="1"/>
  <c r="D37" i="3"/>
  <c r="I10" i="12" s="1"/>
  <c r="D35" i="3"/>
  <c r="I8" i="12" s="1"/>
  <c r="D33" i="3"/>
  <c r="I6" i="12" s="1"/>
  <c r="D71" i="3"/>
  <c r="I44" i="12" s="1"/>
  <c r="D46" i="3"/>
  <c r="I19" i="12" s="1"/>
  <c r="D32" i="3"/>
  <c r="I5" i="12" s="1"/>
  <c r="D63" i="3"/>
  <c r="I36" i="12" s="1"/>
  <c r="D54" i="3"/>
  <c r="I27" i="12" s="1"/>
  <c r="D48" i="3"/>
  <c r="I21" i="12" s="1"/>
  <c r="D40" i="3"/>
  <c r="I13" i="12" s="1"/>
  <c r="D34" i="3"/>
  <c r="I7" i="12" s="1"/>
  <c r="D52" i="3"/>
  <c r="I25" i="12" s="1"/>
  <c r="D44" i="3"/>
  <c r="I17" i="12" s="1"/>
  <c r="D38" i="3"/>
  <c r="I11" i="12" s="1"/>
  <c r="D50" i="3"/>
  <c r="I23" i="12" s="1"/>
  <c r="D42" i="3"/>
  <c r="I15" i="12" s="1"/>
  <c r="D36" i="3"/>
  <c r="I9" i="12" s="1"/>
  <c r="C48" i="3"/>
  <c r="H21" i="12" s="1"/>
  <c r="C40" i="3"/>
  <c r="H13" i="12" s="1"/>
  <c r="C32" i="3"/>
  <c r="H5" i="12" s="1"/>
  <c r="C31" i="3"/>
  <c r="H4" i="12" s="1"/>
  <c r="C71" i="3"/>
  <c r="H44" i="12" s="1"/>
  <c r="C63" i="3"/>
  <c r="H36" i="12" s="1"/>
  <c r="C55" i="3"/>
  <c r="H28" i="12" s="1"/>
  <c r="C47" i="3"/>
  <c r="H20" i="12" s="1"/>
  <c r="C39" i="3"/>
  <c r="H12" i="12" s="1"/>
  <c r="C54" i="3"/>
  <c r="H27" i="12" s="1"/>
  <c r="C46" i="3"/>
  <c r="H19" i="12" s="1"/>
  <c r="C38" i="3"/>
  <c r="H11" i="12" s="1"/>
  <c r="C53" i="3"/>
  <c r="H26" i="12" s="1"/>
  <c r="C45" i="3"/>
  <c r="H18" i="12" s="1"/>
  <c r="C37" i="3"/>
  <c r="H10" i="12" s="1"/>
  <c r="C52" i="3"/>
  <c r="H25" i="12" s="1"/>
  <c r="C44" i="3"/>
  <c r="H17" i="12" s="1"/>
  <c r="C36" i="3"/>
  <c r="H9" i="12" s="1"/>
  <c r="C51" i="3"/>
  <c r="H24" i="12" s="1"/>
  <c r="C43" i="3"/>
  <c r="H16" i="12" s="1"/>
  <c r="C35" i="3"/>
  <c r="H8" i="12" s="1"/>
  <c r="C50" i="3"/>
  <c r="H23" i="12" s="1"/>
  <c r="C42" i="3"/>
  <c r="H15" i="12" s="1"/>
  <c r="C34" i="3"/>
  <c r="H7" i="12" s="1"/>
  <c r="C49" i="3"/>
  <c r="H22" i="12" s="1"/>
  <c r="C41" i="3"/>
  <c r="H14" i="12" s="1"/>
  <c r="C33" i="3"/>
  <c r="H6" i="12" s="1"/>
  <c r="B16" i="11" a="1"/>
  <c r="B16" i="11" s="1"/>
  <c r="B25" i="11" a="1"/>
  <c r="B25" i="11" s="1"/>
  <c r="B7" i="11" a="1"/>
  <c r="B7" i="11" s="1"/>
  <c r="K4" i="12"/>
  <c r="I4" i="12"/>
  <c r="G73" i="3"/>
  <c r="L46" i="12" s="1"/>
  <c r="G76" i="3"/>
  <c r="L49" i="12" s="1"/>
  <c r="G58" i="3"/>
  <c r="L31" i="12" s="1"/>
  <c r="G66" i="3"/>
  <c r="L39" i="12" s="1"/>
  <c r="G61" i="3"/>
  <c r="L34" i="12" s="1"/>
  <c r="G68" i="3"/>
  <c r="L41" i="12" s="1"/>
  <c r="G56" i="3"/>
  <c r="L29" i="12" s="1"/>
  <c r="G64" i="3"/>
  <c r="L37" i="12" s="1"/>
  <c r="G72" i="3"/>
  <c r="L45" i="12" s="1"/>
  <c r="G67" i="3"/>
  <c r="L40" i="12" s="1"/>
  <c r="G62" i="3"/>
  <c r="L35" i="12" s="1"/>
  <c r="G74" i="3"/>
  <c r="L47" i="12" s="1"/>
  <c r="G75" i="3"/>
  <c r="L48" i="12" s="1"/>
  <c r="G70" i="3"/>
  <c r="L43" i="12" s="1"/>
  <c r="G57" i="3"/>
  <c r="L30" i="12" s="1"/>
  <c r="G69" i="3"/>
  <c r="L42" i="12" s="1"/>
  <c r="G77" i="3"/>
  <c r="L50" i="12" s="1"/>
  <c r="G59" i="3"/>
  <c r="L32" i="12" s="1"/>
  <c r="G78" i="3"/>
  <c r="L51" i="12" s="1"/>
  <c r="G65" i="3"/>
  <c r="L38" i="12" s="1"/>
  <c r="G60" i="3"/>
  <c r="L33" i="12" s="1"/>
  <c r="D81" i="3" l="1" a="1"/>
  <c r="D81" i="3" s="1"/>
  <c r="F81" i="3" a="1"/>
  <c r="F81" i="3" s="1"/>
  <c r="B22" i="11" a="1"/>
  <c r="B22" i="11" s="1"/>
  <c r="B13" i="11" a="1"/>
  <c r="B13" i="11" s="1"/>
  <c r="B24" i="11" a="1"/>
  <c r="B24" i="11" s="1"/>
  <c r="B15" i="11" a="1"/>
  <c r="B15" i="11" s="1"/>
  <c r="B6" i="11" a="1"/>
  <c r="B6" i="11" s="1"/>
  <c r="B4" i="11" a="1"/>
  <c r="B4" i="11" s="1"/>
  <c r="B3" i="11" a="1"/>
  <c r="B3" i="11" s="1"/>
  <c r="B12" i="11" a="1"/>
  <c r="B12" i="11" s="1"/>
  <c r="B21" i="11" a="1"/>
  <c r="B21" i="11" s="1"/>
  <c r="B31" i="11" a="1"/>
  <c r="B31" i="11" s="1"/>
  <c r="B49" i="11" a="1"/>
  <c r="B49" i="11" s="1"/>
  <c r="B39" i="11" a="1"/>
  <c r="B39" i="11" s="1"/>
  <c r="B30" i="11" a="1"/>
  <c r="B30" i="11" s="1"/>
  <c r="B51" i="11" a="1"/>
  <c r="B51" i="11" s="1"/>
  <c r="B42" i="11" a="1"/>
  <c r="B42" i="11" s="1"/>
  <c r="B33" i="11" a="1"/>
  <c r="B33" i="11" s="1"/>
  <c r="B40" i="11" a="1"/>
  <c r="B40" i="11" s="1"/>
  <c r="B48" i="11" a="1"/>
  <c r="B48" i="11" s="1"/>
  <c r="B52" i="11" l="1" a="1"/>
  <c r="B52" i="11" s="1"/>
  <c r="B34" i="11" a="1"/>
  <c r="B34" i="11" s="1"/>
  <c r="B43" i="11" a="1"/>
  <c r="B43" i="11" s="1"/>
  <c r="J10" i="3"/>
  <c r="A8" i="3"/>
  <c r="I31" i="3"/>
  <c r="F4" i="12" s="1"/>
  <c r="I17" i="3" l="1"/>
  <c r="I32" i="3"/>
  <c r="F5" i="12" s="1"/>
  <c r="I18" i="3" l="1"/>
  <c r="I33" i="3"/>
  <c r="F6" i="12" s="1"/>
  <c r="I19" i="3" l="1"/>
  <c r="I34" i="3"/>
  <c r="F7" i="12" s="1"/>
  <c r="I51" i="3" l="1"/>
  <c r="F24" i="12" s="1"/>
  <c r="I20" i="3"/>
  <c r="I41" i="3" s="1"/>
  <c r="F14" i="12" s="1"/>
  <c r="I35" i="3"/>
  <c r="F8" i="12" s="1"/>
  <c r="I55" i="3"/>
  <c r="F28" i="12" s="1"/>
  <c r="I42" i="3" l="1"/>
  <c r="F15" i="12" s="1"/>
  <c r="I52" i="3"/>
  <c r="F25" i="12" s="1"/>
  <c r="I21" i="3"/>
  <c r="I63" i="3" s="1"/>
  <c r="F36" i="12" s="1"/>
  <c r="I56" i="3"/>
  <c r="F29" i="12" s="1"/>
  <c r="I36" i="3"/>
  <c r="F9" i="12" s="1"/>
  <c r="I65" i="3" l="1"/>
  <c r="F38" i="12" s="1"/>
  <c r="I64" i="3"/>
  <c r="F37" i="12" s="1"/>
  <c r="I71" i="3"/>
  <c r="F44" i="12" s="1"/>
  <c r="I43" i="3"/>
  <c r="F16" i="12" s="1"/>
  <c r="I44" i="3"/>
  <c r="F17" i="12" s="1"/>
  <c r="I72" i="3"/>
  <c r="F45" i="12" s="1"/>
  <c r="I53" i="3"/>
  <c r="F26" i="12" s="1"/>
  <c r="I22" i="3"/>
  <c r="I67" i="3"/>
  <c r="F40" i="12" s="1"/>
  <c r="I47" i="3"/>
  <c r="F20" i="12" s="1"/>
  <c r="I57" i="3"/>
  <c r="F30" i="12" s="1"/>
  <c r="I37" i="3"/>
  <c r="F10" i="12" s="1"/>
  <c r="I77" i="3" l="1"/>
  <c r="F50" i="12" s="1"/>
  <c r="I66" i="3"/>
  <c r="F39" i="12" s="1"/>
  <c r="I45" i="3"/>
  <c r="F18" i="12" s="1"/>
  <c r="I61" i="3"/>
  <c r="F34" i="12" s="1"/>
  <c r="I73" i="3"/>
  <c r="F46" i="12" s="1"/>
  <c r="I74" i="3"/>
  <c r="F47" i="12" s="1"/>
  <c r="I75" i="3"/>
  <c r="F48" i="12" s="1"/>
  <c r="I76" i="3"/>
  <c r="F49" i="12" s="1"/>
  <c r="I54" i="3"/>
  <c r="F27" i="12" s="1"/>
  <c r="I62" i="3"/>
  <c r="F35" i="12" s="1"/>
  <c r="I46" i="3"/>
  <c r="F19" i="12" s="1"/>
  <c r="I23" i="3"/>
  <c r="I68" i="3"/>
  <c r="F41" i="12" s="1"/>
  <c r="I48" i="3"/>
  <c r="F21" i="12" s="1"/>
  <c r="I78" i="3"/>
  <c r="F51" i="12" s="1"/>
  <c r="I38" i="3"/>
  <c r="F11" i="12" s="1"/>
  <c r="B9" i="11" s="1" a="1"/>
  <c r="B9" i="11" s="1"/>
  <c r="I58" i="3"/>
  <c r="F31" i="12" s="1"/>
  <c r="B54" i="11" l="1" a="1"/>
  <c r="B54" i="11" s="1"/>
  <c r="I24" i="3"/>
  <c r="I59" i="3"/>
  <c r="F32" i="12" s="1"/>
  <c r="I49" i="3"/>
  <c r="F22" i="12" s="1"/>
  <c r="I69" i="3"/>
  <c r="F42" i="12" s="1"/>
  <c r="I39" i="3"/>
  <c r="F12" i="12" s="1"/>
  <c r="I25" i="3" l="1"/>
  <c r="I40" i="3"/>
  <c r="F13" i="12" s="1"/>
  <c r="B18" i="11" s="1" a="1"/>
  <c r="B18" i="11" s="1"/>
  <c r="I60" i="3"/>
  <c r="I50" i="3"/>
  <c r="F23" i="12" s="1"/>
  <c r="B27" i="11" s="1" a="1"/>
  <c r="B27" i="11" s="1"/>
  <c r="I70" i="3"/>
  <c r="J19" i="3"/>
  <c r="F43" i="12" l="1"/>
  <c r="B45" i="11" s="1" a="1"/>
  <c r="B45" i="11" s="1"/>
  <c r="F33" i="12"/>
  <c r="B36" i="11" s="1" a="1"/>
  <c r="B36" i="11" s="1"/>
  <c r="T8" i="11"/>
  <c r="J17" i="3"/>
  <c r="I26" i="3"/>
  <c r="T19" i="11" l="1" a="1"/>
  <c r="X19" i="11" s="1"/>
  <c r="H3" i="15"/>
  <c r="T6" i="11"/>
  <c r="J18" i="3"/>
  <c r="T7" i="11" s="1"/>
  <c r="F4" i="15"/>
  <c r="H22" i="15" s="1"/>
  <c r="J16" i="3"/>
  <c r="T5" i="11" s="1"/>
  <c r="A3" i="15"/>
  <c r="F5" i="15"/>
  <c r="W19" i="11" l="1"/>
  <c r="T19" i="11"/>
  <c r="AB19" i="11"/>
  <c r="V19" i="11"/>
  <c r="AE19" i="11"/>
  <c r="AC19" i="11"/>
  <c r="U19" i="11"/>
  <c r="Z19" i="11"/>
  <c r="AD19" i="11"/>
  <c r="Y19" i="11"/>
  <c r="AA19" i="11"/>
  <c r="N2" i="15"/>
  <c r="M2" i="15"/>
  <c r="K2" i="15"/>
  <c r="T12" i="15"/>
  <c r="AD11" i="15"/>
  <c r="J11" i="15"/>
  <c r="R12" i="15"/>
  <c r="R11" i="15"/>
  <c r="N11" i="15"/>
  <c r="L11" i="15"/>
  <c r="Z15" i="15"/>
  <c r="Z16" i="15" s="1"/>
  <c r="AD15" i="15"/>
  <c r="AD16" i="15" s="1"/>
  <c r="V12" i="15"/>
  <c r="L12" i="15"/>
  <c r="AD14" i="15"/>
  <c r="AD22" i="15" s="1"/>
  <c r="K11" i="15"/>
  <c r="AD12" i="15"/>
  <c r="X12" i="15"/>
  <c r="V11" i="15"/>
  <c r="H12" i="15"/>
  <c r="Z11" i="15"/>
  <c r="P11" i="15"/>
  <c r="AC11" i="15"/>
  <c r="Y11" i="15"/>
  <c r="Z12" i="15"/>
  <c r="I11" i="15"/>
  <c r="S11" i="15"/>
  <c r="AE11" i="15"/>
  <c r="Q11" i="15"/>
  <c r="H11" i="15"/>
  <c r="T11" i="15"/>
  <c r="P12" i="15"/>
  <c r="M11" i="15"/>
  <c r="AB11" i="15"/>
  <c r="O11" i="15"/>
  <c r="N12" i="15"/>
  <c r="AA11" i="15"/>
  <c r="W11" i="15"/>
  <c r="J14" i="15"/>
  <c r="J22" i="15" s="1"/>
  <c r="U11" i="15"/>
  <c r="AB12" i="15"/>
  <c r="X11" i="15"/>
  <c r="J12" i="15"/>
  <c r="X15" i="15"/>
  <c r="X16" i="15" s="1"/>
  <c r="C10" i="15" l="1"/>
  <c r="P2" i="15"/>
  <c r="Z14" i="15"/>
  <c r="Z22" i="15" s="1"/>
  <c r="X14" i="15"/>
  <c r="X22" i="15" s="1"/>
  <c r="AB15" i="15"/>
  <c r="AB16" i="15" s="1"/>
  <c r="AB17" i="15" s="1"/>
  <c r="AB14" i="15"/>
  <c r="AB22" i="15" s="1"/>
  <c r="R14" i="15"/>
  <c r="R22" i="15" s="1"/>
  <c r="N14" i="15"/>
  <c r="N22" i="15" s="1"/>
  <c r="T14" i="15"/>
  <c r="T22" i="15" s="1"/>
  <c r="X17" i="15"/>
  <c r="X18" i="15"/>
  <c r="Z18" i="15"/>
  <c r="Z17" i="15"/>
  <c r="L14" i="15"/>
  <c r="L22" i="15" s="1"/>
  <c r="V14" i="15"/>
  <c r="V22" i="15" s="1"/>
  <c r="P14" i="15"/>
  <c r="P22" i="15" s="1"/>
  <c r="AB18" i="15" l="1"/>
  <c r="Y10" i="15"/>
  <c r="Z13" i="15" s="1"/>
  <c r="AA10" i="15" l="1"/>
  <c r="AB13" i="15" s="1"/>
  <c r="X13" i="15"/>
  <c r="AE10" i="15"/>
  <c r="V13" i="15" l="1"/>
  <c r="AC10" i="15"/>
  <c r="AD13" i="15" s="1"/>
  <c r="W10" i="15"/>
  <c r="V15" i="15"/>
  <c r="V16" i="15" s="1"/>
  <c r="G3" i="15"/>
  <c r="H15" i="15" s="1"/>
  <c r="J15" i="15" l="1"/>
  <c r="I10" i="15" s="1"/>
  <c r="V17" i="15"/>
  <c r="V18" i="15"/>
  <c r="H16" i="15"/>
  <c r="F10" i="15" s="1"/>
  <c r="R15" i="15"/>
  <c r="P15" i="15"/>
  <c r="P16" i="15" s="1"/>
  <c r="L15" i="15"/>
  <c r="L16" i="15" s="1"/>
  <c r="T15" i="15"/>
  <c r="T16" i="15" s="1"/>
  <c r="N15" i="15"/>
  <c r="N16" i="15" s="1"/>
  <c r="R16" i="15"/>
  <c r="J16" i="15" l="1"/>
  <c r="J18" i="15" s="1"/>
  <c r="H13" i="15"/>
  <c r="I13" i="15" s="1"/>
  <c r="N17" i="15"/>
  <c r="N18" i="15"/>
  <c r="L17" i="15"/>
  <c r="L18" i="15"/>
  <c r="R17" i="15"/>
  <c r="R18" i="15"/>
  <c r="T17" i="15"/>
  <c r="T18" i="15"/>
  <c r="P18" i="15"/>
  <c r="P17" i="15"/>
  <c r="H17" i="15"/>
  <c r="H18" i="15"/>
  <c r="M10" i="15"/>
  <c r="O10" i="15"/>
  <c r="P13" i="15" s="1"/>
  <c r="K10" i="15"/>
  <c r="J13" i="15"/>
  <c r="H14" i="15"/>
  <c r="Q10" i="15"/>
  <c r="R13" i="15" s="1"/>
  <c r="J17" i="15" l="1"/>
  <c r="S10" i="15"/>
  <c r="T13" i="15" s="1"/>
  <c r="L13" i="15"/>
  <c r="U10" i="15"/>
  <c r="N13" i="1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<sst xmlns="http://schemas.openxmlformats.org/spreadsheetml/2006/main" count="314" uniqueCount="154">
  <si>
    <t>Capt Ab</t>
  </si>
  <si>
    <t>Detect Ab</t>
  </si>
  <si>
    <t>Sample</t>
  </si>
  <si>
    <t>Ab</t>
  </si>
  <si>
    <t>Conc</t>
  </si>
  <si>
    <t>Type</t>
  </si>
  <si>
    <t>Conc (ng/ml)</t>
  </si>
  <si>
    <t>Diluent</t>
  </si>
  <si>
    <t>Capture Conc.</t>
  </si>
  <si>
    <t>Detect Conc</t>
  </si>
  <si>
    <t>Capture</t>
  </si>
  <si>
    <t>Detection</t>
  </si>
  <si>
    <t>Dilution factor</t>
  </si>
  <si>
    <t>Analyte name</t>
  </si>
  <si>
    <t>Known conc.</t>
  </si>
  <si>
    <t>Unit</t>
  </si>
  <si>
    <t>Name</t>
  </si>
  <si>
    <t>This excel sheet is protected to prevent accidental modifications of the formulas. If you want to have the possibility to modify some protected parameters or report bugs, please email:</t>
  </si>
  <si>
    <t>benjamin.djian@bio-techne.com</t>
  </si>
  <si>
    <t>Sample Name</t>
  </si>
  <si>
    <t>Sample Diluent</t>
  </si>
  <si>
    <t>Detect Type</t>
  </si>
  <si>
    <t>Sample concentration</t>
  </si>
  <si>
    <t>Variables</t>
  </si>
  <si>
    <t>N° of cycle</t>
  </si>
  <si>
    <t>Repetition of condition
(per cycle)</t>
  </si>
  <si>
    <t>Min needed</t>
  </si>
  <si>
    <t>Min needed:</t>
  </si>
  <si>
    <t>Yes</t>
  </si>
  <si>
    <t>NO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</si>
  <si>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</si>
  <si>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</si>
  <si>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</si>
  <si>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</si>
  <si>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</si>
  <si>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</si>
  <si>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</si>
  <si>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</si>
  <si>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</si>
  <si>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</si>
  <si>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</si>
  <si>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</si>
  <si>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</si>
  <si>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</si>
  <si>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</si>
  <si>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</si>
  <si>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</si>
  <si>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</si>
  <si>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</si>
  <si>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</si>
  <si>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</si>
  <si>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</si>
  <si>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</si>
  <si>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</si>
  <si>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</si>
  <si>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</si>
  <si>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</si>
  <si>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</si>
  <si>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</si>
  <si>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</si>
  <si>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</si>
  <si>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</si>
  <si>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</si>
  <si>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</si>
  <si>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</si>
  <si>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</si>
  <si>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</si>
  <si>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</si>
  <si>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</si>
  <si>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</si>
  <si>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</si>
  <si>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</si>
  <si>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</si>
  <si>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</si>
  <si>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</si>
  <si>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</si>
  <si>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</si>
  <si>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</si>
  <si>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µg/mL</t>
  </si>
  <si>
    <t>Comment</t>
  </si>
  <si>
    <t>Detection Conc.</t>
  </si>
  <si>
    <t>Sample Conc.</t>
  </si>
  <si>
    <t>Capture Name</t>
  </si>
  <si>
    <t>Detection Name</t>
  </si>
  <si>
    <t>pg/mL</t>
  </si>
  <si>
    <t>Well #</t>
  </si>
  <si>
    <t>Ab2</t>
  </si>
  <si>
    <t>Ab3</t>
  </si>
  <si>
    <t>Ab4</t>
  </si>
  <si>
    <t>Ab5</t>
  </si>
  <si>
    <t>Ab6</t>
  </si>
  <si>
    <t>Alternate Antibody Pairing</t>
  </si>
  <si>
    <t>SD</t>
  </si>
  <si>
    <t>(Dilution Factor)</t>
  </si>
  <si>
    <t>No Master Mix</t>
  </si>
  <si>
    <t>Round number</t>
  </si>
  <si>
    <t>No</t>
  </si>
  <si>
    <r>
      <t xml:space="preserve">4/5 </t>
    </r>
    <r>
      <rPr>
        <vertAlign val="superscript"/>
        <sz val="11"/>
        <color theme="1"/>
        <rFont val="Calibri"/>
        <family val="2"/>
        <scheme val="minor"/>
      </rPr>
      <t>th</t>
    </r>
  </si>
  <si>
    <t>Undiluted</t>
  </si>
  <si>
    <t>Round down below multiples of:</t>
  </si>
  <si>
    <t>Multiplication factor of initial concentration:</t>
  </si>
  <si>
    <t>ADVANCED PARAMETERS</t>
  </si>
  <si>
    <t>off</t>
  </si>
  <si>
    <t>No-primary negative control :</t>
  </si>
  <si>
    <t>Intermediate Volume (µL)</t>
  </si>
  <si>
    <t>Final Volume (µL)</t>
  </si>
  <si>
    <t>Prepare all tubes with antibody diluent (µL)</t>
  </si>
  <si>
    <t>→→→→→</t>
  </si>
  <si>
    <t>1st STEP</t>
  </si>
  <si>
    <t>Primary antibody (µL)</t>
  </si>
  <si>
    <t>2nd STEP</t>
  </si>
  <si>
    <t>Volume per well (µL)</t>
  </si>
  <si>
    <t>on</t>
  </si>
  <si>
    <t>How many dilutions:</t>
  </si>
  <si>
    <t>Subsequent dilution factor:</t>
  </si>
  <si>
    <t xml:space="preserve">First dilution </t>
  </si>
  <si>
    <t>Stock concentration (µg/mL)</t>
  </si>
  <si>
    <t>Prepare all tubes with SD (µL)</t>
  </si>
  <si>
    <t>Standard Dilutions Parameters</t>
  </si>
  <si>
    <t>Capture Dilutions Parameters</t>
  </si>
  <si>
    <t>Detect Dilutions Parameters</t>
  </si>
  <si>
    <t>Serial dilution Detect</t>
  </si>
  <si>
    <t>Lowest concentration</t>
  </si>
  <si>
    <t>Highest concentration</t>
  </si>
  <si>
    <t>Top Standard</t>
  </si>
  <si>
    <t>Serial dilution Capture</t>
  </si>
  <si>
    <t>&lt;- change this value to your stock concentration</t>
  </si>
  <si>
    <t>Control</t>
  </si>
  <si>
    <t>Standard</t>
  </si>
  <si>
    <t>SD06</t>
  </si>
  <si>
    <t>Ab1</t>
  </si>
  <si>
    <t>These are the exact quantities of each antibodies required for 50µL across 48 wells; however, it is advisable to prepare an additional 20% to account for volume losses during dilutions.</t>
  </si>
  <si>
    <t>&lt;- Magic multiplicator</t>
  </si>
  <si>
    <t>&lt;- chose your Dilution Factor</t>
  </si>
  <si>
    <t>Lowest Standard</t>
  </si>
  <si>
    <t>Low std = Top Std / Magic Multip.</t>
  </si>
  <si>
    <t>1xRD</t>
  </si>
  <si>
    <t>PBS</t>
  </si>
  <si>
    <t>SD13</t>
  </si>
  <si>
    <t>How does this work :</t>
  </si>
  <si>
    <t>bla</t>
  </si>
  <si>
    <t>truc</t>
  </si>
  <si>
    <t>SD19</t>
  </si>
  <si>
    <t>SD42</t>
  </si>
  <si>
    <t>←</t>
  </si>
  <si>
    <t>Either 4 or 8 Sample Concentrations</t>
  </si>
  <si>
    <r>
      <t>Desired concentration in well (</t>
    </r>
    <r>
      <rPr>
        <b/>
        <sz val="18"/>
        <color theme="1"/>
        <rFont val="Calibri"/>
        <family val="2"/>
        <scheme val="minor"/>
      </rPr>
      <t>µg/mL</t>
    </r>
    <r>
      <rPr>
        <sz val="18"/>
        <color theme="1"/>
        <rFont val="Calibri"/>
        <family val="2"/>
        <scheme val="minor"/>
      </rPr>
      <t>)</t>
    </r>
  </si>
  <si>
    <r>
      <t>Desired concentration in well (</t>
    </r>
    <r>
      <rPr>
        <b/>
        <sz val="18"/>
        <color theme="1"/>
        <rFont val="Calibri"/>
        <family val="2"/>
        <scheme val="minor"/>
      </rPr>
      <t>ng/mL</t>
    </r>
    <r>
      <rPr>
        <sz val="18"/>
        <color theme="1"/>
        <rFont val="Calibri"/>
        <family val="2"/>
        <scheme val="minor"/>
      </rPr>
      <t>)</t>
    </r>
  </si>
  <si>
    <r>
      <t>Desired concentration in well (</t>
    </r>
    <r>
      <rPr>
        <b/>
        <sz val="18"/>
        <color theme="1"/>
        <rFont val="Calibri"/>
        <family val="2"/>
        <scheme val="minor"/>
      </rPr>
      <t>pg/mL</t>
    </r>
    <r>
      <rPr>
        <sz val="18"/>
        <color theme="1"/>
        <rFont val="Calibri"/>
        <family val="2"/>
        <scheme val="minor"/>
      </rPr>
      <t>)</t>
    </r>
  </si>
  <si>
    <r>
      <t>Final Volume (</t>
    </r>
    <r>
      <rPr>
        <b/>
        <sz val="18"/>
        <color theme="1"/>
        <rFont val="Calibri"/>
        <family val="2"/>
        <scheme val="minor"/>
      </rPr>
      <t>µL</t>
    </r>
    <r>
      <rPr>
        <sz val="18"/>
        <color theme="1"/>
        <rFont val="Calibri"/>
        <family val="2"/>
        <scheme val="minor"/>
      </rPr>
      <t>)</t>
    </r>
  </si>
  <si>
    <r>
      <t>Desired antibody concentrations in the wells (</t>
    </r>
    <r>
      <rPr>
        <b/>
        <sz val="18"/>
        <color theme="1"/>
        <rFont val="Calibri"/>
        <family val="2"/>
        <scheme val="minor"/>
      </rPr>
      <t>µg/mL</t>
    </r>
    <r>
      <rPr>
        <sz val="18"/>
        <color theme="1"/>
        <rFont val="Calibri"/>
        <family val="2"/>
        <scheme val="minor"/>
      </rPr>
      <t>)</t>
    </r>
  </si>
  <si>
    <r>
      <t>Desired concentration in well (</t>
    </r>
    <r>
      <rPr>
        <b/>
        <sz val="12"/>
        <color theme="1"/>
        <rFont val="Calibri"/>
        <family val="2"/>
        <scheme val="minor"/>
      </rPr>
      <t>mg/mL</t>
    </r>
    <r>
      <rPr>
        <sz val="12"/>
        <color theme="1"/>
        <rFont val="Calibri"/>
        <family val="2"/>
        <scheme val="minor"/>
      </rPr>
      <t>)</t>
    </r>
  </si>
  <si>
    <t>Serial dilution Standard</t>
  </si>
  <si>
    <t>wells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</si>
</sst>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#,##0.0"/>
    <numFmt numFmtId="165" formatCode="0.0"/>
    <numFmt numFmtId="166" formatCode="0.000"/>
    <numFmt numFmtId="167" formatCode="#\ ???/??????"/>
    <numFmt numFmtId="168" formatCode="#\ ???/????"/>
    <numFmt numFmtId="169" formatCode="#,##0.000"/>
    <numFmt numFmtId="170" formatCode="0.0000"/>
    <numFmt numFmtId="171" formatCode="#,##0.0000"/>
  </numFmts>
  <fonts count="101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48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24"/>
      <color theme="0"/>
      <name val="Calibri"/>
      <family val="2"/>
      <scheme val="minor"/>
    </font>
    <font>
      <sz val="12"/>
      <color rgb="FF000000"/>
      <name val="Calibri"/>
      <family val="2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36"/>
      <color theme="10"/>
      <name val="Calibri"/>
      <family val="2"/>
      <scheme val="minor"/>
    </font>
    <font>
      <sz val="7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24"/>
      <name val="Calibri"/>
      <family val="2"/>
      <scheme val="minor"/>
    </font>
    <font>
      <sz val="48"/>
      <color theme="0"/>
      <name val="Calibri"/>
      <family val="2"/>
      <scheme val="minor"/>
    </font>
    <font>
      <b/>
      <sz val="24"/>
      <color theme="0"/>
      <name val="Calibri"/>
      <family val="2"/>
      <scheme val="minor"/>
    </font>
    <font>
      <sz val="36"/>
      <color theme="0"/>
      <name val="Calibri"/>
      <family val="2"/>
      <scheme val="minor"/>
    </font>
    <font>
      <b/>
      <sz val="36"/>
      <color theme="1"/>
      <name val="Calibri"/>
      <family val="2"/>
      <scheme val="minor"/>
    </font>
    <font>
      <b/>
      <sz val="72"/>
      <color theme="0"/>
      <name val="Calibri"/>
      <family val="2"/>
      <scheme val="minor"/>
    </font>
    <font>
      <sz val="72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sz val="18"/>
      <color theme="0"/>
      <name val="Calibri"/>
      <family val="2"/>
      <scheme val="minor"/>
    </font>
    <font>
      <b/>
      <sz val="26"/>
      <color theme="1"/>
      <name val="Calibri"/>
      <family val="2"/>
      <scheme val="minor"/>
    </font>
    <font>
      <sz val="28"/>
      <color theme="0"/>
      <name val="Calibri"/>
      <family val="2"/>
      <scheme val="minor"/>
    </font>
    <font>
      <sz val="20"/>
      <color theme="1"/>
      <name val="Calibri"/>
      <family val="2"/>
    </font>
    <font>
      <b/>
      <sz val="72"/>
      <color theme="9"/>
      <name val="Calibri"/>
      <family val="2"/>
      <scheme val="minor"/>
    </font>
    <font>
      <sz val="2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28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6"/>
      <color theme="0"/>
      <name val="Ubuntu Mono"/>
      <family val="3"/>
    </font>
    <font>
      <sz val="11"/>
      <color rgb="FFFF0000"/>
      <name val="Calibri"/>
      <family val="2"/>
      <scheme val="minor"/>
    </font>
    <font>
      <sz val="10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36"/>
      <color rgb="FF000000"/>
      <name val="Calibri"/>
      <family val="2"/>
    </font>
    <font>
      <sz val="60"/>
      <color rgb="FF000000"/>
      <name val="Calibri"/>
      <family val="2"/>
    </font>
    <font>
      <sz val="12"/>
      <color theme="0"/>
      <name val="Calibri"/>
      <family val="2"/>
      <scheme val="minor"/>
    </font>
    <font>
      <sz val="20"/>
      <color rgb="FFFF0000"/>
      <name val="Calibri"/>
      <family val="2"/>
      <scheme val="minor"/>
    </font>
    <font>
      <sz val="24"/>
      <color rgb="FFFF0000"/>
      <name val="Calibri"/>
      <family val="2"/>
      <scheme val="minor"/>
    </font>
    <font>
      <sz val="12"/>
      <color theme="0"/>
      <name val="Times New Roman"/>
      <family val="1"/>
    </font>
    <font>
      <b/>
      <i/>
      <sz val="12"/>
      <color theme="0"/>
      <name val="Calibri"/>
      <family val="2"/>
      <scheme val="minor"/>
    </font>
    <font>
      <sz val="72"/>
      <name val="Calibri"/>
      <family val="2"/>
      <scheme val="minor"/>
    </font>
    <font>
      <b/>
      <sz val="24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72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8"/>
      <name val="Calibri"/>
      <family val="2"/>
      <scheme val="minor"/>
    </font>
    <font>
      <sz val="18"/>
      <color theme="2"/>
      <name val="Calibri"/>
      <family val="2"/>
      <scheme val="minor"/>
    </font>
    <font>
      <sz val="24"/>
      <color theme="2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48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8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sz val="16"/>
      <color theme="0"/>
      <name val="Calibri"/>
      <family val="2"/>
      <scheme val="minor"/>
    </font>
    <font>
      <u/>
      <sz val="12"/>
      <color theme="10"/>
      <name val="Calibri"/>
      <family val="2"/>
      <scheme val="minor"/>
    </font>
    <font>
      <b/>
      <sz val="14"/>
      <color theme="0"/>
      <name val="Calibri"/>
      <family val="2"/>
    </font>
    <font>
      <sz val="9"/>
      <name val="Calibri"/>
      <family val="2"/>
      <scheme val="minor"/>
    </font>
    <font>
      <b/>
      <sz val="44"/>
      <name val="MS Gothic"/>
      <family val="3"/>
    </font>
    <font>
      <b/>
      <sz val="28"/>
      <color rgb="FFFF0000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8"/>
      <name val="Calibri"/>
      <family val="2"/>
      <scheme val="minor"/>
    </font>
    <font>
      <sz val="18"/>
      <color theme="1"/>
      <name val="Calibri"/>
      <family val="2"/>
      <scheme val="minor"/>
    </font>
    <font>
      <sz val="18"/>
      <color rgb="FFFF000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6"/>
      <name val="Calibri"/>
      <family val="2"/>
      <scheme val="minor"/>
    </font>
    <font>
      <b/>
      <sz val="11"/>
      <color theme="2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sz val="10"/>
      <color rgb="FF000000"/>
      <name val="Calibri"/>
      <family val="2"/>
    </font>
    <font>
      <b/>
      <sz val="26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7"/>
      <color rgb="FFFF0000"/>
      <name val="Calibri"/>
      <family val="2"/>
      <scheme val="minor"/>
    </font>
    <font>
      <sz val="17"/>
      <color theme="1"/>
      <name val="Calibri"/>
      <family val="2"/>
      <scheme val="minor"/>
    </font>
    <font>
      <sz val="17"/>
      <color theme="0"/>
      <name val="Calibri"/>
      <family val="2"/>
      <scheme val="minor"/>
    </font>
    <font>
      <b/>
      <sz val="17"/>
      <name val="Calibri"/>
      <family val="2"/>
      <scheme val="minor"/>
    </font>
    <font>
      <b/>
      <sz val="17"/>
      <color theme="0"/>
      <name val="Calibri"/>
      <family val="2"/>
      <scheme val="minor"/>
    </font>
    <font>
      <sz val="17"/>
      <color rgb="FFFF0000"/>
      <name val="Calibri"/>
      <family val="2"/>
      <scheme val="minor"/>
    </font>
    <font>
      <b/>
      <sz val="16"/>
      <color theme="0" tint="-0.249977111117893"/>
      <name val="Calibri"/>
      <family val="2"/>
      <scheme val="minor"/>
    </font>
    <font>
      <sz val="16"/>
      <color theme="0" tint="-0.249977111117893"/>
      <name val="Calibri"/>
      <family val="2"/>
      <scheme val="minor"/>
    </font>
    <font>
      <b/>
      <sz val="18"/>
      <color theme="1"/>
      <name val="MS Gothic"/>
      <family val="3"/>
    </font>
    <font>
      <b/>
      <sz val="16"/>
      <color theme="1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rgb="FFA5A5A5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EC701C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3C69BA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</fills>
  <borders count="6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Dashed">
        <color auto="1"/>
      </right>
      <top/>
      <bottom/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Dashed">
        <color auto="1"/>
      </left>
      <right/>
      <top/>
      <bottom style="thick">
        <color auto="1"/>
      </bottom>
      <diagonal/>
    </border>
    <border>
      <left/>
      <right style="thick">
        <color indexed="64"/>
      </right>
      <top/>
      <bottom/>
      <diagonal/>
    </border>
    <border>
      <left style="mediumDashed">
        <color auto="1"/>
      </left>
      <right/>
      <top/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 style="medium">
        <color auto="1"/>
      </left>
      <right style="mediumDashed">
        <color auto="1"/>
      </right>
      <top style="thick">
        <color auto="1"/>
      </top>
      <bottom style="thick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DashDot">
        <color auto="1"/>
      </left>
      <right/>
      <top/>
      <bottom/>
      <diagonal/>
    </border>
    <border>
      <left/>
      <right style="mediumDashed">
        <color auto="1"/>
      </right>
      <top/>
      <bottom style="thick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auto="1"/>
      </left>
      <right/>
      <top style="thick">
        <color auto="1"/>
      </top>
      <bottom style="thick">
        <color auto="1"/>
      </bottom>
      <diagonal/>
    </border>
    <border>
      <left style="thin">
        <color indexed="64"/>
      </left>
      <right style="thick">
        <color auto="1"/>
      </right>
      <top style="thin">
        <color indexed="64"/>
      </top>
      <bottom style="thick">
        <color auto="1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ck">
        <color auto="1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/>
    <xf numFmtId="0" fontId="1" fillId="2" borderId="2" applyNumberFormat="0" applyAlignment="0" applyProtection="0"/>
    <xf numFmtId="0" fontId="17" fillId="0" borderId="0" applyNumberFormat="0" applyFill="0" applyBorder="0" applyAlignment="0" applyProtection="0"/>
  </cellStyleXfs>
  <cellXfs count="417">
    <xf numFmtId="0" fontId="0" fillId="0" borderId="0" xfId="0"/>
    <xf numFmtId="0" fontId="0" fillId="0" borderId="0" xfId="0" applyProtection="1">
      <protection hidden="1"/>
    </xf>
    <xf numFmtId="0" fontId="10" fillId="6" borderId="10" xfId="0" applyFont="1" applyFill="1" applyBorder="1" applyAlignment="1" applyProtection="1">
      <alignment horizontal="center" vertical="center" wrapText="1"/>
      <protection hidden="1"/>
    </xf>
    <xf numFmtId="0" fontId="12" fillId="0" borderId="0" xfId="0" applyFont="1"/>
    <xf numFmtId="0" fontId="13" fillId="0" borderId="0" xfId="0" applyFont="1"/>
    <xf numFmtId="0" fontId="6" fillId="9" borderId="14" xfId="0" applyFont="1" applyFill="1" applyBorder="1" applyAlignment="1">
      <alignment horizontal="center" vertical="center"/>
    </xf>
    <xf numFmtId="0" fontId="6" fillId="9" borderId="15" xfId="0" applyFont="1" applyFill="1" applyBorder="1" applyAlignment="1">
      <alignment horizontal="center" vertical="center"/>
    </xf>
    <xf numFmtId="0" fontId="6" fillId="9" borderId="16" xfId="0" applyFont="1" applyFill="1" applyBorder="1" applyAlignment="1">
      <alignment horizontal="center" vertical="center"/>
    </xf>
    <xf numFmtId="0" fontId="6" fillId="9" borderId="17" xfId="0" applyFont="1" applyFill="1" applyBorder="1" applyAlignment="1">
      <alignment horizontal="center" vertical="center"/>
    </xf>
    <xf numFmtId="0" fontId="6" fillId="9" borderId="13" xfId="0" applyFont="1" applyFill="1" applyBorder="1" applyAlignment="1">
      <alignment horizontal="center" vertical="center"/>
    </xf>
    <xf numFmtId="0" fontId="2" fillId="0" borderId="18" xfId="0" applyFont="1" applyBorder="1" applyAlignment="1">
      <alignment horizontal="center"/>
    </xf>
    <xf numFmtId="0" fontId="6" fillId="9" borderId="19" xfId="0" applyFont="1" applyFill="1" applyBorder="1" applyAlignment="1">
      <alignment horizontal="center" vertical="center" wrapText="1"/>
    </xf>
    <xf numFmtId="0" fontId="6" fillId="9" borderId="20" xfId="0" applyFont="1" applyFill="1" applyBorder="1" applyAlignment="1">
      <alignment horizontal="center" vertical="center" wrapText="1"/>
    </xf>
    <xf numFmtId="0" fontId="4" fillId="0" borderId="8" xfId="0" applyFont="1" applyBorder="1" applyAlignment="1">
      <alignment horizontal="center"/>
    </xf>
    <xf numFmtId="0" fontId="4" fillId="0" borderId="10" xfId="0" applyFont="1" applyBorder="1" applyAlignment="1">
      <alignment horizontal="center"/>
    </xf>
    <xf numFmtId="0" fontId="2" fillId="9" borderId="1" xfId="0" applyFont="1" applyFill="1" applyBorder="1" applyAlignment="1" applyProtection="1">
      <alignment horizontal="center"/>
      <protection locked="0"/>
    </xf>
    <xf numFmtId="0" fontId="0" fillId="9" borderId="0" xfId="0" applyFill="1"/>
    <xf numFmtId="0" fontId="0" fillId="9" borderId="0" xfId="0" applyFill="1" applyProtection="1">
      <protection hidden="1"/>
    </xf>
    <xf numFmtId="49" fontId="0" fillId="9" borderId="0" xfId="0" applyNumberFormat="1" applyFill="1" applyProtection="1">
      <protection hidden="1"/>
    </xf>
    <xf numFmtId="49" fontId="13" fillId="9" borderId="0" xfId="0" applyNumberFormat="1" applyFont="1" applyFill="1" applyProtection="1">
      <protection hidden="1"/>
    </xf>
    <xf numFmtId="49" fontId="0" fillId="9" borderId="0" xfId="0" applyNumberFormat="1" applyFill="1" applyProtection="1">
      <protection locked="0"/>
    </xf>
    <xf numFmtId="0" fontId="2" fillId="9" borderId="3" xfId="0" applyFont="1" applyFill="1" applyBorder="1" applyAlignment="1" applyProtection="1">
      <alignment horizontal="center"/>
      <protection hidden="1"/>
    </xf>
    <xf numFmtId="0" fontId="4" fillId="9" borderId="3" xfId="0" applyFont="1" applyFill="1" applyBorder="1" applyAlignment="1" applyProtection="1">
      <alignment horizontal="center"/>
      <protection hidden="1"/>
    </xf>
    <xf numFmtId="0" fontId="2" fillId="9" borderId="0" xfId="0" applyFont="1" applyFill="1" applyAlignment="1" applyProtection="1">
      <alignment horizontal="center"/>
      <protection hidden="1"/>
    </xf>
    <xf numFmtId="0" fontId="2" fillId="9" borderId="0" xfId="0" quotePrefix="1" applyFont="1" applyFill="1" applyAlignment="1" applyProtection="1">
      <alignment horizontal="center"/>
      <protection hidden="1"/>
    </xf>
    <xf numFmtId="0" fontId="12" fillId="9" borderId="0" xfId="0" applyFont="1" applyFill="1"/>
    <xf numFmtId="0" fontId="13" fillId="9" borderId="0" xfId="0" applyFont="1" applyFill="1"/>
    <xf numFmtId="0" fontId="3" fillId="9" borderId="0" xfId="1" applyFont="1" applyFill="1" applyBorder="1" applyAlignment="1" applyProtection="1">
      <alignment horizontal="center"/>
      <protection hidden="1"/>
    </xf>
    <xf numFmtId="20" fontId="3" fillId="9" borderId="0" xfId="1" applyNumberFormat="1" applyFont="1" applyFill="1" applyBorder="1" applyAlignment="1" applyProtection="1">
      <alignment horizontal="center"/>
      <protection hidden="1"/>
    </xf>
    <xf numFmtId="49" fontId="3" fillId="9" borderId="0" xfId="1" applyNumberFormat="1" applyFont="1" applyFill="1" applyBorder="1" applyAlignment="1" applyProtection="1">
      <alignment horizontal="center"/>
      <protection hidden="1"/>
    </xf>
    <xf numFmtId="0" fontId="5" fillId="9" borderId="4" xfId="0" applyFont="1" applyFill="1" applyBorder="1" applyAlignment="1" applyProtection="1">
      <alignment horizontal="center"/>
      <protection hidden="1"/>
    </xf>
    <xf numFmtId="0" fontId="5" fillId="9" borderId="5" xfId="0" applyFont="1" applyFill="1" applyBorder="1" applyAlignment="1" applyProtection="1">
      <alignment horizontal="center"/>
      <protection hidden="1"/>
    </xf>
    <xf numFmtId="0" fontId="2" fillId="9" borderId="1" xfId="0" applyFont="1" applyFill="1" applyBorder="1" applyAlignment="1" applyProtection="1">
      <alignment horizontal="center"/>
      <protection hidden="1"/>
    </xf>
    <xf numFmtId="0" fontId="7" fillId="9" borderId="0" xfId="0" applyFont="1" applyFill="1" applyAlignment="1" applyProtection="1">
      <alignment horizontal="center"/>
      <protection locked="0"/>
    </xf>
    <xf numFmtId="0" fontId="20" fillId="0" borderId="1" xfId="0" applyFont="1" applyBorder="1" applyAlignment="1" applyProtection="1">
      <alignment horizontal="center" vertical="center" wrapText="1"/>
      <protection hidden="1"/>
    </xf>
    <xf numFmtId="0" fontId="19" fillId="9" borderId="0" xfId="0" applyFont="1" applyFill="1" applyAlignment="1" applyProtection="1">
      <alignment horizontal="center" vertical="center" wrapText="1"/>
      <protection hidden="1"/>
    </xf>
    <xf numFmtId="0" fontId="0" fillId="9" borderId="0" xfId="0" applyFill="1" applyAlignment="1" applyProtection="1">
      <alignment horizontal="center" vertical="center"/>
      <protection hidden="1"/>
    </xf>
    <xf numFmtId="0" fontId="14" fillId="9" borderId="0" xfId="0" applyFont="1" applyFill="1"/>
    <xf numFmtId="3" fontId="14" fillId="9" borderId="0" xfId="0" applyNumberFormat="1" applyFont="1" applyFill="1" applyProtection="1">
      <protection hidden="1"/>
    </xf>
    <xf numFmtId="0" fontId="22" fillId="9" borderId="0" xfId="0" applyFont="1" applyFill="1" applyProtection="1">
      <protection hidden="1"/>
    </xf>
    <xf numFmtId="0" fontId="14" fillId="0" borderId="0" xfId="0" applyFont="1"/>
    <xf numFmtId="0" fontId="21" fillId="9" borderId="0" xfId="0" applyFont="1" applyFill="1"/>
    <xf numFmtId="0" fontId="21" fillId="9" borderId="0" xfId="0" applyFont="1" applyFill="1" applyAlignment="1" applyProtection="1">
      <alignment horizontal="center" vertical="center"/>
      <protection hidden="1"/>
    </xf>
    <xf numFmtId="0" fontId="21" fillId="9" borderId="0" xfId="0" applyFont="1" applyFill="1" applyAlignment="1">
      <alignment horizontal="center" vertical="center"/>
    </xf>
    <xf numFmtId="0" fontId="14" fillId="9" borderId="0" xfId="0" applyFont="1" applyFill="1" applyProtection="1">
      <protection hidden="1"/>
    </xf>
    <xf numFmtId="0" fontId="13" fillId="9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24" fillId="9" borderId="0" xfId="0" applyFont="1" applyFill="1" applyAlignment="1" applyProtection="1">
      <alignment horizontal="center" vertical="center"/>
      <protection hidden="1"/>
    </xf>
    <xf numFmtId="0" fontId="25" fillId="9" borderId="0" xfId="0" applyFont="1" applyFill="1" applyAlignment="1" applyProtection="1">
      <alignment horizontal="center" vertical="center"/>
      <protection hidden="1"/>
    </xf>
    <xf numFmtId="0" fontId="26" fillId="9" borderId="0" xfId="0" applyFont="1" applyFill="1" applyAlignment="1" applyProtection="1">
      <alignment horizontal="left" vertical="center"/>
      <protection hidden="1"/>
    </xf>
    <xf numFmtId="0" fontId="11" fillId="9" borderId="0" xfId="0" applyFont="1" applyFill="1" applyAlignment="1" applyProtection="1">
      <alignment vertical="center" wrapText="1"/>
      <protection hidden="1"/>
    </xf>
    <xf numFmtId="0" fontId="22" fillId="9" borderId="0" xfId="0" applyFont="1" applyFill="1"/>
    <xf numFmtId="0" fontId="29" fillId="9" borderId="0" xfId="0" applyFont="1" applyFill="1" applyProtection="1">
      <protection hidden="1"/>
    </xf>
    <xf numFmtId="0" fontId="30" fillId="9" borderId="0" xfId="0" applyFont="1" applyFill="1"/>
    <xf numFmtId="0" fontId="14" fillId="9" borderId="0" xfId="0" applyFont="1" applyFill="1" applyAlignment="1">
      <alignment horizontal="center" vertical="center"/>
    </xf>
    <xf numFmtId="0" fontId="23" fillId="9" borderId="0" xfId="0" applyFont="1" applyFill="1" applyAlignment="1" applyProtection="1">
      <alignment horizontal="center" vertical="center"/>
      <protection hidden="1"/>
    </xf>
    <xf numFmtId="0" fontId="31" fillId="9" borderId="0" xfId="0" applyFont="1" applyFill="1"/>
    <xf numFmtId="0" fontId="24" fillId="9" borderId="0" xfId="0" applyFont="1" applyFill="1"/>
    <xf numFmtId="0" fontId="14" fillId="9" borderId="0" xfId="0" applyFont="1" applyFill="1" applyAlignment="1" applyProtection="1">
      <alignment horizontal="center" vertical="center"/>
      <protection locked="0"/>
    </xf>
    <xf numFmtId="0" fontId="7" fillId="9" borderId="0" xfId="0" applyFont="1" applyFill="1" applyAlignment="1" applyProtection="1">
      <alignment horizontal="center" vertical="center"/>
      <protection locked="0"/>
    </xf>
    <xf numFmtId="0" fontId="21" fillId="9" borderId="0" xfId="0" applyFont="1" applyFill="1" applyProtection="1">
      <protection hidden="1"/>
    </xf>
    <xf numFmtId="0" fontId="33" fillId="9" borderId="0" xfId="0" applyFont="1" applyFill="1" applyProtection="1">
      <protection hidden="1"/>
    </xf>
    <xf numFmtId="0" fontId="11" fillId="9" borderId="0" xfId="0" applyFont="1" applyFill="1" applyAlignment="1" applyProtection="1">
      <alignment horizontal="center" vertical="center" wrapText="1"/>
      <protection hidden="1"/>
    </xf>
    <xf numFmtId="0" fontId="34" fillId="9" borderId="0" xfId="0" applyFont="1" applyFill="1" applyProtection="1">
      <protection hidden="1"/>
    </xf>
    <xf numFmtId="0" fontId="35" fillId="9" borderId="0" xfId="0" applyFont="1" applyFill="1" applyAlignment="1" applyProtection="1">
      <alignment horizontal="center" vertical="center"/>
      <protection hidden="1"/>
    </xf>
    <xf numFmtId="0" fontId="36" fillId="9" borderId="0" xfId="0" applyFont="1" applyFill="1" applyAlignment="1" applyProtection="1">
      <alignment horizontal="center"/>
      <protection hidden="1"/>
    </xf>
    <xf numFmtId="0" fontId="36" fillId="9" borderId="4" xfId="0" applyFont="1" applyFill="1" applyBorder="1" applyAlignment="1" applyProtection="1">
      <alignment horizontal="center" vertical="center"/>
      <protection hidden="1"/>
    </xf>
    <xf numFmtId="0" fontId="37" fillId="9" borderId="1" xfId="0" applyFont="1" applyFill="1" applyBorder="1" applyAlignment="1" applyProtection="1">
      <alignment horizontal="center" vertical="center" wrapText="1"/>
      <protection hidden="1"/>
    </xf>
    <xf numFmtId="0" fontId="8" fillId="8" borderId="1" xfId="0" applyFont="1" applyFill="1" applyBorder="1" applyAlignment="1" applyProtection="1">
      <alignment horizontal="center"/>
      <protection hidden="1"/>
    </xf>
    <xf numFmtId="0" fontId="2" fillId="9" borderId="0" xfId="0" applyFont="1" applyFill="1" applyAlignment="1" applyProtection="1">
      <alignment horizontal="right"/>
      <protection hidden="1"/>
    </xf>
    <xf numFmtId="0" fontId="9" fillId="9" borderId="0" xfId="0" applyFont="1" applyFill="1" applyAlignment="1" applyProtection="1">
      <alignment horizontal="right"/>
      <protection hidden="1"/>
    </xf>
    <xf numFmtId="0" fontId="8" fillId="8" borderId="8" xfId="0" applyFont="1" applyFill="1" applyBorder="1" applyAlignment="1" applyProtection="1">
      <alignment horizontal="center"/>
      <protection hidden="1"/>
    </xf>
    <xf numFmtId="0" fontId="8" fillId="8" borderId="9" xfId="0" applyFont="1" applyFill="1" applyBorder="1" applyAlignment="1" applyProtection="1">
      <alignment horizontal="center"/>
      <protection hidden="1"/>
    </xf>
    <xf numFmtId="0" fontId="14" fillId="7" borderId="12" xfId="0" applyFont="1" applyFill="1" applyBorder="1" applyAlignment="1" applyProtection="1">
      <alignment horizontal="center" vertical="center"/>
      <protection locked="0"/>
    </xf>
    <xf numFmtId="0" fontId="38" fillId="9" borderId="1" xfId="0" applyFont="1" applyFill="1" applyBorder="1" applyAlignment="1" applyProtection="1">
      <alignment horizontal="center" vertical="center"/>
      <protection locked="0"/>
    </xf>
    <xf numFmtId="0" fontId="25" fillId="9" borderId="1" xfId="0" applyFont="1" applyFill="1" applyBorder="1" applyAlignment="1" applyProtection="1">
      <alignment horizontal="center" vertical="center"/>
      <protection locked="0"/>
    </xf>
    <xf numFmtId="164" fontId="39" fillId="9" borderId="9" xfId="0" applyNumberFormat="1" applyFont="1" applyFill="1" applyBorder="1" applyAlignment="1" applyProtection="1">
      <alignment horizontal="center"/>
      <protection hidden="1"/>
    </xf>
    <xf numFmtId="164" fontId="39" fillId="9" borderId="11" xfId="0" applyNumberFormat="1" applyFont="1" applyFill="1" applyBorder="1" applyAlignment="1" applyProtection="1">
      <alignment horizontal="center"/>
      <protection hidden="1"/>
    </xf>
    <xf numFmtId="0" fontId="15" fillId="9" borderId="1" xfId="0" applyFont="1" applyFill="1" applyBorder="1" applyAlignment="1" applyProtection="1">
      <alignment horizontal="center" vertical="center"/>
      <protection locked="0"/>
    </xf>
    <xf numFmtId="0" fontId="2" fillId="9" borderId="9" xfId="0" applyFont="1" applyFill="1" applyBorder="1" applyAlignment="1" applyProtection="1">
      <alignment horizontal="center"/>
      <protection locked="0"/>
    </xf>
    <xf numFmtId="0" fontId="20" fillId="9" borderId="0" xfId="0" applyFont="1" applyFill="1" applyProtection="1">
      <protection hidden="1"/>
    </xf>
    <xf numFmtId="0" fontId="20" fillId="9" borderId="0" xfId="0" applyFont="1" applyFill="1"/>
    <xf numFmtId="0" fontId="20" fillId="0" borderId="0" xfId="0" applyFont="1"/>
    <xf numFmtId="0" fontId="20" fillId="9" borderId="0" xfId="0" applyFont="1" applyFill="1" applyAlignment="1" applyProtection="1">
      <alignment wrapText="1"/>
      <protection hidden="1"/>
    </xf>
    <xf numFmtId="0" fontId="19" fillId="9" borderId="0" xfId="0" applyFont="1" applyFill="1" applyAlignment="1" applyProtection="1">
      <alignment wrapText="1"/>
      <protection hidden="1"/>
    </xf>
    <xf numFmtId="0" fontId="16" fillId="9" borderId="0" xfId="0" applyFont="1" applyFill="1" applyProtection="1">
      <protection hidden="1"/>
    </xf>
    <xf numFmtId="0" fontId="37" fillId="9" borderId="0" xfId="0" applyFont="1" applyFill="1" applyProtection="1">
      <protection hidden="1"/>
    </xf>
    <xf numFmtId="49" fontId="40" fillId="0" borderId="1" xfId="0" applyNumberFormat="1" applyFont="1" applyBorder="1" applyAlignment="1" applyProtection="1">
      <alignment horizontal="center" vertical="center" wrapText="1"/>
      <protection hidden="1"/>
    </xf>
    <xf numFmtId="0" fontId="37" fillId="9" borderId="0" xfId="0" applyFont="1" applyFill="1"/>
    <xf numFmtId="0" fontId="37" fillId="9" borderId="0" xfId="0" applyFont="1" applyFill="1" applyAlignment="1" applyProtection="1">
      <alignment wrapText="1"/>
      <protection hidden="1"/>
    </xf>
    <xf numFmtId="0" fontId="37" fillId="9" borderId="0" xfId="0" applyFont="1" applyFill="1" applyAlignment="1" applyProtection="1">
      <alignment horizontal="center" vertical="center" wrapText="1"/>
      <protection hidden="1"/>
    </xf>
    <xf numFmtId="0" fontId="41" fillId="9" borderId="0" xfId="0" applyFont="1" applyFill="1" applyProtection="1">
      <protection hidden="1"/>
    </xf>
    <xf numFmtId="0" fontId="14" fillId="9" borderId="0" xfId="0" applyFont="1" applyFill="1" applyAlignment="1" applyProtection="1">
      <alignment horizontal="center" vertical="center"/>
      <protection hidden="1"/>
    </xf>
    <xf numFmtId="49" fontId="21" fillId="9" borderId="0" xfId="0" applyNumberFormat="1" applyFont="1" applyFill="1" applyProtection="1">
      <protection hidden="1"/>
    </xf>
    <xf numFmtId="0" fontId="43" fillId="9" borderId="0" xfId="0" applyFont="1" applyFill="1" applyProtection="1">
      <protection hidden="1"/>
    </xf>
    <xf numFmtId="0" fontId="43" fillId="9" borderId="0" xfId="0" applyFont="1" applyFill="1"/>
    <xf numFmtId="0" fontId="44" fillId="9" borderId="0" xfId="0" applyFont="1" applyFill="1" applyProtection="1">
      <protection hidden="1"/>
    </xf>
    <xf numFmtId="0" fontId="44" fillId="9" borderId="0" xfId="0" applyFont="1" applyFill="1"/>
    <xf numFmtId="0" fontId="45" fillId="9" borderId="0" xfId="0" applyFont="1" applyFill="1" applyProtection="1">
      <protection hidden="1"/>
    </xf>
    <xf numFmtId="0" fontId="45" fillId="9" borderId="0" xfId="0" applyFont="1" applyFill="1"/>
    <xf numFmtId="3" fontId="21" fillId="9" borderId="0" xfId="0" applyNumberFormat="1" applyFont="1" applyFill="1" applyProtection="1">
      <protection hidden="1"/>
    </xf>
    <xf numFmtId="0" fontId="44" fillId="9" borderId="0" xfId="0" applyFont="1" applyFill="1" applyAlignment="1" applyProtection="1">
      <alignment horizontal="center" vertical="center"/>
      <protection hidden="1"/>
    </xf>
    <xf numFmtId="0" fontId="45" fillId="9" borderId="0" xfId="0" applyFont="1" applyFill="1" applyAlignment="1" applyProtection="1">
      <alignment horizontal="center" vertical="center"/>
      <protection hidden="1"/>
    </xf>
    <xf numFmtId="0" fontId="16" fillId="9" borderId="0" xfId="0" applyFont="1" applyFill="1"/>
    <xf numFmtId="0" fontId="41" fillId="9" borderId="0" xfId="0" applyFont="1" applyFill="1"/>
    <xf numFmtId="0" fontId="28" fillId="9" borderId="0" xfId="0" applyFont="1" applyFill="1" applyAlignment="1" applyProtection="1">
      <alignment horizontal="center" vertical="center"/>
      <protection hidden="1"/>
    </xf>
    <xf numFmtId="0" fontId="32" fillId="9" borderId="18" xfId="0" applyFont="1" applyFill="1" applyBorder="1" applyAlignment="1" applyProtection="1">
      <alignment horizontal="center" vertical="center"/>
      <protection hidden="1"/>
    </xf>
    <xf numFmtId="0" fontId="27" fillId="0" borderId="25" xfId="0" applyFont="1" applyBorder="1" applyAlignment="1" applyProtection="1">
      <alignment horizontal="center" vertical="center" wrapText="1"/>
      <protection hidden="1"/>
    </xf>
    <xf numFmtId="0" fontId="27" fillId="0" borderId="19" xfId="0" applyFont="1" applyBorder="1" applyAlignment="1" applyProtection="1">
      <alignment horizontal="center" vertical="center" wrapText="1"/>
      <protection hidden="1"/>
    </xf>
    <xf numFmtId="0" fontId="27" fillId="0" borderId="20" xfId="0" applyFont="1" applyBorder="1" applyAlignment="1" applyProtection="1">
      <alignment horizontal="center" vertical="center" wrapText="1"/>
      <protection hidden="1"/>
    </xf>
    <xf numFmtId="0" fontId="42" fillId="9" borderId="0" xfId="0" applyFont="1" applyFill="1" applyProtection="1">
      <protection hidden="1"/>
    </xf>
    <xf numFmtId="0" fontId="7" fillId="3" borderId="8" xfId="0" applyFont="1" applyFill="1" applyBorder="1" applyAlignment="1" applyProtection="1">
      <alignment horizontal="center"/>
      <protection hidden="1"/>
    </xf>
    <xf numFmtId="0" fontId="7" fillId="3" borderId="9" xfId="0" applyFont="1" applyFill="1" applyBorder="1" applyAlignment="1" applyProtection="1">
      <alignment horizontal="center"/>
      <protection hidden="1"/>
    </xf>
    <xf numFmtId="0" fontId="7" fillId="3" borderId="1" xfId="0" applyFont="1" applyFill="1" applyBorder="1" applyAlignment="1" applyProtection="1">
      <alignment horizontal="center"/>
      <protection hidden="1"/>
    </xf>
    <xf numFmtId="0" fontId="7" fillId="3" borderId="10" xfId="0" applyFont="1" applyFill="1" applyBorder="1" applyAlignment="1" applyProtection="1">
      <alignment horizontal="center"/>
      <protection hidden="1"/>
    </xf>
    <xf numFmtId="0" fontId="7" fillId="3" borderId="6" xfId="0" applyFont="1" applyFill="1" applyBorder="1" applyAlignment="1" applyProtection="1">
      <alignment horizontal="center"/>
      <protection hidden="1"/>
    </xf>
    <xf numFmtId="0" fontId="31" fillId="9" borderId="0" xfId="0" applyFont="1" applyFill="1" applyAlignment="1">
      <alignment horizontal="center" vertical="center"/>
    </xf>
    <xf numFmtId="0" fontId="46" fillId="9" borderId="0" xfId="0" applyFont="1" applyFill="1" applyAlignment="1" applyProtection="1">
      <alignment horizontal="center" vertical="center"/>
      <protection hidden="1"/>
    </xf>
    <xf numFmtId="0" fontId="47" fillId="9" borderId="1" xfId="0" applyFont="1" applyFill="1" applyBorder="1" applyAlignment="1" applyProtection="1">
      <alignment horizontal="center" vertical="center"/>
      <protection locked="0"/>
    </xf>
    <xf numFmtId="0" fontId="50" fillId="9" borderId="0" xfId="0" applyFont="1" applyFill="1" applyAlignment="1" applyProtection="1">
      <alignment horizontal="center"/>
      <protection hidden="1"/>
    </xf>
    <xf numFmtId="0" fontId="50" fillId="9" borderId="0" xfId="0" quotePrefix="1" applyFont="1" applyFill="1" applyAlignment="1" applyProtection="1">
      <alignment horizontal="center"/>
      <protection hidden="1"/>
    </xf>
    <xf numFmtId="0" fontId="3" fillId="9" borderId="0" xfId="0" applyFont="1" applyFill="1" applyAlignment="1" applyProtection="1">
      <alignment horizontal="center"/>
      <protection hidden="1"/>
    </xf>
    <xf numFmtId="0" fontId="0" fillId="9" borderId="0" xfId="0" applyFill="1" applyProtection="1">
      <protection locked="0"/>
    </xf>
    <xf numFmtId="0" fontId="43" fillId="0" borderId="0" xfId="0" applyFont="1"/>
    <xf numFmtId="0" fontId="51" fillId="9" borderId="0" xfId="0" applyFont="1" applyFill="1"/>
    <xf numFmtId="0" fontId="52" fillId="9" borderId="0" xfId="0" applyFont="1" applyFill="1" applyAlignment="1">
      <alignment horizontal="center" vertical="center"/>
    </xf>
    <xf numFmtId="0" fontId="52" fillId="9" borderId="0" xfId="0" applyFont="1" applyFill="1"/>
    <xf numFmtId="0" fontId="14" fillId="9" borderId="0" xfId="0" applyFont="1" applyFill="1" applyAlignment="1" applyProtection="1">
      <alignment horizontal="center" vertical="center" wrapText="1"/>
      <protection hidden="1"/>
    </xf>
    <xf numFmtId="0" fontId="50" fillId="9" borderId="0" xfId="0" applyFont="1" applyFill="1" applyAlignment="1">
      <alignment horizontal="center"/>
    </xf>
    <xf numFmtId="0" fontId="53" fillId="9" borderId="0" xfId="0" applyFont="1" applyFill="1" applyAlignment="1">
      <alignment horizontal="center"/>
    </xf>
    <xf numFmtId="0" fontId="54" fillId="9" borderId="0" xfId="0" applyFont="1" applyFill="1" applyAlignment="1" applyProtection="1">
      <alignment horizontal="center"/>
      <protection hidden="1"/>
    </xf>
    <xf numFmtId="164" fontId="50" fillId="9" borderId="0" xfId="0" applyNumberFormat="1" applyFont="1" applyFill="1" applyAlignment="1">
      <alignment horizontal="center" vertical="center"/>
    </xf>
    <xf numFmtId="0" fontId="50" fillId="9" borderId="0" xfId="0" quotePrefix="1" applyFont="1" applyFill="1" applyAlignment="1">
      <alignment horizontal="center"/>
    </xf>
    <xf numFmtId="0" fontId="50" fillId="9" borderId="0" xfId="0" applyFont="1" applyFill="1"/>
    <xf numFmtId="0" fontId="50" fillId="9" borderId="0" xfId="0" applyFont="1" applyFill="1" applyProtection="1">
      <protection hidden="1"/>
    </xf>
    <xf numFmtId="0" fontId="3" fillId="9" borderId="0" xfId="0" applyFont="1" applyFill="1" applyAlignment="1" applyProtection="1">
      <alignment horizontal="center" wrapText="1"/>
      <protection hidden="1"/>
    </xf>
    <xf numFmtId="0" fontId="31" fillId="9" borderId="0" xfId="0" applyFont="1" applyFill="1" applyProtection="1">
      <protection hidden="1"/>
    </xf>
    <xf numFmtId="0" fontId="55" fillId="9" borderId="0" xfId="0" applyFont="1" applyFill="1" applyProtection="1">
      <protection hidden="1"/>
    </xf>
    <xf numFmtId="0" fontId="27" fillId="0" borderId="19" xfId="0" applyFont="1" applyBorder="1" applyAlignment="1" applyProtection="1">
      <alignment horizontal="center" vertical="center" wrapText="1"/>
      <protection locked="0"/>
    </xf>
    <xf numFmtId="0" fontId="56" fillId="9" borderId="1" xfId="0" applyFont="1" applyFill="1" applyBorder="1" applyAlignment="1" applyProtection="1">
      <alignment horizontal="center" vertical="center"/>
      <protection locked="0"/>
    </xf>
    <xf numFmtId="0" fontId="23" fillId="9" borderId="0" xfId="0" applyFont="1" applyFill="1" applyProtection="1">
      <protection hidden="1"/>
    </xf>
    <xf numFmtId="0" fontId="23" fillId="9" borderId="0" xfId="0" applyFont="1" applyFill="1"/>
    <xf numFmtId="0" fontId="60" fillId="9" borderId="0" xfId="0" applyFont="1" applyFill="1"/>
    <xf numFmtId="0" fontId="61" fillId="9" borderId="0" xfId="0" applyFont="1" applyFill="1" applyProtection="1">
      <protection hidden="1"/>
    </xf>
    <xf numFmtId="0" fontId="62" fillId="0" borderId="0" xfId="0" applyFont="1" applyProtection="1">
      <protection hidden="1"/>
    </xf>
    <xf numFmtId="0" fontId="60" fillId="9" borderId="0" xfId="0" applyFont="1" applyFill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9" borderId="28" xfId="0" applyFill="1" applyBorder="1" applyProtection="1">
      <protection hidden="1"/>
    </xf>
    <xf numFmtId="0" fontId="21" fillId="9" borderId="0" xfId="0" applyFont="1" applyFill="1" applyAlignment="1" applyProtection="1">
      <alignment horizontal="center"/>
      <protection hidden="1"/>
    </xf>
    <xf numFmtId="0" fontId="65" fillId="0" borderId="0" xfId="0" applyFont="1" applyAlignment="1" applyProtection="1">
      <alignment horizontal="left" vertical="center"/>
      <protection hidden="1"/>
    </xf>
    <xf numFmtId="0" fontId="59" fillId="0" borderId="0" xfId="0" applyFont="1" applyAlignment="1" applyProtection="1">
      <alignment horizontal="left" vertical="center"/>
      <protection hidden="1"/>
    </xf>
    <xf numFmtId="0" fontId="66" fillId="0" borderId="0" xfId="0" applyFont="1" applyAlignment="1" applyProtection="1">
      <alignment horizontal="left" vertical="center"/>
      <protection hidden="1"/>
    </xf>
    <xf numFmtId="0" fontId="67" fillId="11" borderId="29" xfId="0" applyFont="1" applyFill="1" applyBorder="1" applyAlignment="1" applyProtection="1">
      <alignment vertical="center" wrapText="1"/>
      <protection locked="0"/>
    </xf>
    <xf numFmtId="0" fontId="67" fillId="11" borderId="3" xfId="0" applyFont="1" applyFill="1" applyBorder="1" applyAlignment="1" applyProtection="1">
      <alignment vertical="center" wrapText="1"/>
      <protection locked="0"/>
    </xf>
    <xf numFmtId="0" fontId="67" fillId="11" borderId="1" xfId="0" applyFont="1" applyFill="1" applyBorder="1" applyAlignment="1" applyProtection="1">
      <alignment vertical="center" wrapText="1"/>
      <protection hidden="1"/>
    </xf>
    <xf numFmtId="0" fontId="58" fillId="0" borderId="0" xfId="0" applyFont="1" applyAlignment="1" applyProtection="1">
      <alignment horizontal="center"/>
      <protection hidden="1"/>
    </xf>
    <xf numFmtId="0" fontId="0" fillId="9" borderId="0" xfId="0" applyFill="1" applyAlignment="1" applyProtection="1">
      <alignment horizontal="center"/>
      <protection hidden="1"/>
    </xf>
    <xf numFmtId="0" fontId="0" fillId="9" borderId="0" xfId="0" applyFill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21" fillId="9" borderId="0" xfId="0" applyFont="1" applyFill="1" applyAlignment="1" applyProtection="1">
      <alignment horizontal="center"/>
      <protection locked="0"/>
    </xf>
    <xf numFmtId="0" fontId="21" fillId="0" borderId="0" xfId="0" applyFont="1" applyAlignment="1" applyProtection="1">
      <alignment horizontal="center"/>
      <protection hidden="1"/>
    </xf>
    <xf numFmtId="0" fontId="21" fillId="0" borderId="0" xfId="0" applyFont="1" applyProtection="1">
      <protection hidden="1"/>
    </xf>
    <xf numFmtId="2" fontId="71" fillId="0" borderId="0" xfId="0" applyNumberFormat="1" applyFont="1" applyAlignment="1" applyProtection="1">
      <alignment horizontal="center" vertical="center"/>
      <protection hidden="1"/>
    </xf>
    <xf numFmtId="0" fontId="21" fillId="0" borderId="28" xfId="0" applyFont="1" applyBorder="1" applyProtection="1">
      <protection hidden="1"/>
    </xf>
    <xf numFmtId="165" fontId="21" fillId="0" borderId="0" xfId="0" applyNumberFormat="1" applyFont="1" applyAlignment="1" applyProtection="1">
      <alignment horizontal="center" vertical="center" wrapText="1"/>
      <protection hidden="1"/>
    </xf>
    <xf numFmtId="2" fontId="31" fillId="0" borderId="0" xfId="0" applyNumberFormat="1" applyFont="1" applyAlignment="1" applyProtection="1">
      <alignment horizontal="center" vertical="center" wrapText="1"/>
      <protection hidden="1"/>
    </xf>
    <xf numFmtId="0" fontId="31" fillId="0" borderId="0" xfId="0" applyFont="1" applyAlignment="1" applyProtection="1">
      <alignment horizontal="center"/>
      <protection hidden="1"/>
    </xf>
    <xf numFmtId="0" fontId="72" fillId="0" borderId="0" xfId="0" applyFont="1" applyAlignment="1" applyProtection="1">
      <alignment horizontal="center" vertical="center"/>
      <protection hidden="1"/>
    </xf>
    <xf numFmtId="165" fontId="1" fillId="9" borderId="0" xfId="0" applyNumberFormat="1" applyFont="1" applyFill="1" applyAlignment="1" applyProtection="1">
      <alignment horizontal="center" vertical="center"/>
      <protection hidden="1"/>
    </xf>
    <xf numFmtId="166" fontId="69" fillId="0" borderId="0" xfId="0" applyNumberFormat="1" applyFont="1" applyProtection="1">
      <protection hidden="1"/>
    </xf>
    <xf numFmtId="166" fontId="57" fillId="9" borderId="0" xfId="0" applyNumberFormat="1" applyFont="1" applyFill="1" applyAlignment="1" applyProtection="1">
      <alignment horizontal="center" vertical="center" wrapText="1"/>
      <protection hidden="1"/>
    </xf>
    <xf numFmtId="166" fontId="57" fillId="0" borderId="0" xfId="0" applyNumberFormat="1" applyFont="1" applyAlignment="1" applyProtection="1">
      <alignment horizontal="center" vertical="center" wrapText="1"/>
      <protection hidden="1"/>
    </xf>
    <xf numFmtId="1" fontId="57" fillId="0" borderId="0" xfId="0" applyNumberFormat="1" applyFont="1" applyAlignment="1" applyProtection="1">
      <alignment horizontal="center" vertical="center" wrapText="1"/>
      <protection hidden="1"/>
    </xf>
    <xf numFmtId="167" fontId="57" fillId="14" borderId="0" xfId="0" applyNumberFormat="1" applyFont="1" applyFill="1" applyAlignment="1" applyProtection="1">
      <alignment horizontal="center" vertical="center" wrapText="1"/>
      <protection hidden="1"/>
    </xf>
    <xf numFmtId="168" fontId="57" fillId="14" borderId="35" xfId="0" applyNumberFormat="1" applyFont="1" applyFill="1" applyBorder="1" applyAlignment="1" applyProtection="1">
      <alignment horizontal="center" vertical="center" wrapText="1"/>
      <protection hidden="1"/>
    </xf>
    <xf numFmtId="0" fontId="69" fillId="9" borderId="28" xfId="0" applyFont="1" applyFill="1" applyBorder="1" applyProtection="1">
      <protection hidden="1"/>
    </xf>
    <xf numFmtId="0" fontId="74" fillId="12" borderId="0" xfId="0" applyFont="1" applyFill="1" applyAlignment="1" applyProtection="1">
      <alignment horizontal="center" vertical="center" wrapText="1"/>
      <protection hidden="1"/>
    </xf>
    <xf numFmtId="0" fontId="57" fillId="16" borderId="39" xfId="0" applyFont="1" applyFill="1" applyBorder="1" applyAlignment="1" applyProtection="1">
      <alignment horizontal="left" vertical="center"/>
      <protection hidden="1"/>
    </xf>
    <xf numFmtId="0" fontId="0" fillId="0" borderId="0" xfId="0" applyAlignment="1" applyProtection="1">
      <alignment vertical="center"/>
      <protection hidden="1"/>
    </xf>
    <xf numFmtId="0" fontId="69" fillId="9" borderId="0" xfId="0" applyFont="1" applyFill="1" applyAlignment="1" applyProtection="1">
      <alignment horizontal="center" vertical="center"/>
      <protection hidden="1"/>
    </xf>
    <xf numFmtId="0" fontId="0" fillId="9" borderId="0" xfId="0" applyFill="1" applyAlignment="1" applyProtection="1">
      <alignment vertical="center"/>
      <protection hidden="1"/>
    </xf>
    <xf numFmtId="0" fontId="0" fillId="9" borderId="28" xfId="0" applyFill="1" applyBorder="1" applyAlignment="1" applyProtection="1">
      <alignment vertical="center"/>
      <protection hidden="1"/>
    </xf>
    <xf numFmtId="0" fontId="21" fillId="9" borderId="0" xfId="0" applyFont="1" applyFill="1" applyAlignment="1" applyProtection="1">
      <alignment vertical="center"/>
      <protection hidden="1"/>
    </xf>
    <xf numFmtId="0" fontId="75" fillId="9" borderId="0" xfId="0" applyFont="1" applyFill="1" applyAlignment="1" applyProtection="1">
      <alignment horizontal="center" vertical="center" wrapText="1"/>
      <protection hidden="1"/>
    </xf>
    <xf numFmtId="2" fontId="76" fillId="17" borderId="0" xfId="0" applyNumberFormat="1" applyFont="1" applyFill="1" applyAlignment="1" applyProtection="1">
      <alignment horizontal="center" vertical="center"/>
      <protection hidden="1"/>
    </xf>
    <xf numFmtId="0" fontId="77" fillId="9" borderId="0" xfId="0" applyFont="1" applyFill="1" applyAlignment="1" applyProtection="1">
      <alignment horizontal="left" vertical="center"/>
      <protection hidden="1"/>
    </xf>
    <xf numFmtId="0" fontId="74" fillId="12" borderId="38" xfId="0" applyFont="1" applyFill="1" applyBorder="1" applyAlignment="1" applyProtection="1">
      <alignment horizontal="center" vertical="center" wrapText="1"/>
      <protection hidden="1"/>
    </xf>
    <xf numFmtId="0" fontId="64" fillId="9" borderId="0" xfId="0" applyFont="1" applyFill="1" applyAlignment="1" applyProtection="1">
      <alignment vertical="center"/>
      <protection hidden="1"/>
    </xf>
    <xf numFmtId="0" fontId="78" fillId="9" borderId="0" xfId="0" applyFont="1" applyFill="1" applyAlignment="1" applyProtection="1">
      <alignment vertical="center"/>
      <protection hidden="1"/>
    </xf>
    <xf numFmtId="0" fontId="65" fillId="9" borderId="0" xfId="0" applyFont="1" applyFill="1" applyAlignment="1" applyProtection="1">
      <alignment horizontal="center" vertical="center"/>
      <protection hidden="1"/>
    </xf>
    <xf numFmtId="0" fontId="78" fillId="9" borderId="0" xfId="0" applyFont="1" applyFill="1" applyAlignment="1" applyProtection="1">
      <alignment horizontal="left" vertical="center"/>
      <protection hidden="1"/>
    </xf>
    <xf numFmtId="0" fontId="72" fillId="9" borderId="0" xfId="0" applyFont="1" applyFill="1" applyAlignment="1" applyProtection="1">
      <alignment horizontal="center" vertical="center"/>
      <protection hidden="1"/>
    </xf>
    <xf numFmtId="0" fontId="83" fillId="9" borderId="0" xfId="0" applyFont="1" applyFill="1" applyAlignment="1" applyProtection="1">
      <alignment horizontal="center" vertical="center"/>
      <protection hidden="1"/>
    </xf>
    <xf numFmtId="0" fontId="84" fillId="9" borderId="0" xfId="0" applyFont="1" applyFill="1" applyAlignment="1" applyProtection="1">
      <alignment horizontal="center" vertical="center"/>
      <protection hidden="1"/>
    </xf>
    <xf numFmtId="0" fontId="80" fillId="9" borderId="28" xfId="0" applyFont="1" applyFill="1" applyBorder="1" applyAlignment="1" applyProtection="1">
      <alignment textRotation="255" wrapText="1"/>
      <protection hidden="1"/>
    </xf>
    <xf numFmtId="0" fontId="80" fillId="9" borderId="45" xfId="0" applyFont="1" applyFill="1" applyBorder="1" applyAlignment="1" applyProtection="1">
      <alignment textRotation="255" wrapText="1"/>
      <protection hidden="1"/>
    </xf>
    <xf numFmtId="0" fontId="23" fillId="9" borderId="8" xfId="0" applyFont="1" applyFill="1" applyBorder="1" applyProtection="1">
      <protection hidden="1"/>
    </xf>
    <xf numFmtId="0" fontId="23" fillId="9" borderId="9" xfId="0" applyFont="1" applyFill="1" applyBorder="1" applyProtection="1">
      <protection hidden="1"/>
    </xf>
    <xf numFmtId="0" fontId="23" fillId="9" borderId="10" xfId="0" applyFont="1" applyFill="1" applyBorder="1" applyProtection="1">
      <protection locked="0"/>
    </xf>
    <xf numFmtId="0" fontId="85" fillId="0" borderId="0" xfId="0" applyFont="1" applyProtection="1">
      <protection hidden="1"/>
    </xf>
    <xf numFmtId="0" fontId="65" fillId="0" borderId="0" xfId="0" applyFont="1" applyAlignment="1" applyProtection="1">
      <alignment horizontal="center" vertical="center"/>
      <protection hidden="1"/>
    </xf>
    <xf numFmtId="0" fontId="78" fillId="0" borderId="0" xfId="0" applyFont="1" applyAlignment="1" applyProtection="1">
      <alignment horizontal="left" vertical="center"/>
      <protection hidden="1"/>
    </xf>
    <xf numFmtId="0" fontId="14" fillId="7" borderId="12" xfId="0" applyFont="1" applyFill="1" applyBorder="1" applyAlignment="1" applyProtection="1">
      <alignment horizontal="center" vertical="center"/>
      <protection hidden="1"/>
    </xf>
    <xf numFmtId="4" fontId="14" fillId="7" borderId="12" xfId="0" applyNumberFormat="1" applyFont="1" applyFill="1" applyBorder="1" applyAlignment="1" applyProtection="1">
      <alignment horizontal="center" vertical="center"/>
      <protection hidden="1"/>
    </xf>
    <xf numFmtId="4" fontId="14" fillId="9" borderId="0" xfId="0" applyNumberFormat="1" applyFont="1" applyFill="1" applyAlignment="1" applyProtection="1">
      <alignment horizontal="center" vertical="center"/>
      <protection hidden="1"/>
    </xf>
    <xf numFmtId="4" fontId="7" fillId="9" borderId="0" xfId="0" applyNumberFormat="1" applyFont="1" applyFill="1" applyAlignment="1" applyProtection="1">
      <alignment horizontal="center" vertical="center"/>
      <protection hidden="1"/>
    </xf>
    <xf numFmtId="49" fontId="7" fillId="9" borderId="0" xfId="0" applyNumberFormat="1" applyFont="1" applyFill="1" applyAlignment="1" applyProtection="1">
      <alignment horizontal="center"/>
      <protection hidden="1"/>
    </xf>
    <xf numFmtId="0" fontId="7" fillId="9" borderId="0" xfId="0" applyFont="1" applyFill="1" applyAlignment="1" applyProtection="1">
      <alignment horizontal="center"/>
      <protection hidden="1"/>
    </xf>
    <xf numFmtId="0" fontId="86" fillId="9" borderId="0" xfId="0" quotePrefix="1" applyFont="1" applyFill="1" applyAlignment="1" applyProtection="1">
      <alignment horizontal="center"/>
      <protection hidden="1"/>
    </xf>
    <xf numFmtId="0" fontId="87" fillId="9" borderId="0" xfId="0" applyFont="1" applyFill="1" applyAlignment="1" applyProtection="1">
      <alignment horizontal="center"/>
      <protection hidden="1"/>
    </xf>
    <xf numFmtId="0" fontId="86" fillId="9" borderId="0" xfId="0" applyFont="1" applyFill="1" applyAlignment="1" applyProtection="1">
      <alignment horizontal="center"/>
      <protection hidden="1"/>
    </xf>
    <xf numFmtId="0" fontId="11" fillId="6" borderId="6" xfId="0" applyFont="1" applyFill="1" applyBorder="1" applyAlignment="1" applyProtection="1">
      <alignment horizontal="center" vertical="center"/>
      <protection locked="0"/>
    </xf>
    <xf numFmtId="0" fontId="11" fillId="6" borderId="11" xfId="0" applyFont="1" applyFill="1" applyBorder="1" applyAlignment="1" applyProtection="1">
      <alignment horizontal="center" vertical="center"/>
      <protection locked="0"/>
    </xf>
    <xf numFmtId="0" fontId="36" fillId="9" borderId="49" xfId="0" applyFont="1" applyFill="1" applyBorder="1" applyAlignment="1" applyProtection="1">
      <alignment horizontal="center" vertical="top"/>
      <protection hidden="1"/>
    </xf>
    <xf numFmtId="0" fontId="23" fillId="9" borderId="0" xfId="0" applyFont="1" applyFill="1" applyAlignment="1" applyProtection="1">
      <alignment horizontal="right"/>
      <protection locked="0"/>
    </xf>
    <xf numFmtId="0" fontId="23" fillId="9" borderId="0" xfId="0" applyFont="1" applyFill="1" applyAlignment="1">
      <alignment horizontal="right" vertical="center"/>
    </xf>
    <xf numFmtId="0" fontId="23" fillId="9" borderId="0" xfId="0" applyFont="1" applyFill="1" applyAlignment="1">
      <alignment horizontal="right"/>
    </xf>
    <xf numFmtId="0" fontId="25" fillId="19" borderId="47" xfId="0" applyFont="1" applyFill="1" applyBorder="1" applyAlignment="1" applyProtection="1">
      <alignment horizontal="left" vertical="center"/>
      <protection hidden="1"/>
    </xf>
    <xf numFmtId="0" fontId="25" fillId="19" borderId="11" xfId="0" applyFont="1" applyFill="1" applyBorder="1" applyAlignment="1" applyProtection="1">
      <alignment horizontal="left"/>
      <protection hidden="1"/>
    </xf>
    <xf numFmtId="0" fontId="89" fillId="13" borderId="48" xfId="0" applyFont="1" applyFill="1" applyBorder="1" applyAlignment="1" applyProtection="1">
      <alignment horizontal="right" vertical="center"/>
      <protection locked="0"/>
    </xf>
    <xf numFmtId="0" fontId="0" fillId="0" borderId="0" xfId="0" applyProtection="1">
      <protection locked="0"/>
    </xf>
    <xf numFmtId="0" fontId="89" fillId="13" borderId="10" xfId="0" applyFont="1" applyFill="1" applyBorder="1" applyAlignment="1" applyProtection="1">
      <alignment horizontal="right"/>
      <protection hidden="1"/>
    </xf>
    <xf numFmtId="0" fontId="91" fillId="0" borderId="0" xfId="0" applyFont="1" applyProtection="1">
      <protection hidden="1"/>
    </xf>
    <xf numFmtId="0" fontId="92" fillId="0" borderId="0" xfId="0" applyFont="1" applyProtection="1">
      <protection hidden="1"/>
    </xf>
    <xf numFmtId="0" fontId="93" fillId="9" borderId="0" xfId="0" applyFont="1" applyFill="1" applyProtection="1">
      <protection hidden="1"/>
    </xf>
    <xf numFmtId="0" fontId="94" fillId="9" borderId="0" xfId="0" applyFont="1" applyFill="1" applyAlignment="1" applyProtection="1">
      <alignment horizontal="center" vertical="center"/>
      <protection hidden="1"/>
    </xf>
    <xf numFmtId="0" fontId="93" fillId="9" borderId="0" xfId="0" applyFont="1" applyFill="1" applyAlignment="1" applyProtection="1">
      <alignment horizontal="center" vertical="center"/>
      <protection hidden="1"/>
    </xf>
    <xf numFmtId="0" fontId="93" fillId="0" borderId="0" xfId="0" applyFont="1" applyAlignment="1" applyProtection="1">
      <alignment horizontal="center" vertical="center"/>
      <protection hidden="1"/>
    </xf>
    <xf numFmtId="0" fontId="95" fillId="9" borderId="0" xfId="0" applyFont="1" applyFill="1" applyAlignment="1" applyProtection="1">
      <alignment horizontal="center" vertical="center"/>
      <protection hidden="1"/>
    </xf>
    <xf numFmtId="0" fontId="96" fillId="9" borderId="0" xfId="0" applyFont="1" applyFill="1" applyProtection="1">
      <protection hidden="1"/>
    </xf>
    <xf numFmtId="0" fontId="91" fillId="9" borderId="0" xfId="0" applyFont="1" applyFill="1" applyAlignment="1" applyProtection="1">
      <alignment horizontal="left" vertical="center"/>
      <protection hidden="1"/>
    </xf>
    <xf numFmtId="0" fontId="92" fillId="9" borderId="0" xfId="0" applyFont="1" applyFill="1" applyAlignment="1" applyProtection="1">
      <alignment horizontal="center"/>
      <protection hidden="1"/>
    </xf>
    <xf numFmtId="0" fontId="92" fillId="0" borderId="0" xfId="0" applyFont="1" applyAlignment="1" applyProtection="1">
      <alignment horizontal="center"/>
      <protection hidden="1"/>
    </xf>
    <xf numFmtId="0" fontId="97" fillId="0" borderId="0" xfId="0" applyFont="1" applyAlignment="1" applyProtection="1">
      <alignment horizontal="center" vertical="center"/>
      <protection hidden="1"/>
    </xf>
    <xf numFmtId="0" fontId="97" fillId="11" borderId="1" xfId="0" applyFont="1" applyFill="1" applyBorder="1" applyAlignment="1" applyProtection="1">
      <alignment horizontal="right" vertical="center"/>
      <protection hidden="1"/>
    </xf>
    <xf numFmtId="0" fontId="97" fillId="11" borderId="9" xfId="0" applyFont="1" applyFill="1" applyBorder="1" applyAlignment="1" applyProtection="1">
      <alignment horizontal="left" vertical="center"/>
      <protection hidden="1"/>
    </xf>
    <xf numFmtId="0" fontId="97" fillId="0" borderId="0" xfId="0" applyFont="1" applyProtection="1">
      <protection hidden="1"/>
    </xf>
    <xf numFmtId="0" fontId="98" fillId="0" borderId="0" xfId="0" applyFont="1" applyProtection="1">
      <protection hidden="1"/>
    </xf>
    <xf numFmtId="0" fontId="98" fillId="9" borderId="0" xfId="0" applyFont="1" applyFill="1" applyProtection="1">
      <protection hidden="1"/>
    </xf>
    <xf numFmtId="0" fontId="97" fillId="0" borderId="0" xfId="0" applyFont="1" applyAlignment="1" applyProtection="1">
      <alignment horizontal="left" vertical="center"/>
      <protection hidden="1"/>
    </xf>
    <xf numFmtId="0" fontId="80" fillId="9" borderId="0" xfId="0" applyFont="1" applyFill="1" applyAlignment="1" applyProtection="1">
      <alignment vertical="center" textRotation="255" wrapText="1"/>
      <protection hidden="1"/>
    </xf>
    <xf numFmtId="0" fontId="0" fillId="0" borderId="0" xfId="0" applyAlignment="1" applyProtection="1">
      <alignment horizontal="center" vertical="center"/>
      <protection hidden="1"/>
    </xf>
    <xf numFmtId="0" fontId="80" fillId="9" borderId="0" xfId="0" applyFont="1" applyFill="1" applyAlignment="1" applyProtection="1">
      <alignment horizontal="center" vertical="center" textRotation="255" wrapText="1"/>
      <protection hidden="1"/>
    </xf>
    <xf numFmtId="0" fontId="78" fillId="9" borderId="0" xfId="0" applyFont="1" applyFill="1" applyAlignment="1" applyProtection="1">
      <alignment horizontal="center" vertical="center"/>
      <protection hidden="1"/>
    </xf>
    <xf numFmtId="0" fontId="81" fillId="0" borderId="0" xfId="0" applyFont="1" applyAlignment="1" applyProtection="1">
      <alignment vertical="center"/>
      <protection hidden="1"/>
    </xf>
    <xf numFmtId="0" fontId="31" fillId="9" borderId="0" xfId="0" applyFont="1" applyFill="1" applyAlignment="1" applyProtection="1">
      <alignment vertical="center"/>
      <protection hidden="1"/>
    </xf>
    <xf numFmtId="0" fontId="82" fillId="9" borderId="0" xfId="0" applyFont="1" applyFill="1" applyAlignment="1" applyProtection="1">
      <alignment vertical="center"/>
      <protection hidden="1"/>
    </xf>
    <xf numFmtId="0" fontId="83" fillId="0" borderId="0" xfId="0" applyFont="1" applyAlignment="1" applyProtection="1">
      <alignment horizontal="center" vertical="center"/>
      <protection hidden="1"/>
    </xf>
    <xf numFmtId="0" fontId="72" fillId="9" borderId="0" xfId="0" applyFont="1" applyFill="1" applyProtection="1">
      <protection hidden="1"/>
    </xf>
    <xf numFmtId="0" fontId="72" fillId="0" borderId="0" xfId="0" applyFont="1" applyAlignment="1" applyProtection="1">
      <alignment horizontal="center"/>
      <protection hidden="1"/>
    </xf>
    <xf numFmtId="0" fontId="72" fillId="9" borderId="0" xfId="0" applyFont="1" applyFill="1" applyAlignment="1" applyProtection="1">
      <alignment horizontal="center"/>
      <protection hidden="1"/>
    </xf>
    <xf numFmtId="0" fontId="99" fillId="9" borderId="0" xfId="0" applyFont="1" applyFill="1" applyAlignment="1" applyProtection="1">
      <alignment vertical="center"/>
      <protection hidden="1"/>
    </xf>
    <xf numFmtId="2" fontId="64" fillId="12" borderId="0" xfId="0" applyNumberFormat="1" applyFont="1" applyFill="1" applyAlignment="1" applyProtection="1">
      <alignment horizontal="center" vertical="center"/>
      <protection hidden="1"/>
    </xf>
    <xf numFmtId="0" fontId="81" fillId="9" borderId="0" xfId="0" applyFont="1" applyFill="1" applyProtection="1">
      <protection hidden="1"/>
    </xf>
    <xf numFmtId="2" fontId="64" fillId="12" borderId="40" xfId="0" applyNumberFormat="1" applyFont="1" applyFill="1" applyBorder="1" applyAlignment="1" applyProtection="1">
      <alignment horizontal="center" vertical="center"/>
      <protection hidden="1"/>
    </xf>
    <xf numFmtId="166" fontId="64" fillId="12" borderId="37" xfId="0" applyNumberFormat="1" applyFont="1" applyFill="1" applyBorder="1" applyAlignment="1" applyProtection="1">
      <alignment horizontal="center" vertical="center"/>
      <protection hidden="1"/>
    </xf>
    <xf numFmtId="0" fontId="60" fillId="9" borderId="0" xfId="0" applyFont="1" applyFill="1" applyAlignment="1" applyProtection="1">
      <alignment vertical="top" wrapText="1"/>
      <protection hidden="1"/>
    </xf>
    <xf numFmtId="2" fontId="64" fillId="0" borderId="0" xfId="0" applyNumberFormat="1" applyFont="1" applyAlignment="1" applyProtection="1">
      <alignment horizontal="center" vertical="center"/>
      <protection hidden="1"/>
    </xf>
    <xf numFmtId="165" fontId="64" fillId="9" borderId="0" xfId="0" applyNumberFormat="1" applyFont="1" applyFill="1" applyAlignment="1" applyProtection="1">
      <alignment horizontal="center" vertical="center"/>
      <protection hidden="1"/>
    </xf>
    <xf numFmtId="0" fontId="81" fillId="0" borderId="0" xfId="0" applyFont="1" applyProtection="1">
      <protection hidden="1"/>
    </xf>
    <xf numFmtId="0" fontId="81" fillId="9" borderId="28" xfId="0" applyFont="1" applyFill="1" applyBorder="1" applyProtection="1">
      <protection locked="0" hidden="1"/>
    </xf>
    <xf numFmtId="0" fontId="81" fillId="13" borderId="0" xfId="0" applyFont="1" applyFill="1" applyAlignment="1" applyProtection="1">
      <alignment horizontal="center" vertical="center"/>
      <protection hidden="1"/>
    </xf>
    <xf numFmtId="0" fontId="81" fillId="9" borderId="0" xfId="0" applyFont="1" applyFill="1" applyAlignment="1" applyProtection="1">
      <alignment horizontal="center"/>
      <protection hidden="1"/>
    </xf>
    <xf numFmtId="0" fontId="81" fillId="9" borderId="0" xfId="0" applyFont="1" applyFill="1" applyAlignment="1" applyProtection="1">
      <alignment horizontal="center"/>
      <protection locked="0" hidden="1"/>
    </xf>
    <xf numFmtId="0" fontId="31" fillId="9" borderId="0" xfId="0" applyFont="1" applyFill="1" applyProtection="1">
      <protection locked="0" hidden="1"/>
    </xf>
    <xf numFmtId="0" fontId="81" fillId="9" borderId="0" xfId="0" applyFont="1" applyFill="1" applyProtection="1">
      <protection locked="0" hidden="1"/>
    </xf>
    <xf numFmtId="0" fontId="81" fillId="9" borderId="28" xfId="0" applyFont="1" applyFill="1" applyBorder="1" applyProtection="1">
      <protection hidden="1"/>
    </xf>
    <xf numFmtId="2" fontId="81" fillId="15" borderId="35" xfId="0" applyNumberFormat="1" applyFont="1" applyFill="1" applyBorder="1" applyAlignment="1" applyProtection="1">
      <alignment horizontal="center" vertical="center"/>
      <protection hidden="1"/>
    </xf>
    <xf numFmtId="2" fontId="81" fillId="15" borderId="0" xfId="0" applyNumberFormat="1" applyFont="1" applyFill="1" applyAlignment="1" applyProtection="1">
      <alignment horizontal="center" vertical="center"/>
      <protection hidden="1"/>
    </xf>
    <xf numFmtId="2" fontId="81" fillId="0" borderId="0" xfId="0" applyNumberFormat="1" applyFont="1" applyAlignment="1" applyProtection="1">
      <alignment horizontal="center" vertical="center"/>
      <protection hidden="1"/>
    </xf>
    <xf numFmtId="165" fontId="31" fillId="9" borderId="0" xfId="0" applyNumberFormat="1" applyFont="1" applyFill="1" applyAlignment="1" applyProtection="1">
      <alignment horizontal="center" vertical="center"/>
      <protection hidden="1"/>
    </xf>
    <xf numFmtId="0" fontId="81" fillId="13" borderId="1" xfId="0" applyFont="1" applyFill="1" applyBorder="1" applyAlignment="1" applyProtection="1">
      <alignment horizontal="center" vertical="center"/>
      <protection hidden="1"/>
    </xf>
    <xf numFmtId="2" fontId="81" fillId="13" borderId="46" xfId="0" applyNumberFormat="1" applyFont="1" applyFill="1" applyBorder="1" applyAlignment="1" applyProtection="1">
      <alignment horizontal="center" vertical="center"/>
      <protection hidden="1"/>
    </xf>
    <xf numFmtId="0" fontId="81" fillId="9" borderId="1" xfId="0" applyFont="1" applyFill="1" applyBorder="1" applyAlignment="1" applyProtection="1">
      <alignment horizontal="center"/>
      <protection hidden="1"/>
    </xf>
    <xf numFmtId="2" fontId="81" fillId="13" borderId="1" xfId="0" applyNumberFormat="1" applyFont="1" applyFill="1" applyBorder="1" applyAlignment="1" applyProtection="1">
      <alignment horizontal="center" vertical="center"/>
      <protection hidden="1"/>
    </xf>
    <xf numFmtId="0" fontId="31" fillId="9" borderId="1" xfId="0" applyFont="1" applyFill="1" applyBorder="1" applyProtection="1">
      <protection locked="0" hidden="1"/>
    </xf>
    <xf numFmtId="0" fontId="81" fillId="9" borderId="1" xfId="0" applyFont="1" applyFill="1" applyBorder="1" applyProtection="1">
      <protection locked="0" hidden="1"/>
    </xf>
    <xf numFmtId="0" fontId="81" fillId="9" borderId="1" xfId="0" applyFont="1" applyFill="1" applyBorder="1" applyProtection="1">
      <protection hidden="1"/>
    </xf>
    <xf numFmtId="0" fontId="31" fillId="9" borderId="1" xfId="0" applyFont="1" applyFill="1" applyBorder="1" applyProtection="1">
      <protection hidden="1"/>
    </xf>
    <xf numFmtId="0" fontId="2" fillId="9" borderId="0" xfId="0" applyFont="1" applyFill="1" applyAlignment="1" applyProtection="1">
      <alignment horizontal="center" vertical="center" wrapText="1"/>
      <protection hidden="1"/>
    </xf>
    <xf numFmtId="0" fontId="23" fillId="9" borderId="8" xfId="0" applyFont="1" applyFill="1" applyBorder="1" applyProtection="1">
      <protection locked="0"/>
    </xf>
    <xf numFmtId="0" fontId="23" fillId="9" borderId="11" xfId="0" applyFont="1" applyFill="1" applyBorder="1"/>
    <xf numFmtId="4" fontId="23" fillId="9" borderId="8" xfId="0" applyNumberFormat="1" applyFont="1" applyFill="1" applyBorder="1" applyProtection="1">
      <protection locked="0"/>
    </xf>
    <xf numFmtId="0" fontId="81" fillId="13" borderId="35" xfId="0" applyFont="1" applyFill="1" applyBorder="1" applyAlignment="1" applyProtection="1">
      <alignment horizontal="center" vertical="center"/>
      <protection hidden="1"/>
    </xf>
    <xf numFmtId="0" fontId="57" fillId="16" borderId="56" xfId="0" applyFont="1" applyFill="1" applyBorder="1" applyAlignment="1" applyProtection="1">
      <alignment horizontal="left" vertical="center"/>
      <protection hidden="1"/>
    </xf>
    <xf numFmtId="0" fontId="69" fillId="9" borderId="0" xfId="0" applyFont="1" applyFill="1" applyProtection="1">
      <protection hidden="1"/>
    </xf>
    <xf numFmtId="0" fontId="74" fillId="12" borderId="36" xfId="0" applyFont="1" applyFill="1" applyBorder="1" applyAlignment="1" applyProtection="1">
      <alignment horizontal="center" vertical="center" wrapText="1"/>
      <protection hidden="1"/>
    </xf>
    <xf numFmtId="2" fontId="81" fillId="13" borderId="29" xfId="0" applyNumberFormat="1" applyFont="1" applyFill="1" applyBorder="1" applyAlignment="1" applyProtection="1">
      <alignment horizontal="center" vertical="center"/>
      <protection hidden="1"/>
    </xf>
    <xf numFmtId="2" fontId="81" fillId="13" borderId="57" xfId="0" applyNumberFormat="1" applyFont="1" applyFill="1" applyBorder="1" applyAlignment="1" applyProtection="1">
      <alignment horizontal="center" vertical="center"/>
      <protection hidden="1"/>
    </xf>
    <xf numFmtId="0" fontId="2" fillId="13" borderId="32" xfId="0" applyFont="1" applyFill="1" applyBorder="1" applyAlignment="1" applyProtection="1">
      <alignment horizontal="center" vertical="center"/>
      <protection hidden="1"/>
    </xf>
    <xf numFmtId="0" fontId="2" fillId="13" borderId="0" xfId="0" applyFont="1" applyFill="1" applyAlignment="1" applyProtection="1">
      <alignment horizontal="center" vertical="center"/>
      <protection hidden="1"/>
    </xf>
    <xf numFmtId="169" fontId="23" fillId="9" borderId="10" xfId="0" applyNumberFormat="1" applyFont="1" applyFill="1" applyBorder="1" applyProtection="1">
      <protection locked="0"/>
    </xf>
    <xf numFmtId="0" fontId="7" fillId="9" borderId="0" xfId="0" applyFont="1" applyFill="1" applyAlignment="1" applyProtection="1">
      <alignment horizontal="center" vertical="center"/>
      <protection hidden="1"/>
    </xf>
    <xf numFmtId="0" fontId="11" fillId="4" borderId="58" xfId="0" applyFont="1" applyFill="1" applyBorder="1" applyAlignment="1" applyProtection="1">
      <alignment horizontal="center" vertical="center"/>
      <protection locked="0"/>
    </xf>
    <xf numFmtId="0" fontId="89" fillId="9" borderId="15" xfId="0" applyFont="1" applyFill="1" applyBorder="1" applyAlignment="1">
      <alignment horizontal="center" vertical="center"/>
    </xf>
    <xf numFmtId="0" fontId="11" fillId="5" borderId="31" xfId="0" applyFont="1" applyFill="1" applyBorder="1" applyAlignment="1" applyProtection="1">
      <alignment horizontal="center" vertical="center"/>
      <protection locked="0"/>
    </xf>
    <xf numFmtId="0" fontId="10" fillId="4" borderId="48" xfId="0" applyFont="1" applyFill="1" applyBorder="1" applyAlignment="1" applyProtection="1">
      <alignment horizontal="center" vertical="center" wrapText="1"/>
      <protection hidden="1"/>
    </xf>
    <xf numFmtId="0" fontId="11" fillId="4" borderId="12" xfId="0" applyFont="1" applyFill="1" applyBorder="1" applyAlignment="1" applyProtection="1">
      <alignment horizontal="center" vertical="center"/>
      <protection locked="0"/>
    </xf>
    <xf numFmtId="0" fontId="11" fillId="4" borderId="51" xfId="0" applyFont="1" applyFill="1" applyBorder="1" applyAlignment="1" applyProtection="1">
      <alignment horizontal="center" vertical="center"/>
      <protection locked="0"/>
    </xf>
    <xf numFmtId="0" fontId="10" fillId="5" borderId="10" xfId="0" applyFont="1" applyFill="1" applyBorder="1" applyAlignment="1" applyProtection="1">
      <alignment horizontal="center" vertical="center" wrapText="1"/>
      <protection hidden="1"/>
    </xf>
    <xf numFmtId="0" fontId="11" fillId="5" borderId="6" xfId="0" applyFont="1" applyFill="1" applyBorder="1" applyAlignment="1" applyProtection="1">
      <alignment horizontal="center" vertical="center"/>
      <protection locked="0"/>
    </xf>
    <xf numFmtId="0" fontId="0" fillId="9" borderId="0" xfId="0" applyFill="1" applyBorder="1" applyProtection="1">
      <protection hidden="1"/>
    </xf>
    <xf numFmtId="0" fontId="97" fillId="11" borderId="12" xfId="0" applyFont="1" applyFill="1" applyBorder="1" applyAlignment="1" applyProtection="1">
      <alignment horizontal="right" vertical="center"/>
      <protection hidden="1"/>
    </xf>
    <xf numFmtId="0" fontId="97" fillId="11" borderId="47" xfId="0" applyFont="1" applyFill="1" applyBorder="1" applyAlignment="1" applyProtection="1">
      <alignment horizontal="left" vertical="center"/>
      <protection hidden="1"/>
    </xf>
    <xf numFmtId="170" fontId="81" fillId="13" borderId="29" xfId="0" applyNumberFormat="1" applyFont="1" applyFill="1" applyBorder="1" applyAlignment="1" applyProtection="1">
      <alignment horizontal="center" vertical="center"/>
      <protection hidden="1"/>
    </xf>
    <xf numFmtId="171" fontId="90" fillId="20" borderId="14" xfId="0" applyNumberFormat="1" applyFont="1" applyFill="1" applyBorder="1" applyAlignment="1" applyProtection="1">
      <alignment horizontal="right" vertical="center"/>
      <protection locked="0"/>
    </xf>
    <xf numFmtId="4" fontId="90" fillId="20" borderId="21" xfId="0" applyNumberFormat="1" applyFont="1" applyFill="1" applyBorder="1" applyAlignment="1" applyProtection="1">
      <alignment vertical="center"/>
      <protection locked="0"/>
    </xf>
    <xf numFmtId="166" fontId="81" fillId="0" borderId="0" xfId="0" applyNumberFormat="1" applyFont="1" applyAlignment="1" applyProtection="1">
      <alignment vertical="center"/>
      <protection hidden="1"/>
    </xf>
    <xf numFmtId="0" fontId="81" fillId="0" borderId="0" xfId="0" applyFont="1" applyAlignment="1" applyProtection="1">
      <alignment horizontal="left" vertical="center"/>
      <protection hidden="1"/>
    </xf>
    <xf numFmtId="0" fontId="72" fillId="0" borderId="0" xfId="0" applyFont="1" applyFill="1" applyAlignment="1" applyProtection="1">
      <alignment horizontal="center" vertical="center"/>
      <protection hidden="1"/>
    </xf>
    <xf numFmtId="3" fontId="81" fillId="0" borderId="0" xfId="0" applyNumberFormat="1" applyFont="1" applyAlignment="1" applyProtection="1">
      <alignment horizontal="right" vertical="center"/>
      <protection hidden="1"/>
    </xf>
    <xf numFmtId="3" fontId="83" fillId="16" borderId="1" xfId="0" applyNumberFormat="1" applyFont="1" applyFill="1" applyBorder="1" applyAlignment="1" applyProtection="1">
      <alignment horizontal="center" vertical="center"/>
      <protection locked="0"/>
    </xf>
    <xf numFmtId="0" fontId="83" fillId="9" borderId="0" xfId="0" applyFont="1" applyFill="1" applyBorder="1" applyAlignment="1" applyProtection="1">
      <alignment horizontal="left" vertical="center"/>
      <protection hidden="1"/>
    </xf>
    <xf numFmtId="0" fontId="79" fillId="9" borderId="44" xfId="0" applyFont="1" applyFill="1" applyBorder="1" applyAlignment="1" applyProtection="1">
      <alignment vertical="center" wrapText="1"/>
      <protection hidden="1"/>
    </xf>
    <xf numFmtId="0" fontId="79" fillId="9" borderId="0" xfId="0" applyFont="1" applyFill="1" applyAlignment="1" applyProtection="1">
      <alignment vertical="center" wrapText="1"/>
      <protection hidden="1"/>
    </xf>
    <xf numFmtId="0" fontId="13" fillId="9" borderId="0" xfId="0" applyFont="1" applyFill="1" applyAlignment="1" applyProtection="1">
      <alignment vertical="center"/>
      <protection hidden="1"/>
    </xf>
    <xf numFmtId="0" fontId="68" fillId="5" borderId="14" xfId="0" applyFont="1" applyFill="1" applyBorder="1" applyAlignment="1" applyProtection="1">
      <alignment horizontal="center" vertical="center"/>
      <protection locked="0"/>
    </xf>
    <xf numFmtId="0" fontId="68" fillId="5" borderId="21" xfId="0" applyFont="1" applyFill="1" applyBorder="1" applyAlignment="1" applyProtection="1">
      <alignment horizontal="center" vertical="center"/>
      <protection hidden="1"/>
    </xf>
    <xf numFmtId="0" fontId="26" fillId="9" borderId="0" xfId="0" applyFont="1" applyFill="1" applyAlignment="1" applyProtection="1">
      <alignment horizontal="center" vertical="center" wrapText="1"/>
      <protection hidden="1"/>
    </xf>
    <xf numFmtId="0" fontId="8" fillId="8" borderId="7" xfId="0" applyFont="1" applyFill="1" applyBorder="1" applyAlignment="1" applyProtection="1">
      <alignment horizontal="center"/>
      <protection hidden="1"/>
    </xf>
    <xf numFmtId="0" fontId="8" fillId="8" borderId="23" xfId="0" applyFont="1" applyFill="1" applyBorder="1" applyAlignment="1" applyProtection="1">
      <alignment horizontal="center"/>
      <protection hidden="1"/>
    </xf>
    <xf numFmtId="0" fontId="8" fillId="8" borderId="24" xfId="0" applyFont="1" applyFill="1" applyBorder="1" applyAlignment="1" applyProtection="1">
      <alignment horizontal="center"/>
      <protection hidden="1"/>
    </xf>
    <xf numFmtId="0" fontId="11" fillId="10" borderId="22" xfId="0" applyFont="1" applyFill="1" applyBorder="1" applyAlignment="1" applyProtection="1">
      <alignment horizontal="center" vertical="center" wrapText="1"/>
      <protection hidden="1"/>
    </xf>
    <xf numFmtId="0" fontId="11" fillId="9" borderId="0" xfId="0" applyFont="1" applyFill="1" applyAlignment="1" applyProtection="1">
      <alignment horizontal="center" vertical="center" wrapText="1"/>
      <protection hidden="1"/>
    </xf>
    <xf numFmtId="0" fontId="23" fillId="9" borderId="7" xfId="0" applyFont="1" applyFill="1" applyBorder="1" applyAlignment="1" applyProtection="1">
      <alignment horizontal="center"/>
      <protection hidden="1"/>
    </xf>
    <xf numFmtId="0" fontId="23" fillId="9" borderId="23" xfId="0" applyFont="1" applyFill="1" applyBorder="1" applyAlignment="1" applyProtection="1">
      <alignment horizontal="center"/>
      <protection hidden="1"/>
    </xf>
    <xf numFmtId="0" fontId="25" fillId="5" borderId="53" xfId="0" applyFont="1" applyFill="1" applyBorder="1" applyAlignment="1" applyProtection="1">
      <alignment horizontal="center" vertical="center"/>
      <protection hidden="1"/>
    </xf>
    <xf numFmtId="0" fontId="25" fillId="5" borderId="54" xfId="0" applyFont="1" applyFill="1" applyBorder="1" applyAlignment="1" applyProtection="1">
      <alignment horizontal="center" vertical="center"/>
      <protection hidden="1"/>
    </xf>
    <xf numFmtId="0" fontId="25" fillId="5" borderId="18" xfId="0" applyFont="1" applyFill="1" applyBorder="1" applyAlignment="1" applyProtection="1">
      <alignment horizontal="center"/>
      <protection hidden="1"/>
    </xf>
    <xf numFmtId="0" fontId="25" fillId="5" borderId="20" xfId="0" applyFont="1" applyFill="1" applyBorder="1" applyAlignment="1" applyProtection="1">
      <alignment horizontal="center"/>
      <protection hidden="1"/>
    </xf>
    <xf numFmtId="0" fontId="23" fillId="9" borderId="15" xfId="0" applyFont="1" applyFill="1" applyBorder="1" applyAlignment="1" applyProtection="1">
      <alignment horizontal="center" vertical="center" wrapText="1"/>
      <protection hidden="1"/>
    </xf>
    <xf numFmtId="0" fontId="23" fillId="9" borderId="21" xfId="0" applyFont="1" applyFill="1" applyBorder="1" applyAlignment="1" applyProtection="1">
      <alignment horizontal="center" vertical="center" wrapText="1"/>
      <protection hidden="1"/>
    </xf>
    <xf numFmtId="0" fontId="47" fillId="9" borderId="26" xfId="0" applyFont="1" applyFill="1" applyBorder="1" applyAlignment="1" applyProtection="1">
      <alignment horizontal="center" vertical="center" wrapText="1"/>
      <protection hidden="1"/>
    </xf>
    <xf numFmtId="0" fontId="47" fillId="9" borderId="27" xfId="0" applyFont="1" applyFill="1" applyBorder="1" applyAlignment="1" applyProtection="1">
      <alignment horizontal="center" vertical="center" wrapText="1"/>
      <protection hidden="1"/>
    </xf>
    <xf numFmtId="0" fontId="5" fillId="9" borderId="1" xfId="0" applyFont="1" applyFill="1" applyBorder="1" applyAlignment="1" applyProtection="1">
      <alignment horizontal="center"/>
      <protection hidden="1"/>
    </xf>
    <xf numFmtId="0" fontId="5" fillId="9" borderId="3" xfId="0" applyFont="1" applyFill="1" applyBorder="1" applyAlignment="1" applyProtection="1">
      <alignment horizontal="center"/>
      <protection hidden="1"/>
    </xf>
    <xf numFmtId="0" fontId="13" fillId="9" borderId="14" xfId="0" applyFont="1" applyFill="1" applyBorder="1" applyAlignment="1" applyProtection="1">
      <alignment horizontal="center" vertical="center" wrapText="1"/>
      <protection hidden="1"/>
    </xf>
    <xf numFmtId="0" fontId="13" fillId="9" borderId="15" xfId="0" applyFont="1" applyFill="1" applyBorder="1" applyAlignment="1" applyProtection="1">
      <alignment horizontal="center" vertical="center" wrapText="1"/>
      <protection hidden="1"/>
    </xf>
    <xf numFmtId="0" fontId="18" fillId="9" borderId="15" xfId="2" applyFont="1" applyFill="1" applyBorder="1" applyAlignment="1" applyProtection="1">
      <alignment horizontal="center" vertical="center" wrapText="1"/>
      <protection hidden="1"/>
    </xf>
    <xf numFmtId="0" fontId="18" fillId="9" borderId="21" xfId="2" applyFont="1" applyFill="1" applyBorder="1" applyAlignment="1" applyProtection="1">
      <alignment horizontal="center" vertical="center" wrapText="1"/>
      <protection hidden="1"/>
    </xf>
    <xf numFmtId="0" fontId="12" fillId="9" borderId="51" xfId="0" applyFont="1" applyFill="1" applyBorder="1" applyAlignment="1" applyProtection="1">
      <alignment horizontal="center" wrapText="1"/>
      <protection hidden="1"/>
    </xf>
    <xf numFmtId="0" fontId="12" fillId="9" borderId="50" xfId="0" applyFont="1" applyFill="1" applyBorder="1" applyAlignment="1" applyProtection="1">
      <alignment horizontal="center" wrapText="1"/>
      <protection hidden="1"/>
    </xf>
    <xf numFmtId="0" fontId="12" fillId="9" borderId="52" xfId="0" applyFont="1" applyFill="1" applyBorder="1" applyAlignment="1" applyProtection="1">
      <alignment horizontal="center" wrapText="1"/>
      <protection hidden="1"/>
    </xf>
    <xf numFmtId="0" fontId="81" fillId="9" borderId="55" xfId="0" applyFont="1" applyFill="1" applyBorder="1" applyAlignment="1" applyProtection="1">
      <alignment horizontal="center" vertical="top" wrapText="1"/>
      <protection locked="0"/>
    </xf>
    <xf numFmtId="0" fontId="81" fillId="9" borderId="0" xfId="0" applyFont="1" applyFill="1" applyBorder="1" applyAlignment="1" applyProtection="1">
      <alignment horizontal="center" vertical="top" wrapText="1"/>
      <protection locked="0"/>
    </xf>
    <xf numFmtId="0" fontId="72" fillId="0" borderId="0" xfId="0" applyFont="1" applyAlignment="1" applyProtection="1">
      <alignment horizontal="center" vertical="center"/>
      <protection hidden="1"/>
    </xf>
    <xf numFmtId="0" fontId="64" fillId="9" borderId="0" xfId="0" applyFont="1" applyFill="1" applyAlignment="1" applyProtection="1">
      <alignment horizontal="center" vertical="center" wrapText="1"/>
      <protection hidden="1"/>
    </xf>
    <xf numFmtId="0" fontId="64" fillId="9" borderId="0" xfId="0" applyFont="1" applyFill="1" applyAlignment="1" applyProtection="1">
      <alignment horizontal="center" vertical="center"/>
      <protection hidden="1"/>
    </xf>
    <xf numFmtId="0" fontId="64" fillId="12" borderId="43" xfId="0" applyFont="1" applyFill="1" applyBorder="1" applyAlignment="1" applyProtection="1">
      <alignment horizontal="center" vertical="center" wrapText="1"/>
      <protection hidden="1"/>
    </xf>
    <xf numFmtId="0" fontId="64" fillId="12" borderId="42" xfId="0" applyFont="1" applyFill="1" applyBorder="1" applyAlignment="1" applyProtection="1">
      <alignment horizontal="center" vertical="center" wrapText="1"/>
      <protection hidden="1"/>
    </xf>
    <xf numFmtId="166" fontId="64" fillId="12" borderId="41" xfId="0" applyNumberFormat="1" applyFont="1" applyFill="1" applyBorder="1" applyAlignment="1" applyProtection="1">
      <alignment horizontal="center" vertical="center"/>
      <protection hidden="1"/>
    </xf>
    <xf numFmtId="166" fontId="64" fillId="12" borderId="0" xfId="0" applyNumberFormat="1" applyFont="1" applyFill="1" applyAlignment="1" applyProtection="1">
      <alignment horizontal="center" vertical="center"/>
      <protection hidden="1"/>
    </xf>
    <xf numFmtId="0" fontId="58" fillId="0" borderId="0" xfId="0" applyFont="1" applyAlignment="1" applyProtection="1">
      <alignment horizontal="center"/>
      <protection hidden="1"/>
    </xf>
    <xf numFmtId="49" fontId="68" fillId="12" borderId="14" xfId="0" applyNumberFormat="1" applyFont="1" applyFill="1" applyBorder="1" applyAlignment="1" applyProtection="1">
      <alignment horizontal="center" vertical="center" wrapText="1"/>
      <protection hidden="1"/>
    </xf>
    <xf numFmtId="49" fontId="68" fillId="12" borderId="15" xfId="0" applyNumberFormat="1" applyFont="1" applyFill="1" applyBorder="1" applyAlignment="1" applyProtection="1">
      <alignment horizontal="center" vertical="center" wrapText="1"/>
      <protection hidden="1"/>
    </xf>
    <xf numFmtId="49" fontId="68" fillId="12" borderId="21" xfId="0" applyNumberFormat="1" applyFont="1" applyFill="1" applyBorder="1" applyAlignment="1" applyProtection="1">
      <alignment horizontal="center" vertical="center" wrapText="1"/>
      <protection hidden="1"/>
    </xf>
    <xf numFmtId="0" fontId="69" fillId="8" borderId="10" xfId="0" applyFont="1" applyFill="1" applyBorder="1" applyAlignment="1" applyProtection="1">
      <alignment horizontal="center"/>
      <protection hidden="1"/>
    </xf>
    <xf numFmtId="0" fontId="69" fillId="8" borderId="6" xfId="0" applyFont="1" applyFill="1" applyBorder="1" applyAlignment="1" applyProtection="1">
      <alignment horizontal="center"/>
      <protection hidden="1"/>
    </xf>
    <xf numFmtId="0" fontId="0" fillId="8" borderId="31" xfId="0" applyFill="1" applyBorder="1" applyAlignment="1" applyProtection="1">
      <alignment horizontal="center"/>
      <protection locked="0"/>
    </xf>
    <xf numFmtId="0" fontId="0" fillId="8" borderId="30" xfId="0" applyFill="1" applyBorder="1" applyAlignment="1" applyProtection="1">
      <alignment horizontal="center"/>
      <protection locked="0"/>
    </xf>
    <xf numFmtId="0" fontId="57" fillId="12" borderId="35" xfId="0" applyFont="1" applyFill="1" applyBorder="1" applyAlignment="1" applyProtection="1">
      <alignment horizontal="center" vertical="center" wrapText="1"/>
      <protection hidden="1"/>
    </xf>
    <xf numFmtId="0" fontId="64" fillId="12" borderId="38" xfId="0" applyFont="1" applyFill="1" applyBorder="1" applyAlignment="1" applyProtection="1">
      <alignment horizontal="center" vertical="center" wrapText="1"/>
      <protection hidden="1"/>
    </xf>
    <xf numFmtId="0" fontId="7" fillId="9" borderId="0" xfId="0" applyFont="1" applyFill="1" applyAlignment="1" applyProtection="1">
      <alignment horizontal="center" vertical="center" wrapText="1"/>
      <protection hidden="1"/>
    </xf>
    <xf numFmtId="0" fontId="0" fillId="9" borderId="14" xfId="0" applyFill="1" applyBorder="1" applyAlignment="1" applyProtection="1">
      <alignment horizontal="center" vertical="center" wrapText="1"/>
      <protection hidden="1"/>
    </xf>
    <xf numFmtId="0" fontId="0" fillId="9" borderId="15" xfId="0" applyFill="1" applyBorder="1" applyAlignment="1" applyProtection="1">
      <alignment horizontal="center" vertical="center" wrapText="1"/>
      <protection hidden="1"/>
    </xf>
    <xf numFmtId="0" fontId="73" fillId="9" borderId="15" xfId="2" applyFont="1" applyFill="1" applyBorder="1" applyAlignment="1" applyProtection="1">
      <alignment horizontal="center" vertical="center"/>
      <protection hidden="1"/>
    </xf>
    <xf numFmtId="0" fontId="73" fillId="9" borderId="21" xfId="2" applyFont="1" applyFill="1" applyBorder="1" applyAlignment="1" applyProtection="1">
      <alignment horizontal="center" vertical="center"/>
      <protection hidden="1"/>
    </xf>
    <xf numFmtId="0" fontId="81" fillId="9" borderId="41" xfId="0" applyFont="1" applyFill="1" applyBorder="1" applyAlignment="1" applyProtection="1">
      <alignment horizontal="center" vertical="center" wrapText="1"/>
      <protection hidden="1"/>
    </xf>
    <xf numFmtId="0" fontId="2" fillId="9" borderId="41" xfId="0" applyFont="1" applyFill="1" applyBorder="1" applyAlignment="1" applyProtection="1">
      <alignment horizontal="center" vertical="center" wrapText="1"/>
      <protection hidden="1"/>
    </xf>
    <xf numFmtId="0" fontId="7" fillId="9" borderId="0" xfId="0" applyFont="1" applyFill="1" applyAlignment="1" applyProtection="1">
      <alignment horizontal="center" vertical="center"/>
      <protection hidden="1"/>
    </xf>
    <xf numFmtId="0" fontId="81" fillId="15" borderId="36" xfId="0" applyFont="1" applyFill="1" applyBorder="1" applyAlignment="1" applyProtection="1">
      <alignment horizontal="center" vertical="center"/>
      <protection hidden="1"/>
    </xf>
    <xf numFmtId="0" fontId="81" fillId="15" borderId="0" xfId="0" applyFont="1" applyFill="1" applyAlignment="1" applyProtection="1">
      <alignment horizontal="center" vertical="center"/>
      <protection hidden="1"/>
    </xf>
    <xf numFmtId="0" fontId="81" fillId="13" borderId="36" xfId="0" applyFont="1" applyFill="1" applyBorder="1" applyAlignment="1" applyProtection="1">
      <alignment horizontal="center" vertical="center"/>
      <protection hidden="1"/>
    </xf>
    <xf numFmtId="0" fontId="81" fillId="13" borderId="0" xfId="0" applyFont="1" applyFill="1" applyAlignment="1" applyProtection="1">
      <alignment horizontal="center" vertical="center"/>
      <protection hidden="1"/>
    </xf>
    <xf numFmtId="0" fontId="2" fillId="13" borderId="34" xfId="0" applyFont="1" applyFill="1" applyBorder="1" applyAlignment="1" applyProtection="1">
      <alignment horizontal="center" vertical="center"/>
      <protection hidden="1"/>
    </xf>
    <xf numFmtId="0" fontId="2" fillId="13" borderId="33" xfId="0" applyFont="1" applyFill="1" applyBorder="1" applyAlignment="1" applyProtection="1">
      <alignment horizontal="center" vertical="center"/>
      <protection hidden="1"/>
    </xf>
    <xf numFmtId="0" fontId="64" fillId="18" borderId="7" xfId="0" applyFont="1" applyFill="1" applyBorder="1" applyAlignment="1" applyProtection="1">
      <alignment horizontal="center"/>
      <protection hidden="1"/>
    </xf>
    <xf numFmtId="0" fontId="64" fillId="18" borderId="24" xfId="0" applyFont="1" applyFill="1" applyBorder="1" applyAlignment="1" applyProtection="1">
      <alignment horizontal="center"/>
      <protection hidden="1"/>
    </xf>
    <xf numFmtId="0" fontId="64" fillId="18" borderId="23" xfId="0" applyFont="1" applyFill="1" applyBorder="1" applyAlignment="1" applyProtection="1">
      <alignment horizontal="center"/>
      <protection hidden="1"/>
    </xf>
    <xf numFmtId="0" fontId="69" fillId="8" borderId="7" xfId="0" applyFont="1" applyFill="1" applyBorder="1" applyAlignment="1" applyProtection="1">
      <alignment horizontal="center" vertical="center"/>
      <protection hidden="1"/>
    </xf>
    <xf numFmtId="0" fontId="69" fillId="8" borderId="24" xfId="0" applyFont="1" applyFill="1" applyBorder="1" applyAlignment="1" applyProtection="1">
      <alignment horizontal="center" vertical="center"/>
      <protection hidden="1"/>
    </xf>
    <xf numFmtId="0" fontId="70" fillId="8" borderId="24" xfId="0" applyFont="1" applyFill="1" applyBorder="1" applyAlignment="1" applyProtection="1">
      <alignment horizontal="center" vertical="center"/>
      <protection locked="0"/>
    </xf>
    <xf numFmtId="0" fontId="70" fillId="8" borderId="23" xfId="0" applyFont="1" applyFill="1" applyBorder="1" applyAlignment="1" applyProtection="1">
      <alignment horizontal="center" vertical="center"/>
      <protection locked="0"/>
    </xf>
    <xf numFmtId="0" fontId="80" fillId="9" borderId="0" xfId="0" applyFont="1" applyFill="1" applyAlignment="1" applyProtection="1">
      <alignment horizontal="left" textRotation="255" wrapText="1"/>
      <protection hidden="1"/>
    </xf>
    <xf numFmtId="0" fontId="80" fillId="9" borderId="28" xfId="0" applyFont="1" applyFill="1" applyBorder="1" applyAlignment="1" applyProtection="1">
      <alignment horizontal="left" textRotation="255" wrapText="1"/>
      <protection hidden="1"/>
    </xf>
    <xf numFmtId="0" fontId="80" fillId="9" borderId="45" xfId="0" applyFont="1" applyFill="1" applyBorder="1" applyAlignment="1" applyProtection="1">
      <alignment horizontal="left" textRotation="255" wrapText="1"/>
      <protection hidden="1"/>
    </xf>
    <xf numFmtId="0" fontId="70" fillId="20" borderId="8" xfId="0" applyFont="1" applyFill="1" applyBorder="1" applyAlignment="1" applyProtection="1">
      <alignment horizontal="center" vertical="center"/>
      <protection hidden="1"/>
    </xf>
    <xf numFmtId="0" fontId="70" fillId="20" borderId="1" xfId="0" applyFont="1" applyFill="1" applyBorder="1" applyAlignment="1" applyProtection="1">
      <alignment horizontal="center" vertical="center"/>
      <protection hidden="1"/>
    </xf>
    <xf numFmtId="0" fontId="70" fillId="20" borderId="1" xfId="0" applyFont="1" applyFill="1" applyBorder="1" applyAlignment="1" applyProtection="1">
      <alignment horizontal="center" vertical="center"/>
      <protection locked="0"/>
    </xf>
    <xf numFmtId="0" fontId="70" fillId="20" borderId="9" xfId="0" applyFont="1" applyFill="1" applyBorder="1" applyAlignment="1" applyProtection="1">
      <alignment horizontal="center" vertical="center"/>
      <protection locked="0"/>
    </xf>
    <xf numFmtId="0" fontId="97" fillId="11" borderId="8" xfId="0" applyFont="1" applyFill="1" applyBorder="1" applyAlignment="1" applyProtection="1">
      <alignment horizontal="center" vertical="center" wrapText="1"/>
      <protection hidden="1"/>
    </xf>
    <xf numFmtId="0" fontId="97" fillId="11" borderId="1" xfId="0" applyFont="1" applyFill="1" applyBorder="1" applyAlignment="1" applyProtection="1">
      <alignment horizontal="center" vertical="center" wrapText="1"/>
      <protection hidden="1"/>
    </xf>
    <xf numFmtId="2" fontId="97" fillId="11" borderId="1" xfId="0" applyNumberFormat="1" applyFont="1" applyFill="1" applyBorder="1" applyAlignment="1" applyProtection="1">
      <alignment horizontal="center" vertical="center"/>
      <protection hidden="1"/>
    </xf>
    <xf numFmtId="2" fontId="97" fillId="11" borderId="9" xfId="0" applyNumberFormat="1" applyFont="1" applyFill="1" applyBorder="1" applyAlignment="1" applyProtection="1">
      <alignment horizontal="center" vertical="center"/>
      <protection hidden="1"/>
    </xf>
    <xf numFmtId="0" fontId="97" fillId="11" borderId="1" xfId="0" applyFont="1" applyFill="1" applyBorder="1" applyAlignment="1" applyProtection="1">
      <alignment horizontal="center" vertical="center"/>
      <protection hidden="1"/>
    </xf>
    <xf numFmtId="0" fontId="97" fillId="11" borderId="9" xfId="0" applyFont="1" applyFill="1" applyBorder="1" applyAlignment="1" applyProtection="1">
      <alignment horizontal="center" vertical="center"/>
      <protection hidden="1"/>
    </xf>
    <xf numFmtId="0" fontId="79" fillId="9" borderId="44" xfId="0" applyFont="1" applyFill="1" applyBorder="1" applyAlignment="1" applyProtection="1">
      <alignment horizontal="left" vertical="center" wrapText="1"/>
      <protection hidden="1"/>
    </xf>
    <xf numFmtId="0" fontId="79" fillId="9" borderId="0" xfId="0" applyFont="1" applyFill="1" applyAlignment="1" applyProtection="1">
      <alignment horizontal="left" vertical="center" wrapText="1"/>
      <protection hidden="1"/>
    </xf>
    <xf numFmtId="0" fontId="56" fillId="20" borderId="10" xfId="0" applyFont="1" applyFill="1" applyBorder="1" applyAlignment="1" applyProtection="1">
      <alignment horizontal="center" vertical="center" wrapText="1"/>
      <protection hidden="1"/>
    </xf>
    <xf numFmtId="0" fontId="56" fillId="20" borderId="6" xfId="0" applyFont="1" applyFill="1" applyBorder="1" applyAlignment="1" applyProtection="1">
      <alignment horizontal="center" vertical="center" wrapText="1"/>
      <protection hidden="1"/>
    </xf>
    <xf numFmtId="0" fontId="56" fillId="20" borderId="6" xfId="0" applyFont="1" applyFill="1" applyBorder="1" applyAlignment="1" applyProtection="1">
      <alignment horizontal="center" vertical="center" wrapText="1"/>
      <protection locked="0"/>
    </xf>
    <xf numFmtId="0" fontId="56" fillId="20" borderId="11" xfId="0" applyFont="1" applyFill="1" applyBorder="1" applyAlignment="1" applyProtection="1">
      <alignment horizontal="center" vertical="center" wrapText="1"/>
      <protection locked="0"/>
    </xf>
    <xf numFmtId="0" fontId="83" fillId="9" borderId="0" xfId="0" applyFont="1" applyFill="1" applyAlignment="1" applyProtection="1">
      <alignment horizontal="center" vertical="center" wrapText="1"/>
      <protection hidden="1"/>
    </xf>
    <xf numFmtId="0" fontId="97" fillId="11" borderId="48" xfId="0" applyFont="1" applyFill="1" applyBorder="1" applyAlignment="1" applyProtection="1">
      <alignment horizontal="center" vertical="center" wrapText="1"/>
      <protection hidden="1"/>
    </xf>
    <xf numFmtId="0" fontId="97" fillId="11" borderId="12" xfId="0" applyFont="1" applyFill="1" applyBorder="1" applyAlignment="1" applyProtection="1">
      <alignment horizontal="center" vertical="center" wrapText="1"/>
      <protection hidden="1"/>
    </xf>
    <xf numFmtId="0" fontId="70" fillId="20" borderId="12" xfId="0" applyNumberFormat="1" applyFont="1" applyFill="1" applyBorder="1" applyAlignment="1" applyProtection="1">
      <alignment horizontal="center" vertical="center"/>
      <protection locked="0"/>
    </xf>
    <xf numFmtId="0" fontId="70" fillId="20" borderId="47" xfId="0" applyNumberFormat="1" applyFont="1" applyFill="1" applyBorder="1" applyAlignment="1" applyProtection="1">
      <alignment horizontal="center" vertical="center"/>
      <protection locked="0"/>
    </xf>
    <xf numFmtId="0" fontId="81" fillId="13" borderId="0" xfId="0" applyFont="1" applyFill="1" applyBorder="1" applyAlignment="1" applyProtection="1">
      <alignment horizontal="center" vertical="center"/>
      <protection hidden="1"/>
    </xf>
    <xf numFmtId="0" fontId="81" fillId="13" borderId="59" xfId="0" applyFont="1" applyFill="1" applyBorder="1" applyAlignment="1" applyProtection="1">
      <alignment horizontal="center" vertical="center"/>
      <protection hidden="1"/>
    </xf>
    <xf numFmtId="0" fontId="81" fillId="13" borderId="34" xfId="0" applyFont="1" applyFill="1" applyBorder="1" applyAlignment="1" applyProtection="1">
      <alignment horizontal="center" vertical="center"/>
      <protection hidden="1"/>
    </xf>
    <xf numFmtId="0" fontId="81" fillId="13" borderId="33" xfId="0" applyFont="1" applyFill="1" applyBorder="1" applyAlignment="1" applyProtection="1">
      <alignment horizontal="center" vertical="center"/>
      <protection hidden="1"/>
    </xf>
    <xf numFmtId="0" fontId="81" fillId="13" borderId="60" xfId="0" applyFont="1" applyFill="1" applyBorder="1" applyAlignment="1" applyProtection="1">
      <alignment horizontal="center" vertical="center"/>
      <protection hidden="1"/>
    </xf>
    <xf numFmtId="4" fontId="100" fillId="20" borderId="62" xfId="0" applyNumberFormat="1" applyFont="1" applyFill="1" applyBorder="1" applyAlignment="1" applyProtection="1">
      <alignment horizontal="center" vertical="center" wrapText="1"/>
      <protection locked="0"/>
    </xf>
    <xf numFmtId="4" fontId="100" fillId="20" borderId="61" xfId="0" applyNumberFormat="1" applyFont="1" applyFill="1" applyBorder="1" applyAlignment="1" applyProtection="1">
      <alignment horizontal="center" vertical="center" wrapText="1"/>
      <protection locked="0"/>
    </xf>
    <xf numFmtId="4" fontId="83" fillId="16" borderId="0" xfId="0" applyNumberFormat="1" applyFont="1" applyFill="1" applyBorder="1" applyAlignment="1" applyProtection="1">
      <alignment horizontal="center" vertical="center" wrapText="1"/>
      <protection locked="0"/>
    </xf>
    <xf numFmtId="4" fontId="83" fillId="16" borderId="59" xfId="0" applyNumberFormat="1" applyFont="1" applyFill="1" applyBorder="1" applyAlignment="1" applyProtection="1">
      <alignment horizontal="center" vertical="center" wrapText="1"/>
      <protection locked="0"/>
    </xf>
    <xf numFmtId="0" fontId="2" fillId="9" borderId="0" xfId="0" applyFont="1" applyFill="1" applyAlignment="1" applyProtection="1">
      <alignment horizontal="center" vertical="center" wrapText="1"/>
      <protection hidden="1"/>
    </xf>
  </cellXfs>
  <cellStyles count="3">
    <cellStyle name="Check Cell" xfId="1" builtinId="23"/>
    <cellStyle name="Hyperlink" xfId="2" builtinId="8"/>
    <cellStyle name="Normal" xfId="0" builtinId="0"/>
  </cellStyles>
  <dxfs count="292">
    <dxf>
      <font>
        <b/>
        <i val="0"/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  <fill>
        <patternFill>
          <bgColor theme="4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 patternType="solid">
          <fgColor indexed="64"/>
          <bgColor theme="0"/>
        </patternFill>
      </fill>
      <border>
        <left/>
        <right/>
        <top/>
        <bottom/>
      </border>
    </dxf>
    <dxf>
      <font>
        <b val="0"/>
        <i val="0"/>
        <color theme="0"/>
      </font>
      <fill>
        <patternFill patternType="solid">
          <fgColor indexed="64"/>
          <bgColor rgb="FFEC701C"/>
        </patternFill>
      </fill>
      <border>
        <left style="thin">
          <color auto="1"/>
        </left>
        <right style="thin">
          <color auto="1"/>
        </right>
        <bottom style="thin">
          <color auto="1"/>
        </bottom>
      </border>
    </dxf>
    <dxf>
      <font>
        <color theme="0"/>
      </font>
      <fill>
        <patternFill>
          <bgColor rgb="FFEC701C"/>
        </patternFill>
      </fill>
      <border>
        <left style="thin">
          <color auto="1"/>
        </left>
        <right style="thin">
          <color auto="1"/>
        </right>
        <bottom style="thin">
          <color auto="1"/>
        </bottom>
        <vertical/>
        <horizontal/>
      </border>
    </dxf>
    <dxf>
      <font>
        <color theme="0"/>
      </font>
      <fill>
        <patternFill patternType="solid">
          <fgColor indexed="64"/>
          <bgColor theme="0"/>
        </patternFill>
      </fill>
      <border>
        <left/>
        <right/>
        <top/>
        <bottom/>
      </border>
    </dxf>
    <dxf>
      <font>
        <color theme="0"/>
      </font>
      <fill>
        <patternFill patternType="solid">
          <fgColor indexed="64"/>
          <bgColor theme="0"/>
        </patternFill>
      </fill>
      <border>
        <left/>
        <right/>
        <top/>
        <bottom/>
      </border>
    </dxf>
    <dxf>
      <font>
        <b val="0"/>
        <i val="0"/>
        <color theme="0"/>
      </font>
      <fill>
        <patternFill patternType="solid">
          <fgColor indexed="64"/>
          <bgColor rgb="FFEC701C"/>
        </patternFill>
      </fill>
      <border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solid">
          <fgColor indexed="64"/>
          <bgColor theme="0"/>
        </patternFill>
      </fill>
      <border>
        <left/>
        <right/>
        <top/>
        <bottom/>
      </border>
    </dxf>
    <dxf>
      <font>
        <color theme="0"/>
      </font>
      <fill>
        <patternFill patternType="solid">
          <fgColor indexed="64"/>
          <bgColor theme="0"/>
        </patternFill>
      </fill>
      <border>
        <left/>
        <right/>
        <top/>
        <bottom/>
      </border>
    </dxf>
    <dxf>
      <font>
        <b val="0"/>
        <i val="0"/>
        <color theme="0"/>
      </font>
      <fill>
        <patternFill patternType="solid">
          <fgColor indexed="64"/>
          <bgColor rgb="FFEC701C"/>
        </patternFill>
      </fill>
      <border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ont>
        <color theme="0"/>
      </font>
      <fill>
        <patternFill>
          <bgColor rgb="FFEC701C"/>
        </patternFill>
      </fill>
      <border>
        <left style="thin">
          <color auto="1"/>
        </left>
        <right style="thin">
          <color auto="1"/>
        </right>
        <bottom style="thin">
          <color auto="1"/>
        </bottom>
        <vertical/>
        <horizontal/>
      </border>
    </dxf>
    <dxf>
      <font>
        <color theme="0"/>
      </font>
      <fill>
        <patternFill patternType="solid">
          <fgColor indexed="64"/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solid">
          <fgColor indexed="64"/>
          <bgColor theme="0"/>
        </patternFill>
      </fill>
      <border>
        <left/>
        <right/>
        <top/>
        <bottom/>
      </border>
    </dxf>
    <dxf>
      <font>
        <color theme="0"/>
      </font>
      <fill>
        <patternFill patternType="solid">
          <fgColor indexed="64"/>
          <bgColor theme="0"/>
        </patternFill>
      </fill>
      <border>
        <left/>
        <right/>
        <top/>
        <bottom/>
      </border>
    </dxf>
    <dxf>
      <font>
        <b val="0"/>
        <i val="0"/>
        <color theme="0"/>
      </font>
      <fill>
        <patternFill patternType="solid">
          <fgColor indexed="64"/>
          <bgColor rgb="FFEC701C"/>
        </patternFill>
      </fill>
      <border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ont>
        <color theme="0"/>
      </font>
      <fill>
        <patternFill>
          <bgColor rgb="FFEC701C"/>
        </patternFill>
      </fill>
      <border>
        <left style="thin">
          <color auto="1"/>
        </left>
        <right style="thin">
          <color auto="1"/>
        </right>
        <bottom style="thin">
          <color auto="1"/>
        </bottom>
        <vertical/>
        <horizontal/>
      </border>
    </dxf>
    <dxf>
      <font>
        <color theme="0"/>
      </font>
      <fill>
        <patternFill patternType="solid">
          <fgColor indexed="64"/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solid">
          <fgColor indexed="64"/>
          <bgColor theme="0"/>
        </patternFill>
      </fill>
      <border>
        <left/>
        <right/>
        <top/>
        <bottom/>
      </border>
    </dxf>
    <dxf>
      <font>
        <color theme="0"/>
      </font>
      <fill>
        <patternFill patternType="solid">
          <fgColor indexed="64"/>
          <bgColor theme="0"/>
        </patternFill>
      </fill>
      <border>
        <left/>
        <right/>
        <top/>
        <bottom/>
      </border>
    </dxf>
    <dxf>
      <font>
        <b val="0"/>
        <i val="0"/>
        <color theme="0"/>
      </font>
      <fill>
        <patternFill patternType="solid">
          <fgColor indexed="64"/>
          <bgColor rgb="FFEC701C"/>
        </patternFill>
      </fill>
      <border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ont>
        <color theme="0"/>
      </font>
      <fill>
        <patternFill>
          <bgColor rgb="FFEC701C"/>
        </patternFill>
      </fill>
      <border>
        <left style="thin">
          <color auto="1"/>
        </left>
        <right style="thin">
          <color auto="1"/>
        </right>
        <bottom style="thin">
          <color auto="1"/>
        </bottom>
        <vertical/>
        <horizontal/>
      </border>
    </dxf>
    <dxf>
      <font>
        <color theme="0"/>
      </font>
      <fill>
        <patternFill patternType="solid">
          <fgColor indexed="64"/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solid">
          <fgColor indexed="64"/>
          <bgColor theme="0"/>
        </patternFill>
      </fill>
      <border>
        <left/>
        <right/>
        <top/>
        <bottom/>
      </border>
    </dxf>
    <dxf>
      <font>
        <color theme="0"/>
      </font>
      <fill>
        <patternFill patternType="solid">
          <fgColor indexed="64"/>
          <bgColor theme="0"/>
        </patternFill>
      </fill>
      <border>
        <left/>
        <right/>
        <top/>
        <bottom/>
      </border>
    </dxf>
    <dxf>
      <font>
        <b val="0"/>
        <i val="0"/>
        <color theme="0"/>
      </font>
      <fill>
        <patternFill patternType="solid">
          <fgColor indexed="64"/>
          <bgColor rgb="FFEC701C"/>
        </patternFill>
      </fill>
      <border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ont>
        <color theme="0"/>
      </font>
      <fill>
        <patternFill>
          <bgColor rgb="FFEC701C"/>
        </patternFill>
      </fill>
      <border>
        <left style="thin">
          <color auto="1"/>
        </left>
        <right style="thin">
          <color auto="1"/>
        </right>
        <bottom style="thin">
          <color auto="1"/>
        </bottom>
        <vertical/>
        <horizontal/>
      </border>
    </dxf>
    <dxf>
      <font>
        <color theme="0"/>
      </font>
      <fill>
        <patternFill patternType="solid">
          <fgColor indexed="64"/>
          <bgColor theme="0"/>
        </patternFill>
      </fill>
      <border>
        <left/>
        <right/>
        <top/>
        <bottom/>
      </border>
    </dxf>
    <dxf>
      <font>
        <color theme="0"/>
      </font>
      <fill>
        <patternFill patternType="solid">
          <fgColor indexed="64"/>
          <bgColor theme="0"/>
        </patternFill>
      </fill>
      <border>
        <left/>
        <right/>
        <top/>
        <bottom/>
      </border>
    </dxf>
    <dxf>
      <font>
        <color theme="0"/>
      </font>
      <fill>
        <patternFill patternType="solid">
          <fgColor indexed="64"/>
          <bgColor theme="0"/>
        </patternFill>
      </fill>
      <border>
        <left/>
        <right/>
        <top/>
        <bottom/>
      </border>
    </dxf>
    <dxf>
      <font>
        <b val="0"/>
        <i val="0"/>
        <color theme="0"/>
      </font>
      <fill>
        <patternFill patternType="solid">
          <fgColor indexed="64"/>
          <bgColor rgb="FFEC701C"/>
        </patternFill>
      </fill>
      <border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ont>
        <color theme="0"/>
      </font>
      <fill>
        <patternFill>
          <bgColor rgb="FFEC701C"/>
        </patternFill>
      </fill>
      <border>
        <left style="thin">
          <color auto="1"/>
        </left>
        <right style="thin">
          <color auto="1"/>
        </right>
        <bottom style="thin">
          <color auto="1"/>
        </bottom>
        <vertical/>
        <horizontal/>
      </border>
    </dxf>
    <dxf>
      <font>
        <color theme="0"/>
      </font>
      <fill>
        <patternFill patternType="solid">
          <fgColor indexed="64"/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b val="0"/>
        <i val="0"/>
        <color theme="0"/>
      </font>
      <fill>
        <patternFill patternType="solid">
          <fgColor indexed="64"/>
          <bgColor rgb="FFEC701C"/>
        </patternFill>
      </fill>
      <border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ont>
        <color theme="0"/>
      </font>
      <fill>
        <patternFill>
          <bgColor rgb="FFEC701C"/>
        </patternFill>
      </fill>
      <border>
        <left style="thin">
          <color auto="1"/>
        </left>
        <right style="thin">
          <color auto="1"/>
        </right>
        <bottom style="thin">
          <color auto="1"/>
        </bottom>
        <vertical/>
        <horizontal/>
      </border>
    </dxf>
    <dxf>
      <font>
        <color theme="0"/>
      </font>
      <fill>
        <patternFill patternType="solid">
          <fgColor indexed="64"/>
          <bgColor theme="0"/>
        </patternFill>
      </fill>
      <border>
        <left/>
        <right/>
        <top/>
        <bottom/>
      </border>
    </dxf>
    <dxf>
      <font>
        <color theme="0"/>
      </font>
      <fill>
        <patternFill patternType="solid">
          <fgColor indexed="64"/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 val="0"/>
        <i val="0"/>
        <color theme="0"/>
      </font>
      <fill>
        <patternFill patternType="solid">
          <fgColor indexed="64"/>
          <bgColor rgb="FFEC701C"/>
        </patternFill>
      </fill>
      <border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ont>
        <color theme="0"/>
      </font>
      <fill>
        <patternFill patternType="solid">
          <fgColor indexed="64"/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rgb="FFEC701C"/>
        </patternFill>
      </fill>
      <border>
        <left style="thin">
          <color auto="1"/>
        </left>
        <right style="thin">
          <color auto="1"/>
        </right>
        <bottom style="thin">
          <color auto="1"/>
        </bottom>
        <vertical/>
        <horizontal/>
      </border>
    </dxf>
    <dxf>
      <font>
        <b/>
        <i val="0"/>
        <strike val="0"/>
        <color theme="0"/>
      </font>
      <fill>
        <patternFill patternType="solid">
          <fgColor indexed="64"/>
          <bgColor theme="0"/>
        </patternFill>
      </fill>
      <border>
        <left/>
        <right/>
        <top/>
        <bottom/>
      </border>
    </dxf>
    <dxf>
      <font>
        <color theme="0"/>
      </font>
      <fill>
        <patternFill patternType="solid">
          <fgColor indexed="64"/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  <border>
        <left/>
        <right/>
        <top/>
        <bottom/>
      </border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theme="0"/>
      </font>
    </dxf>
    <dxf>
      <font>
        <color theme="0"/>
      </font>
      <fill>
        <patternFill>
          <bgColor theme="4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 patternType="solid">
          <fgColor indexed="64"/>
          <bgColor theme="0"/>
        </patternFill>
      </fill>
      <border>
        <left/>
        <right/>
        <top/>
        <bottom/>
      </border>
    </dxf>
    <dxf>
      <font>
        <b val="0"/>
        <i val="0"/>
        <color theme="0"/>
      </font>
      <fill>
        <patternFill patternType="solid">
          <fgColor indexed="64"/>
          <bgColor rgb="FFEC701C"/>
        </patternFill>
      </fill>
      <border>
        <left style="thin">
          <color auto="1"/>
        </left>
        <right style="thin">
          <color auto="1"/>
        </right>
        <bottom style="thin">
          <color auto="1"/>
        </bottom>
      </border>
    </dxf>
    <dxf>
      <font>
        <color theme="0"/>
      </font>
      <fill>
        <patternFill>
          <bgColor rgb="FFEC701C"/>
        </patternFill>
      </fill>
      <border>
        <left style="thin">
          <color auto="1"/>
        </left>
        <right style="thin">
          <color auto="1"/>
        </right>
        <bottom style="thin">
          <color auto="1"/>
        </bottom>
        <vertical/>
        <horizontal/>
      </border>
    </dxf>
    <dxf>
      <font>
        <color theme="0"/>
      </font>
      <fill>
        <patternFill patternType="solid">
          <fgColor indexed="64"/>
          <bgColor theme="0"/>
        </patternFill>
      </fill>
      <border>
        <left/>
        <right/>
        <top/>
        <bottom/>
      </border>
    </dxf>
    <dxf>
      <font>
        <color theme="0"/>
      </font>
      <fill>
        <patternFill patternType="solid">
          <fgColor indexed="64"/>
          <bgColor theme="0"/>
        </patternFill>
      </fill>
      <border>
        <left/>
        <right/>
        <top/>
        <bottom/>
      </border>
    </dxf>
    <dxf>
      <font>
        <b val="0"/>
        <i val="0"/>
        <color theme="0"/>
      </font>
      <fill>
        <patternFill patternType="solid">
          <fgColor indexed="64"/>
          <bgColor rgb="FFEC701C"/>
        </patternFill>
      </fill>
      <border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solid">
          <fgColor indexed="64"/>
          <bgColor theme="0"/>
        </patternFill>
      </fill>
      <border>
        <left/>
        <right/>
        <top/>
        <bottom/>
      </border>
    </dxf>
    <dxf>
      <font>
        <color theme="0"/>
      </font>
      <fill>
        <patternFill patternType="solid">
          <fgColor indexed="64"/>
          <bgColor theme="0"/>
        </patternFill>
      </fill>
      <border>
        <left/>
        <right/>
        <top/>
        <bottom/>
      </border>
    </dxf>
    <dxf>
      <font>
        <b val="0"/>
        <i val="0"/>
        <color theme="0"/>
      </font>
      <fill>
        <patternFill patternType="solid">
          <fgColor indexed="64"/>
          <bgColor rgb="FFEC701C"/>
        </patternFill>
      </fill>
      <border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ont>
        <color theme="0"/>
      </font>
      <fill>
        <patternFill>
          <bgColor rgb="FFEC701C"/>
        </patternFill>
      </fill>
      <border>
        <left style="thin">
          <color auto="1"/>
        </left>
        <right style="thin">
          <color auto="1"/>
        </right>
        <bottom style="thin">
          <color auto="1"/>
        </bottom>
        <vertical/>
        <horizontal/>
      </border>
    </dxf>
    <dxf>
      <font>
        <color theme="0"/>
      </font>
      <fill>
        <patternFill patternType="solid">
          <fgColor indexed="64"/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solid">
          <fgColor indexed="64"/>
          <bgColor theme="0"/>
        </patternFill>
      </fill>
      <border>
        <left/>
        <right/>
        <top/>
        <bottom/>
      </border>
    </dxf>
    <dxf>
      <font>
        <color theme="0"/>
      </font>
      <fill>
        <patternFill patternType="solid">
          <fgColor indexed="64"/>
          <bgColor theme="0"/>
        </patternFill>
      </fill>
      <border>
        <left/>
        <right/>
        <top/>
        <bottom/>
      </border>
    </dxf>
    <dxf>
      <font>
        <b val="0"/>
        <i val="0"/>
        <color theme="0"/>
      </font>
      <fill>
        <patternFill patternType="solid">
          <fgColor indexed="64"/>
          <bgColor rgb="FFEC701C"/>
        </patternFill>
      </fill>
      <border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ont>
        <color theme="0"/>
      </font>
      <fill>
        <patternFill>
          <bgColor rgb="FFEC701C"/>
        </patternFill>
      </fill>
      <border>
        <left style="thin">
          <color auto="1"/>
        </left>
        <right style="thin">
          <color auto="1"/>
        </right>
        <bottom style="thin">
          <color auto="1"/>
        </bottom>
        <vertical/>
        <horizontal/>
      </border>
    </dxf>
    <dxf>
      <font>
        <color theme="0"/>
      </font>
      <fill>
        <patternFill patternType="solid">
          <fgColor indexed="64"/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solid">
          <fgColor indexed="64"/>
          <bgColor theme="0"/>
        </patternFill>
      </fill>
      <border>
        <left/>
        <right/>
        <top/>
        <bottom/>
      </border>
    </dxf>
    <dxf>
      <font>
        <color theme="0"/>
      </font>
      <fill>
        <patternFill patternType="solid">
          <fgColor indexed="64"/>
          <bgColor theme="0"/>
        </patternFill>
      </fill>
      <border>
        <left/>
        <right/>
        <top/>
        <bottom/>
      </border>
    </dxf>
    <dxf>
      <font>
        <b val="0"/>
        <i val="0"/>
        <color theme="0"/>
      </font>
      <fill>
        <patternFill patternType="solid">
          <fgColor indexed="64"/>
          <bgColor rgb="FFEC701C"/>
        </patternFill>
      </fill>
      <border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ont>
        <color theme="0"/>
      </font>
      <fill>
        <patternFill>
          <bgColor rgb="FFEC701C"/>
        </patternFill>
      </fill>
      <border>
        <left style="thin">
          <color auto="1"/>
        </left>
        <right style="thin">
          <color auto="1"/>
        </right>
        <bottom style="thin">
          <color auto="1"/>
        </bottom>
        <vertical/>
        <horizontal/>
      </border>
    </dxf>
    <dxf>
      <font>
        <color theme="0"/>
      </font>
      <fill>
        <patternFill patternType="solid">
          <fgColor indexed="64"/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solid">
          <fgColor indexed="64"/>
          <bgColor theme="0"/>
        </patternFill>
      </fill>
      <border>
        <left/>
        <right/>
        <top/>
        <bottom/>
      </border>
    </dxf>
    <dxf>
      <font>
        <color theme="0"/>
      </font>
      <fill>
        <patternFill patternType="solid">
          <fgColor indexed="64"/>
          <bgColor theme="0"/>
        </patternFill>
      </fill>
      <border>
        <left/>
        <right/>
        <top/>
        <bottom/>
      </border>
    </dxf>
    <dxf>
      <font>
        <b val="0"/>
        <i val="0"/>
        <color theme="0"/>
      </font>
      <fill>
        <patternFill patternType="solid">
          <fgColor indexed="64"/>
          <bgColor rgb="FFEC701C"/>
        </patternFill>
      </fill>
      <border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ont>
        <color theme="0"/>
      </font>
      <fill>
        <patternFill>
          <bgColor rgb="FFEC701C"/>
        </patternFill>
      </fill>
      <border>
        <left style="thin">
          <color auto="1"/>
        </left>
        <right style="thin">
          <color auto="1"/>
        </right>
        <bottom style="thin">
          <color auto="1"/>
        </bottom>
        <vertical/>
        <horizontal/>
      </border>
    </dxf>
    <dxf>
      <font>
        <color theme="0"/>
      </font>
      <fill>
        <patternFill patternType="solid">
          <fgColor indexed="64"/>
          <bgColor theme="0"/>
        </patternFill>
      </fill>
      <border>
        <left/>
        <right/>
        <top/>
        <bottom/>
      </border>
    </dxf>
    <dxf>
      <font>
        <color theme="0"/>
      </font>
      <fill>
        <patternFill patternType="solid">
          <fgColor indexed="64"/>
          <bgColor theme="0"/>
        </patternFill>
      </fill>
      <border>
        <left/>
        <right/>
        <top/>
        <bottom/>
      </border>
    </dxf>
    <dxf>
      <font>
        <color theme="0"/>
      </font>
      <fill>
        <patternFill patternType="solid">
          <fgColor indexed="64"/>
          <bgColor theme="0"/>
        </patternFill>
      </fill>
      <border>
        <left/>
        <right/>
        <top/>
        <bottom/>
      </border>
    </dxf>
    <dxf>
      <font>
        <b val="0"/>
        <i val="0"/>
        <color theme="0"/>
      </font>
      <fill>
        <patternFill patternType="solid">
          <fgColor indexed="64"/>
          <bgColor rgb="FFEC701C"/>
        </patternFill>
      </fill>
      <border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ont>
        <color theme="0"/>
      </font>
      <fill>
        <patternFill>
          <bgColor rgb="FFEC701C"/>
        </patternFill>
      </fill>
      <border>
        <left style="thin">
          <color auto="1"/>
        </left>
        <right style="thin">
          <color auto="1"/>
        </right>
        <bottom style="thin">
          <color auto="1"/>
        </bottom>
        <vertical/>
        <horizontal/>
      </border>
    </dxf>
    <dxf>
      <font>
        <color theme="0"/>
      </font>
      <fill>
        <patternFill patternType="solid">
          <fgColor indexed="64"/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b val="0"/>
        <i val="0"/>
        <color theme="0"/>
      </font>
      <fill>
        <patternFill patternType="solid">
          <fgColor indexed="64"/>
          <bgColor rgb="FFEC701C"/>
        </patternFill>
      </fill>
      <border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ont>
        <color theme="0"/>
      </font>
      <fill>
        <patternFill>
          <bgColor rgb="FFEC701C"/>
        </patternFill>
      </fill>
      <border>
        <left style="thin">
          <color auto="1"/>
        </left>
        <right style="thin">
          <color auto="1"/>
        </right>
        <bottom style="thin">
          <color auto="1"/>
        </bottom>
        <vertical/>
        <horizontal/>
      </border>
    </dxf>
    <dxf>
      <font>
        <color theme="0"/>
      </font>
      <fill>
        <patternFill patternType="solid">
          <fgColor indexed="64"/>
          <bgColor theme="0"/>
        </patternFill>
      </fill>
      <border>
        <left/>
        <right/>
        <top/>
        <bottom/>
      </border>
    </dxf>
    <dxf>
      <font>
        <color theme="0"/>
      </font>
      <fill>
        <patternFill patternType="solid">
          <fgColor indexed="64"/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b/>
        <i val="0"/>
      </font>
    </dxf>
    <dxf>
      <font>
        <b val="0"/>
        <i val="0"/>
        <color theme="0"/>
      </font>
      <fill>
        <patternFill patternType="solid">
          <fgColor indexed="64"/>
          <bgColor rgb="FFEC701C"/>
        </patternFill>
      </fill>
      <border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ont>
        <color theme="0"/>
      </font>
      <fill>
        <patternFill patternType="solid">
          <fgColor indexed="64"/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rgb="FFEC701C"/>
        </patternFill>
      </fill>
      <border>
        <left style="thin">
          <color auto="1"/>
        </left>
        <right style="thin">
          <color auto="1"/>
        </right>
        <bottom style="thin">
          <color auto="1"/>
        </bottom>
        <vertical/>
        <horizontal/>
      </border>
    </dxf>
    <dxf>
      <font>
        <b/>
        <i val="0"/>
        <strike val="0"/>
        <color theme="0"/>
      </font>
      <fill>
        <patternFill patternType="solid">
          <fgColor indexed="64"/>
          <bgColor theme="0"/>
        </patternFill>
      </fill>
      <border>
        <left/>
        <right/>
        <top/>
        <bottom/>
      </border>
    </dxf>
    <dxf>
      <font>
        <color theme="0"/>
      </font>
      <fill>
        <patternFill patternType="solid">
          <fgColor indexed="64"/>
          <bgColor theme="0"/>
        </patternFill>
      </fill>
      <border>
        <left/>
        <right/>
        <top/>
        <bottom/>
      </border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  <border>
        <left/>
        <right/>
        <top/>
        <bottom/>
      </border>
    </dxf>
    <dxf>
      <font>
        <color theme="0"/>
      </font>
    </dxf>
    <dxf>
      <font>
        <color theme="0"/>
      </font>
      <fill>
        <patternFill patternType="solid">
          <fgColor indexed="64"/>
          <bgColor theme="0"/>
        </patternFill>
      </fill>
      <border>
        <left/>
        <right/>
        <top/>
        <bottom/>
      </border>
    </dxf>
    <dxf>
      <font>
        <color theme="0"/>
      </font>
    </dxf>
    <dxf>
      <font>
        <color theme="0"/>
      </font>
      <fill>
        <patternFill>
          <bgColor theme="4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 patternType="solid">
          <fgColor indexed="64"/>
          <bgColor theme="0"/>
        </patternFill>
      </fill>
      <border>
        <left/>
        <right/>
        <top/>
        <bottom/>
      </border>
    </dxf>
    <dxf>
      <font>
        <b val="0"/>
        <i val="0"/>
        <color theme="0"/>
      </font>
      <fill>
        <patternFill patternType="solid">
          <fgColor indexed="64"/>
          <bgColor rgb="FFEC701C"/>
        </patternFill>
      </fill>
      <border>
        <left style="thin">
          <color auto="1"/>
        </left>
        <right style="thin">
          <color auto="1"/>
        </right>
        <bottom style="thin">
          <color auto="1"/>
        </bottom>
      </border>
    </dxf>
    <dxf>
      <font>
        <color theme="0"/>
      </font>
      <fill>
        <patternFill>
          <bgColor rgb="FFEC701C"/>
        </patternFill>
      </fill>
      <border>
        <left style="thin">
          <color auto="1"/>
        </left>
        <right style="thin">
          <color auto="1"/>
        </right>
        <bottom style="thin">
          <color auto="1"/>
        </bottom>
        <vertical/>
        <horizontal/>
      </border>
    </dxf>
    <dxf>
      <font>
        <color theme="0"/>
      </font>
      <fill>
        <patternFill patternType="solid">
          <fgColor indexed="64"/>
          <bgColor theme="0"/>
        </patternFill>
      </fill>
      <border>
        <left/>
        <right/>
        <top/>
        <bottom/>
      </border>
    </dxf>
    <dxf>
      <font>
        <color theme="0"/>
      </font>
      <fill>
        <patternFill patternType="solid">
          <fgColor indexed="64"/>
          <bgColor theme="0"/>
        </patternFill>
      </fill>
      <border>
        <left/>
        <right/>
        <top/>
        <bottom/>
      </border>
    </dxf>
    <dxf>
      <font>
        <b val="0"/>
        <i val="0"/>
        <color theme="0"/>
      </font>
      <fill>
        <patternFill patternType="solid">
          <fgColor indexed="64"/>
          <bgColor rgb="FFEC701C"/>
        </patternFill>
      </fill>
      <border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solid">
          <fgColor indexed="64"/>
          <bgColor theme="0"/>
        </patternFill>
      </fill>
      <border>
        <left/>
        <right/>
        <top/>
        <bottom/>
      </border>
    </dxf>
    <dxf>
      <font>
        <color theme="0"/>
      </font>
      <fill>
        <patternFill patternType="solid">
          <fgColor indexed="64"/>
          <bgColor theme="0"/>
        </patternFill>
      </fill>
      <border>
        <left/>
        <right/>
        <top/>
        <bottom/>
      </border>
    </dxf>
    <dxf>
      <font>
        <b val="0"/>
        <i val="0"/>
        <color theme="0"/>
      </font>
      <fill>
        <patternFill patternType="solid">
          <fgColor indexed="64"/>
          <bgColor rgb="FFEC701C"/>
        </patternFill>
      </fill>
      <border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ont>
        <color theme="0"/>
      </font>
      <fill>
        <patternFill>
          <bgColor rgb="FFEC701C"/>
        </patternFill>
      </fill>
      <border>
        <left style="thin">
          <color auto="1"/>
        </left>
        <right style="thin">
          <color auto="1"/>
        </right>
        <bottom style="thin">
          <color auto="1"/>
        </bottom>
        <vertical/>
        <horizontal/>
      </border>
    </dxf>
    <dxf>
      <font>
        <color theme="0"/>
      </font>
      <fill>
        <patternFill patternType="solid">
          <fgColor indexed="64"/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solid">
          <fgColor indexed="64"/>
          <bgColor theme="0"/>
        </patternFill>
      </fill>
      <border>
        <left/>
        <right/>
        <top/>
        <bottom/>
      </border>
    </dxf>
    <dxf>
      <font>
        <color theme="0"/>
      </font>
      <fill>
        <patternFill patternType="solid">
          <fgColor indexed="64"/>
          <bgColor theme="0"/>
        </patternFill>
      </fill>
      <border>
        <left/>
        <right/>
        <top/>
        <bottom/>
      </border>
    </dxf>
    <dxf>
      <font>
        <b val="0"/>
        <i val="0"/>
        <color theme="0"/>
      </font>
      <fill>
        <patternFill patternType="solid">
          <fgColor indexed="64"/>
          <bgColor rgb="FFEC701C"/>
        </patternFill>
      </fill>
      <border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ont>
        <color theme="0"/>
      </font>
      <fill>
        <patternFill>
          <bgColor rgb="FFEC701C"/>
        </patternFill>
      </fill>
      <border>
        <left style="thin">
          <color auto="1"/>
        </left>
        <right style="thin">
          <color auto="1"/>
        </right>
        <bottom style="thin">
          <color auto="1"/>
        </bottom>
        <vertical/>
        <horizontal/>
      </border>
    </dxf>
    <dxf>
      <font>
        <color theme="0"/>
      </font>
      <fill>
        <patternFill patternType="solid">
          <fgColor indexed="64"/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solid">
          <fgColor indexed="64"/>
          <bgColor theme="0"/>
        </patternFill>
      </fill>
      <border>
        <left/>
        <right/>
        <top/>
        <bottom/>
      </border>
    </dxf>
    <dxf>
      <font>
        <color theme="0"/>
      </font>
      <fill>
        <patternFill patternType="solid">
          <fgColor indexed="64"/>
          <bgColor theme="0"/>
        </patternFill>
      </fill>
      <border>
        <left/>
        <right/>
        <top/>
        <bottom/>
      </border>
    </dxf>
    <dxf>
      <font>
        <b val="0"/>
        <i val="0"/>
        <color theme="0"/>
      </font>
      <fill>
        <patternFill patternType="solid">
          <fgColor indexed="64"/>
          <bgColor rgb="FFEC701C"/>
        </patternFill>
      </fill>
      <border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ont>
        <color theme="0"/>
      </font>
      <fill>
        <patternFill>
          <bgColor rgb="FFEC701C"/>
        </patternFill>
      </fill>
      <border>
        <left style="thin">
          <color auto="1"/>
        </left>
        <right style="thin">
          <color auto="1"/>
        </right>
        <bottom style="thin">
          <color auto="1"/>
        </bottom>
        <vertical/>
        <horizontal/>
      </border>
    </dxf>
    <dxf>
      <font>
        <color theme="0"/>
      </font>
      <fill>
        <patternFill patternType="solid">
          <fgColor indexed="64"/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solid">
          <fgColor indexed="64"/>
          <bgColor theme="0"/>
        </patternFill>
      </fill>
      <border>
        <left/>
        <right/>
        <top/>
        <bottom/>
      </border>
    </dxf>
    <dxf>
      <font>
        <color theme="0"/>
      </font>
      <fill>
        <patternFill patternType="solid">
          <fgColor indexed="64"/>
          <bgColor theme="0"/>
        </patternFill>
      </fill>
      <border>
        <left/>
        <right/>
        <top/>
        <bottom/>
      </border>
    </dxf>
    <dxf>
      <font>
        <b val="0"/>
        <i val="0"/>
        <color theme="0"/>
      </font>
      <fill>
        <patternFill patternType="solid">
          <fgColor indexed="64"/>
          <bgColor rgb="FFEC701C"/>
        </patternFill>
      </fill>
      <border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ont>
        <color theme="0"/>
      </font>
      <fill>
        <patternFill>
          <bgColor rgb="FFEC701C"/>
        </patternFill>
      </fill>
      <border>
        <left style="thin">
          <color auto="1"/>
        </left>
        <right style="thin">
          <color auto="1"/>
        </right>
        <bottom style="thin">
          <color auto="1"/>
        </bottom>
        <vertical/>
        <horizontal/>
      </border>
    </dxf>
    <dxf>
      <font>
        <color theme="0"/>
      </font>
      <fill>
        <patternFill patternType="solid">
          <fgColor indexed="64"/>
          <bgColor theme="0"/>
        </patternFill>
      </fill>
      <border>
        <left/>
        <right/>
        <top/>
        <bottom/>
      </border>
    </dxf>
    <dxf>
      <font>
        <color theme="0"/>
      </font>
      <fill>
        <patternFill patternType="solid">
          <fgColor indexed="64"/>
          <bgColor theme="0"/>
        </patternFill>
      </fill>
      <border>
        <left/>
        <right/>
        <top/>
        <bottom/>
      </border>
    </dxf>
    <dxf>
      <font>
        <color theme="0"/>
      </font>
      <fill>
        <patternFill patternType="solid">
          <fgColor indexed="64"/>
          <bgColor theme="0"/>
        </patternFill>
      </fill>
      <border>
        <left/>
        <right/>
        <top/>
        <bottom/>
      </border>
    </dxf>
    <dxf>
      <font>
        <b val="0"/>
        <i val="0"/>
        <color theme="0"/>
      </font>
      <fill>
        <patternFill patternType="solid">
          <fgColor indexed="64"/>
          <bgColor rgb="FFEC701C"/>
        </patternFill>
      </fill>
      <border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ont>
        <color theme="0"/>
      </font>
      <fill>
        <patternFill>
          <bgColor rgb="FFEC701C"/>
        </patternFill>
      </fill>
      <border>
        <left style="thin">
          <color auto="1"/>
        </left>
        <right style="thin">
          <color auto="1"/>
        </right>
        <bottom style="thin">
          <color auto="1"/>
        </bottom>
        <vertical/>
        <horizontal/>
      </border>
    </dxf>
    <dxf>
      <font>
        <color theme="0"/>
      </font>
      <fill>
        <patternFill patternType="solid">
          <fgColor indexed="64"/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b val="0"/>
        <i val="0"/>
        <color theme="0"/>
      </font>
      <fill>
        <patternFill patternType="solid">
          <fgColor indexed="64"/>
          <bgColor rgb="FFEC701C"/>
        </patternFill>
      </fill>
      <border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ont>
        <color theme="0"/>
      </font>
      <fill>
        <patternFill>
          <bgColor rgb="FFEC701C"/>
        </patternFill>
      </fill>
      <border>
        <left style="thin">
          <color auto="1"/>
        </left>
        <right style="thin">
          <color auto="1"/>
        </right>
        <bottom style="thin">
          <color auto="1"/>
        </bottom>
        <vertical/>
        <horizontal/>
      </border>
    </dxf>
    <dxf>
      <font>
        <color theme="0"/>
      </font>
      <fill>
        <patternFill patternType="solid">
          <fgColor indexed="64"/>
          <bgColor theme="0"/>
        </patternFill>
      </fill>
      <border>
        <left/>
        <right/>
        <top/>
        <bottom/>
      </border>
    </dxf>
    <dxf>
      <font>
        <color theme="0"/>
      </font>
      <fill>
        <patternFill patternType="solid">
          <fgColor indexed="64"/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 val="0"/>
        <i val="0"/>
        <color theme="0"/>
      </font>
      <fill>
        <patternFill patternType="solid">
          <fgColor indexed="64"/>
          <bgColor rgb="FFEC701C"/>
        </patternFill>
      </fill>
      <border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ont>
        <color theme="0"/>
      </font>
      <fill>
        <patternFill patternType="solid">
          <fgColor indexed="64"/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rgb="FFEC701C"/>
        </patternFill>
      </fill>
      <border>
        <left style="thin">
          <color auto="1"/>
        </left>
        <right style="thin">
          <color auto="1"/>
        </right>
        <bottom style="thin">
          <color auto="1"/>
        </bottom>
        <vertical/>
        <horizontal/>
      </border>
    </dxf>
    <dxf>
      <font>
        <b/>
        <i val="0"/>
        <strike val="0"/>
        <color theme="0"/>
      </font>
      <fill>
        <patternFill patternType="solid">
          <fgColor indexed="64"/>
          <bgColor theme="0"/>
        </patternFill>
      </fill>
      <border>
        <left/>
        <right/>
        <top/>
        <bottom/>
      </border>
    </dxf>
    <dxf>
      <font>
        <color theme="0"/>
      </font>
      <fill>
        <patternFill patternType="solid">
          <fgColor indexed="64"/>
          <bgColor theme="0"/>
        </patternFill>
      </fill>
      <border>
        <left/>
        <right/>
        <top/>
        <bottom/>
      </border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rgb="FFDCB4F0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DCB4F0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DCB4F0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DCB4F0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DCB4F0"/>
        </patternFill>
      </fill>
    </dxf>
    <dxf>
      <fill>
        <patternFill>
          <bgColor rgb="FFCCCCFF"/>
        </patternFill>
      </fill>
    </dxf>
    <dxf>
      <fill>
        <patternFill>
          <bgColor theme="9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rgb="FFCCCCFF"/>
        </patternFill>
      </fill>
    </dxf>
    <dxf>
      <fill>
        <patternFill>
          <bgColor theme="9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ont>
        <b/>
        <i val="0"/>
        <color theme="0"/>
      </font>
      <fill>
        <patternFill>
          <bgColor theme="9"/>
        </patternFill>
      </fill>
      <border>
        <vertical/>
        <horizontal/>
      </border>
    </dxf>
    <dxf>
      <font>
        <color theme="0"/>
      </font>
      <fill>
        <patternFill>
          <bgColor theme="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theme="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 tint="-0.24994659260841701"/>
      </font>
      <fill>
        <patternFill>
          <bgColor theme="0" tint="-0.24994659260841701"/>
        </patternFill>
      </fill>
      <border>
        <left/>
        <right/>
        <top/>
        <bottom/>
      </border>
    </dxf>
    <dxf>
      <font>
        <b/>
        <i val="0"/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theme="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5B487"/>
        </patternFill>
      </fill>
    </dxf>
    <dxf>
      <font>
        <b/>
        <i val="0"/>
        <color theme="0"/>
      </font>
      <fill>
        <patternFill>
          <bgColor theme="9"/>
        </patternFill>
      </fill>
      <border>
        <vertical/>
        <horizontal/>
      </border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patternFill>
          <bgColor rgb="FF7030A0"/>
        </patternFill>
      </fill>
    </dxf>
    <dxf>
      <fill>
        <patternFill>
          <bgColor rgb="FFCCCCFF"/>
        </patternFill>
      </fill>
    </dxf>
    <dxf>
      <fill>
        <patternFill>
          <bgColor theme="9" tint="0.79998168889431442"/>
        </patternFill>
      </fill>
    </dxf>
    <dxf>
      <font>
        <b val="0"/>
        <i val="0"/>
        <color auto="1"/>
      </font>
      <fill>
        <patternFill>
          <bgColor theme="6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ont>
        <color theme="0"/>
      </font>
      <fill>
        <patternFill>
          <bgColor theme="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none"/>
      </font>
      <fill>
        <patternFill patternType="solid">
          <fgColor rgb="FF000000"/>
          <bgColor rgb="FFFFFFFF"/>
        </patternFill>
      </fill>
      <alignment horizontal="center" vertical="bottom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none"/>
      </font>
      <fill>
        <patternFill patternType="solid">
          <fgColor rgb="FF000000"/>
          <bgColor rgb="FFFFFFFF"/>
        </patternFill>
      </fill>
      <alignment horizontal="center" vertical="bottom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none"/>
      </font>
      <fill>
        <patternFill patternType="solid">
          <fgColor rgb="FF000000"/>
          <bgColor rgb="FFFFFFFF"/>
        </patternFill>
      </fill>
      <alignment horizontal="center" vertical="bottom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1" hidden="1"/>
    </dxf>
  </dxfs>
  <tableStyles count="0" defaultTableStyle="TableStyleMedium2" defaultPivotStyle="PivotStyleLight16"/>
  <colors>
    <mruColors>
      <color rgb="FF3C69BA"/>
      <color rgb="FFCCCCFF"/>
      <color rgb="FFFFFFCC"/>
      <color rgb="FFC7A1E3"/>
      <color rgb="FFFFFFFF"/>
      <color rgb="FF305496"/>
      <color rgb="FF3C96BA"/>
      <color rgb="FF8A8A8A"/>
      <color rgb="FF009ED6"/>
      <color rgb="FFF5B48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1200150</xdr:colOff>
          <xdr:row>0</xdr:row>
          <xdr:rowOff>438150</xdr:rowOff>
        </xdr:from>
        <xdr:to>
          <xdr:col>4</xdr:col>
          <xdr:colOff>1876425</xdr:colOff>
          <xdr:row>2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GB" sz="36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409575</xdr:colOff>
          <xdr:row>20</xdr:row>
          <xdr:rowOff>9525</xdr:rowOff>
        </xdr:from>
        <xdr:to>
          <xdr:col>17</xdr:col>
          <xdr:colOff>200025</xdr:colOff>
          <xdr:row>29</xdr:row>
          <xdr:rowOff>66675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2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09728" tIns="105156" rIns="109728" bIns="105156" anchor="ctr" upright="1"/>
            <a:lstStyle/>
            <a:p>
              <a:pPr algn="ctr" rtl="0">
                <a:defRPr sz="1000"/>
              </a:pPr>
              <a:r>
                <a:rPr lang="en-GB" sz="6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PDF to print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11</xdr:col>
      <xdr:colOff>156129</xdr:colOff>
      <xdr:row>0</xdr:row>
      <xdr:rowOff>79653</xdr:rowOff>
    </xdr:from>
    <xdr:to>
      <xdr:col>16</xdr:col>
      <xdr:colOff>270152</xdr:colOff>
      <xdr:row>20</xdr:row>
      <xdr:rowOff>15460</xdr:rowOff>
    </xdr:to>
    <xdr:pic>
      <xdr:nvPicPr>
        <xdr:cNvPr id="2" name="Picture 1" descr="A blue and white board with black dots&#10;&#10;Description automatically generated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485" t="11040" r="23856" b="12110"/>
        <a:stretch/>
      </xdr:blipFill>
      <xdr:spPr>
        <a:xfrm>
          <a:off x="6667502" y="82828"/>
          <a:ext cx="2509629" cy="373350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152400</xdr:colOff>
          <xdr:row>0</xdr:row>
          <xdr:rowOff>28575</xdr:rowOff>
        </xdr:from>
        <xdr:to>
          <xdr:col>0</xdr:col>
          <xdr:colOff>876300</xdr:colOff>
          <xdr:row>0</xdr:row>
          <xdr:rowOff>390525</xdr:rowOff>
        </xdr:to>
        <xdr:sp macro="" textlink="">
          <xdr:nvSpPr>
            <xdr:cNvPr id="2071" name="Button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2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Capture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933450</xdr:colOff>
          <xdr:row>0</xdr:row>
          <xdr:rowOff>28575</xdr:rowOff>
        </xdr:from>
        <xdr:to>
          <xdr:col>2</xdr:col>
          <xdr:colOff>133350</xdr:colOff>
          <xdr:row>0</xdr:row>
          <xdr:rowOff>390525</xdr:rowOff>
        </xdr:to>
        <xdr:sp macro="" textlink="">
          <xdr:nvSpPr>
            <xdr:cNvPr id="2072" name="Button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2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Capture Conc.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190500</xdr:colOff>
          <xdr:row>0</xdr:row>
          <xdr:rowOff>28575</xdr:rowOff>
        </xdr:from>
        <xdr:to>
          <xdr:col>3</xdr:col>
          <xdr:colOff>333375</xdr:colOff>
          <xdr:row>0</xdr:row>
          <xdr:rowOff>390525</xdr:rowOff>
        </xdr:to>
        <xdr:sp macro="" textlink="">
          <xdr:nvSpPr>
            <xdr:cNvPr id="2073" name="Button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2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Detect</a:t>
              </a:r>
            </a:p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209550</xdr:colOff>
          <xdr:row>0</xdr:row>
          <xdr:rowOff>28575</xdr:rowOff>
        </xdr:from>
        <xdr:to>
          <xdr:col>7</xdr:col>
          <xdr:colOff>352425</xdr:colOff>
          <xdr:row>0</xdr:row>
          <xdr:rowOff>390525</xdr:rowOff>
        </xdr:to>
        <xdr:sp macro="" textlink="">
          <xdr:nvSpPr>
            <xdr:cNvPr id="2076" name="Button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2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Sample</a:t>
              </a:r>
            </a:p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390525</xdr:colOff>
          <xdr:row>0</xdr:row>
          <xdr:rowOff>28575</xdr:rowOff>
        </xdr:from>
        <xdr:to>
          <xdr:col>4</xdr:col>
          <xdr:colOff>533400</xdr:colOff>
          <xdr:row>0</xdr:row>
          <xdr:rowOff>390525</xdr:rowOff>
        </xdr:to>
        <xdr:sp macro="" textlink="">
          <xdr:nvSpPr>
            <xdr:cNvPr id="2079" name="Button 31" hidden="1">
              <a:extLst>
                <a:ext uri="{63B3BB69-23CF-44E3-9099-C40C66FF867C}">
                  <a14:compatExt spid="_x0000_s2079"/>
                </a:ext>
                <a:ext uri="{FF2B5EF4-FFF2-40B4-BE49-F238E27FC236}">
                  <a16:creationId xmlns:a16="http://schemas.microsoft.com/office/drawing/2014/main" id="{00000000-0008-0000-0200-00001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Detect</a:t>
              </a:r>
            </a:p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Conc.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9525</xdr:colOff>
          <xdr:row>0</xdr:row>
          <xdr:rowOff>28575</xdr:rowOff>
        </xdr:from>
        <xdr:to>
          <xdr:col>6</xdr:col>
          <xdr:colOff>152400</xdr:colOff>
          <xdr:row>0</xdr:row>
          <xdr:rowOff>390525</xdr:rowOff>
        </xdr:to>
        <xdr:sp macro="" textlink="">
          <xdr:nvSpPr>
            <xdr:cNvPr id="2080" name="Button 32" hidden="1">
              <a:extLst>
                <a:ext uri="{63B3BB69-23CF-44E3-9099-C40C66FF867C}">
                  <a14:compatExt spid="_x0000_s2080"/>
                </a:ext>
                <a:ext uri="{FF2B5EF4-FFF2-40B4-BE49-F238E27FC236}">
                  <a16:creationId xmlns:a16="http://schemas.microsoft.com/office/drawing/2014/main" id="{00000000-0008-0000-0200-00002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Sample Diluent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409575</xdr:colOff>
          <xdr:row>0</xdr:row>
          <xdr:rowOff>28575</xdr:rowOff>
        </xdr:from>
        <xdr:to>
          <xdr:col>8</xdr:col>
          <xdr:colOff>552450</xdr:colOff>
          <xdr:row>0</xdr:row>
          <xdr:rowOff>390525</xdr:rowOff>
        </xdr:to>
        <xdr:sp macro="" textlink="">
          <xdr:nvSpPr>
            <xdr:cNvPr id="2081" name="Button 33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:a16="http://schemas.microsoft.com/office/drawing/2014/main" id="{00000000-0008-0000-0200-00002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Sample</a:t>
              </a:r>
            </a:p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Conc.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CD638D-48CA-41A6-9AD6-0A8DB958F0AF}" name="Table1378235" displayName="Table1378235" ref="F220:F240" headerRowCount="0" totalsRowShown="0" headerRowDxfId="291" dataDxfId="290">
  <tableColumns count="1">
    <tableColumn id="1" xr3:uid="{15C2E247-39FA-4BA6-933A-70063DAE7C81}" name="MASTER MIX" headerRowDxfId="289" dataDxfId="288"/>
  </tableColumns>
  <tableStyleInfo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7E6BD98-E74B-408B-9DC3-C8B16EBC9D65}" name="Table13782355" displayName="Table13782355" ref="F220:F240" headerRowCount="0" totalsRowShown="0" headerRowDxfId="287" dataDxfId="286">
  <tableColumns count="1">
    <tableColumn id="1" xr3:uid="{792120C4-10DE-48A0-ADF0-3B1C7F59E518}" name="MASTER MIX" headerRowDxfId="285" dataDxfId="284"/>
  </tableColumns>
  <tableStyleInfo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8AF20DA-C58D-410D-B22A-946E8F36A408}" name="Table1378" displayName="Table1378" ref="F220:F240" headerRowCount="0" totalsRowShown="0" headerRowDxfId="283" dataDxfId="282">
  <tableColumns count="1">
    <tableColumn id="1" xr3:uid="{C8A77728-8144-4BBF-B942-EBD45C059146}" name="MASTER MIX" headerRowDxfId="281" dataDxfId="280"/>
  </tableColumns>
  <tableStyleInfo showFirstColumn="0" showLastColumn="0" showRowStripes="0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benjamin.djian@bio-techne.com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mailto:benjamin.djian@bio-techne.com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mailto:benjamin.djian@bio-techne.com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mailto:benjamin.djian@bio-techne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6E54FA-7F4A-4802-9CC7-8E0FD945705C}">
  <sheetPr codeName="Sheet1">
    <pageSetUpPr fitToPage="1"/>
  </sheetPr>
  <dimension ref="A1:BG290"/>
  <sheetViews>
    <sheetView tabSelected="1" zoomScale="60" zoomScaleNormal="60" workbookViewId="0">
      <selection activeCell="H6" sqref="H6"/>
    </sheetView>
  </sheetViews>
  <sheetFormatPr defaultColWidth="9.140625" defaultRowHeight="23.25" x14ac:dyDescent="0.35"/>
  <cols>
    <col min="1" max="1" width="11.140625" style="16" customWidth="1"/>
    <col min="2" max="2" width="24.140625" bestFit="1" customWidth="1"/>
    <col min="3" max="3" width="38.5703125" customWidth="1"/>
    <col min="4" max="8" width="38.42578125" customWidth="1"/>
    <col min="9" max="9" width="42.5703125" customWidth="1"/>
    <col min="10" max="10" width="6.140625" style="41" customWidth="1"/>
    <col min="11" max="11" width="19.85546875" style="41" customWidth="1"/>
    <col min="12" max="12" width="46.7109375" style="41" customWidth="1"/>
    <col min="13" max="13" width="15.42578125" style="41" customWidth="1"/>
    <col min="14" max="14" width="18.140625" style="41" customWidth="1"/>
    <col min="15" max="15" width="74.7109375" style="41" customWidth="1"/>
    <col min="16" max="16" width="55.28515625" style="41" customWidth="1"/>
    <col min="17" max="17" width="15.28515625" style="41" customWidth="1"/>
    <col min="18" max="18" width="4.28515625" style="41" bestFit="1" customWidth="1"/>
    <col min="19" max="19" width="17.5703125" style="41" customWidth="1"/>
    <col min="20" max="22" width="8.7109375" style="41" customWidth="1"/>
    <col min="23" max="23" width="38" style="56" customWidth="1"/>
    <col min="24" max="24" width="17.28515625" style="56" customWidth="1"/>
    <col min="25" max="29" width="17.28515625" style="56" hidden="1" customWidth="1"/>
    <col min="30" max="30" width="17.28515625" style="41" hidden="1" customWidth="1"/>
    <col min="31" max="31" width="17.28515625" style="41" customWidth="1"/>
    <col min="32" max="32" width="39.85546875" style="41" customWidth="1"/>
    <col min="33" max="41" width="17.28515625" style="41" customWidth="1"/>
    <col min="42" max="58" width="17.28515625" style="16" customWidth="1"/>
    <col min="59" max="59" width="17.28515625" customWidth="1"/>
  </cols>
  <sheetData>
    <row r="1" spans="1:59" ht="3" customHeight="1" thickBot="1" x14ac:dyDescent="0.4">
      <c r="A1" s="122"/>
      <c r="B1" s="16"/>
      <c r="C1" s="16"/>
      <c r="D1" s="16"/>
      <c r="E1" s="16"/>
      <c r="F1" s="16"/>
      <c r="G1" s="16"/>
      <c r="H1" s="16"/>
      <c r="I1" s="95"/>
      <c r="AP1" s="95"/>
      <c r="AQ1" s="95"/>
      <c r="AR1" s="95"/>
      <c r="AS1" s="95"/>
      <c r="AT1" s="95"/>
      <c r="AU1" s="95"/>
      <c r="AV1" s="95"/>
      <c r="AW1" s="95"/>
      <c r="AX1" s="95"/>
      <c r="AY1" s="95"/>
      <c r="AZ1" s="95"/>
      <c r="BA1" s="95"/>
      <c r="BB1" s="95"/>
      <c r="BC1" s="95"/>
      <c r="BD1" s="95"/>
      <c r="BE1" s="95"/>
      <c r="BF1" s="95"/>
      <c r="BG1" s="123"/>
    </row>
    <row r="2" spans="1:59" ht="45" customHeight="1" thickBot="1" x14ac:dyDescent="0.4">
      <c r="A2" s="316">
        <v>48</v>
      </c>
      <c r="B2" s="317" t="s">
        <v>153</v>
      </c>
      <c r="C2" s="16"/>
      <c r="D2" s="16"/>
      <c r="E2" s="16"/>
      <c r="F2" s="332" t="s">
        <v>91</v>
      </c>
      <c r="G2" s="333"/>
      <c r="H2" s="118" t="s">
        <v>29</v>
      </c>
      <c r="I2" s="95"/>
      <c r="AP2" s="95"/>
      <c r="AQ2" s="95"/>
      <c r="AR2" s="95"/>
      <c r="AS2" s="95"/>
      <c r="AT2" s="95"/>
      <c r="AU2" s="95"/>
      <c r="AV2" s="95"/>
      <c r="AW2" s="95"/>
      <c r="AX2" s="95"/>
      <c r="AY2" s="95"/>
      <c r="AZ2" s="95"/>
      <c r="BA2" s="95"/>
      <c r="BB2" s="95"/>
      <c r="BC2" s="95"/>
      <c r="BD2" s="95"/>
      <c r="BE2" s="95"/>
      <c r="BF2" s="95"/>
      <c r="BG2" s="123"/>
    </row>
    <row r="3" spans="1:59" s="123" customFormat="1" ht="63.75" customHeight="1" x14ac:dyDescent="0.35">
      <c r="A3" s="95"/>
      <c r="B3" s="95"/>
      <c r="C3" s="95"/>
      <c r="D3" s="95"/>
      <c r="E3" s="95"/>
      <c r="F3" s="95"/>
      <c r="G3" s="95"/>
      <c r="H3" s="95"/>
      <c r="I3" s="95"/>
      <c r="J3" s="41"/>
      <c r="K3" s="41"/>
      <c r="L3" s="41"/>
      <c r="M3" s="41"/>
      <c r="N3" s="41"/>
      <c r="O3" s="41"/>
      <c r="P3" s="41"/>
      <c r="Q3" s="41"/>
      <c r="R3" s="41"/>
      <c r="S3" s="41"/>
      <c r="T3" s="41"/>
      <c r="U3" s="41"/>
      <c r="V3" s="41"/>
      <c r="W3" s="56"/>
      <c r="X3" s="56"/>
      <c r="Y3" s="56"/>
      <c r="Z3" s="56"/>
      <c r="AA3" s="56"/>
      <c r="AB3" s="56"/>
      <c r="AC3" s="56"/>
      <c r="AD3" s="41"/>
      <c r="AE3" s="41"/>
      <c r="AF3" s="41"/>
      <c r="AG3" s="41"/>
      <c r="AH3" s="41"/>
      <c r="AI3" s="41"/>
      <c r="AJ3" s="41"/>
      <c r="AK3" s="41"/>
      <c r="AL3" s="41"/>
      <c r="AM3" s="41"/>
      <c r="AN3" s="41"/>
      <c r="AO3" s="41"/>
      <c r="AP3" s="95"/>
      <c r="AQ3" s="95"/>
      <c r="AR3" s="95"/>
      <c r="AS3" s="95"/>
      <c r="AT3" s="95"/>
      <c r="AU3" s="95"/>
      <c r="AV3" s="95"/>
      <c r="AW3" s="95"/>
      <c r="AX3" s="95"/>
      <c r="AY3" s="95"/>
      <c r="AZ3" s="95"/>
      <c r="BA3" s="95"/>
      <c r="BB3" s="95"/>
      <c r="BC3" s="95"/>
      <c r="BD3" s="95"/>
      <c r="BE3" s="95"/>
      <c r="BF3" s="95"/>
    </row>
    <row r="4" spans="1:59" s="16" customFormat="1" ht="111" customHeight="1" thickBot="1" x14ac:dyDescent="0.6">
      <c r="A4" s="17"/>
      <c r="B4" s="17"/>
      <c r="C4" s="322" t="str">
        <f>IF(AND(H2="Yes", C6=1), "How many different antibodies to test?",
    IF(AF4=1, "You're all set! Check the 'Print' Tab to see the result !",
        IF(AF4 = INT(AF4),
            IF(I6&gt;12, "Max value = 12",
                IF(OR(C6&gt;6, D6&gt;6, E6&gt;6, F6&gt;6, G6&gt;6, H6&gt;6), "Max value = 6", AF4 &amp; " Conditions remaining (The product of cells C6 to I6 should be " &amp;A2&amp;")")),
            "ERROR : This combination of conditions cannot be a multiple of " &amp;A2&amp;"")
    )
)</f>
        <v>You're all set! Check the 'Print' Tab to see the result !</v>
      </c>
      <c r="D4" s="322"/>
      <c r="E4" s="322"/>
      <c r="F4" s="322"/>
      <c r="G4" s="322"/>
      <c r="H4" s="322"/>
      <c r="I4" s="322"/>
      <c r="J4" s="60"/>
      <c r="K4" s="41"/>
      <c r="L4" s="323"/>
      <c r="M4" s="323"/>
      <c r="N4" s="323"/>
      <c r="O4" s="323"/>
      <c r="P4" s="323"/>
      <c r="Q4" s="323"/>
      <c r="R4" s="323"/>
      <c r="S4" s="323"/>
      <c r="T4" s="50"/>
      <c r="U4" s="41"/>
      <c r="V4" s="60"/>
      <c r="W4" s="61">
        <f>IF(C6&lt;&gt;1,0,IF(C7=A2,0,1))</f>
        <v>0</v>
      </c>
      <c r="X4" s="61">
        <f>IF(D6&lt;&gt;1,0,IF(D7=A2,0,1))</f>
        <v>0</v>
      </c>
      <c r="Y4" s="61">
        <f>IF(E6&lt;&gt;1,0,IF(E7=A2,0,1))</f>
        <v>0</v>
      </c>
      <c r="Z4" s="61">
        <f>IF(F6&lt;&gt;1,0,IF(F7=A2,0,1))</f>
        <v>0</v>
      </c>
      <c r="AA4" s="61">
        <f>IF(G6&lt;&gt;1,0,IF(G7=A2,0,1))</f>
        <v>0</v>
      </c>
      <c r="AB4" s="61">
        <f>IF(H6&lt;&gt;1,0,IF(H7=A2,0,1))</f>
        <v>0</v>
      </c>
      <c r="AC4" s="61">
        <f>IF(I6&lt;&gt;1,0,IF(I7=A2,0,1))</f>
        <v>0</v>
      </c>
      <c r="AD4" s="60"/>
      <c r="AE4" s="41"/>
      <c r="AF4" s="62">
        <f>A2/(I6*H6*G6*F6*(IF(AND(H2="Yes", C6&gt;2), C6-1, IF(AND(H2="Yes", C6=2), 1, IF(AND(H2="Yes", C6&lt;2), 2, E6))))*D6*C6)</f>
        <v>1</v>
      </c>
      <c r="AG4" s="41"/>
      <c r="AH4" s="41"/>
      <c r="AI4" s="41"/>
      <c r="AJ4" s="41"/>
      <c r="AK4" s="41"/>
      <c r="AL4" s="41"/>
      <c r="AM4" s="41"/>
      <c r="AN4" s="41"/>
      <c r="AO4" s="41"/>
      <c r="AP4" s="95"/>
      <c r="AQ4" s="95"/>
      <c r="AR4" s="95"/>
      <c r="AS4" s="95"/>
      <c r="AT4" s="95"/>
      <c r="AU4" s="95"/>
      <c r="AV4" s="95"/>
      <c r="AW4" s="95"/>
      <c r="AX4" s="95"/>
      <c r="AY4" s="95"/>
      <c r="AZ4" s="95"/>
      <c r="BA4" s="95"/>
      <c r="BB4" s="95"/>
      <c r="BC4" s="95"/>
      <c r="BD4" s="95"/>
      <c r="BE4" s="95"/>
    </row>
    <row r="5" spans="1:59" s="3" customFormat="1" ht="95.25" customHeight="1" thickBot="1" x14ac:dyDescent="1.4">
      <c r="A5" s="63"/>
      <c r="B5" s="106" t="s">
        <v>23</v>
      </c>
      <c r="C5" s="107" t="str">
        <f>IF(H2="Yes", "Antibodies to test", "Capture Type")</f>
        <v>Capture Type</v>
      </c>
      <c r="D5" s="108" t="s">
        <v>8</v>
      </c>
      <c r="E5" s="108" t="s">
        <v>21</v>
      </c>
      <c r="F5" s="108" t="s">
        <v>9</v>
      </c>
      <c r="G5" s="138" t="s">
        <v>20</v>
      </c>
      <c r="H5" s="108" t="s">
        <v>19</v>
      </c>
      <c r="I5" s="109" t="s">
        <v>22</v>
      </c>
      <c r="J5" s="47">
        <f>I6*H6*G6*F6*E6*D6*C6</f>
        <v>48</v>
      </c>
      <c r="K5" s="318">
        <f>IF(SUM(W4:AC4)&gt;0,"ERROR DETECTED!
Repetition of blue variables must remain " &amp;A2&amp;"",0)</f>
        <v>0</v>
      </c>
      <c r="L5" s="318"/>
      <c r="M5" s="318"/>
      <c r="N5" s="318"/>
      <c r="O5" s="318"/>
      <c r="P5" s="318"/>
      <c r="Q5" s="318"/>
      <c r="R5" s="318"/>
      <c r="S5" s="318"/>
      <c r="T5" s="318"/>
      <c r="U5" s="41">
        <f>COUNTIF(C7:I7,1)</f>
        <v>1</v>
      </c>
      <c r="V5" s="52" t="str">
        <f>IF(U5&gt;1, "Only one variable can have 1 as repetition", " ")</f>
        <v xml:space="preserve"> </v>
      </c>
      <c r="W5" s="56"/>
      <c r="X5" s="56"/>
      <c r="Y5" s="56"/>
      <c r="Z5" s="56"/>
      <c r="AA5" s="56"/>
      <c r="AB5" s="56"/>
      <c r="AC5" s="56"/>
      <c r="AD5" s="53"/>
      <c r="AE5" s="53"/>
      <c r="AF5" s="53"/>
      <c r="AG5" s="53"/>
      <c r="AH5" s="53"/>
      <c r="AI5" s="53"/>
      <c r="AJ5" s="53"/>
      <c r="AK5" s="53"/>
      <c r="AL5" s="53"/>
      <c r="AM5" s="53"/>
      <c r="AN5" s="53"/>
      <c r="AO5" s="53"/>
      <c r="AP5" s="124"/>
      <c r="AQ5" s="124"/>
      <c r="AR5" s="124"/>
      <c r="AS5" s="124"/>
      <c r="AT5" s="137">
        <f>COUNTIF(C7:I7,F13)</f>
        <v>1</v>
      </c>
      <c r="AU5" s="124"/>
      <c r="AV5" s="124"/>
      <c r="AW5" s="124"/>
      <c r="AX5" s="124"/>
      <c r="AY5" s="124"/>
      <c r="AZ5" s="124"/>
      <c r="BA5" s="124"/>
      <c r="BB5" s="124"/>
      <c r="BC5" s="124"/>
      <c r="BD5" s="124"/>
      <c r="BE5" s="124"/>
      <c r="BF5" s="25"/>
    </row>
    <row r="6" spans="1:59" ht="126" customHeight="1" thickBot="1" x14ac:dyDescent="0.4">
      <c r="A6" s="64" t="str">
        <f>IF(AF4=1,"✓","→")</f>
        <v>✓</v>
      </c>
      <c r="B6" s="299">
        <v>1</v>
      </c>
      <c r="C6" s="300">
        <v>1</v>
      </c>
      <c r="D6" s="300">
        <v>3</v>
      </c>
      <c r="E6" s="300">
        <v>1</v>
      </c>
      <c r="F6" s="300">
        <v>2</v>
      </c>
      <c r="G6" s="300">
        <v>1</v>
      </c>
      <c r="H6" s="295">
        <v>1</v>
      </c>
      <c r="I6" s="295">
        <v>8</v>
      </c>
      <c r="J6" s="294" t="s">
        <v>144</v>
      </c>
      <c r="K6" s="330" t="s">
        <v>145</v>
      </c>
      <c r="L6" s="331"/>
      <c r="M6" s="127"/>
      <c r="N6" s="127"/>
      <c r="O6" s="127"/>
      <c r="P6" s="127"/>
      <c r="Q6" s="127"/>
      <c r="R6" s="127"/>
      <c r="S6" s="127"/>
      <c r="T6" s="127"/>
      <c r="AP6" s="95"/>
      <c r="AQ6" s="95"/>
      <c r="AR6" s="95"/>
      <c r="AS6" s="95"/>
      <c r="AT6" s="95"/>
      <c r="AU6" s="95"/>
      <c r="AV6" s="95"/>
      <c r="AW6" s="95"/>
      <c r="AX6" s="95"/>
      <c r="AY6" s="95"/>
      <c r="AZ6" s="95"/>
      <c r="BA6" s="95"/>
      <c r="BB6" s="95"/>
      <c r="BC6" s="95"/>
      <c r="BD6" s="95"/>
      <c r="BE6" s="95"/>
    </row>
    <row r="7" spans="1:59" ht="37.5" hidden="1" customHeight="1" x14ac:dyDescent="0.35">
      <c r="A7" s="64"/>
      <c r="B7" s="296" t="s">
        <v>25</v>
      </c>
      <c r="C7" s="297">
        <f>IF(C6=1, A2, FLOOR(A2/PRODUCT($C$6:C6),1))</f>
        <v>48</v>
      </c>
      <c r="D7" s="297">
        <f>IF(AND($H$2="Yes", $C$6&gt;2), IF(D6=1, A2, FLOOR(A2/($C$6*$D$6*($C$6-1)),1)), IF(AND($H$2="Yes", $C$6&lt;=2), IF(D6=1, A2, FLOOR(A2/($C$6*$D$6*1),1)), IF(D6=1, A2, FLOOR(A2/PRODUCT($C$6:D6),1))))</f>
        <v>16</v>
      </c>
      <c r="E7" s="297">
        <f>IF(E6=1, A2, FLOOR(A2/PRODUCT($C$6:E6),1))</f>
        <v>48</v>
      </c>
      <c r="F7" s="298">
        <f>IF(AND($H$2="Yes", $C$6&gt;2), IF(F6=1, A2, FLOOR(A2/($C$6*$D$6*($C$6-1)*$F$6),1)), IF(AND($H$2="Yes", $C$6&lt;=2), IF(F6=1, A2, FLOOR(A2/($C$6*$D$6*1*$F$6),1)), IF(F6=1, A2, FLOOR(A2/PRODUCT($C$6:F6),1))))</f>
        <v>8</v>
      </c>
      <c r="G7" s="297">
        <f>IF(AND($H$2="Yes", $C$6&gt;2), IF(G6=1, A2, FLOOR(A2/($C$6*$D$6*($C$6-1)*$F$6*$G$6),1)), IF(AND($H$2="Yes", $C$6&lt;=2), IF(G6=1, A2, FLOOR(A2/($C$6*$D$6*1*$F$6*$G$6),1)), IF(G6=1, A2, FLOOR(A2/PRODUCT($C$6:G6),1))))</f>
        <v>48</v>
      </c>
      <c r="H7" s="297">
        <f>IF(AND($H$2="Yes", $C$6&gt;2), IF(H6=1, A2, FLOOR(A2/($C$6*$D$6*($C$6-1)*$F$6*$G$6*$H$6),1)), IF(AND($H$2="Yes", $C$6&lt;=2), IF(H6=1, A2, FLOOR(A2/($C$6*$D$6*1*$F$6*$G$6*$H$6),1)), IF(H6=1, A2, FLOOR(A2/PRODUCT($C$6:H6),1))))</f>
        <v>48</v>
      </c>
      <c r="I7" s="293">
        <f>IF(AND($H$2="Yes", $C$6&gt;2), IF(I6=1, A2, FLOOR(A2/($C$6*$D$6*($C$6-1)*$F$6*$G$6*$H$6*$I$6),1)), IF(AND($H$2="Yes", $C$6&lt;=2), IF(I6=1, A2, FLOOR(A2/($C$6*$D$6*1*$F$6*$G$6*$H$6*$I$6),1)), IF(I6=1, A2, FLOOR(A2/PRODUCT($C$6:I6),1))))</f>
        <v>1</v>
      </c>
      <c r="K7" s="105"/>
      <c r="L7" s="105"/>
      <c r="S7" s="105"/>
      <c r="T7" s="105"/>
      <c r="AP7" s="95"/>
      <c r="AQ7" s="95"/>
      <c r="AR7" s="95"/>
      <c r="AS7" s="95"/>
      <c r="AT7" s="95"/>
      <c r="AU7" s="95"/>
      <c r="AV7" s="95"/>
      <c r="AW7" s="95"/>
      <c r="AX7" s="95"/>
      <c r="AY7" s="95"/>
      <c r="AZ7" s="95"/>
      <c r="BA7" s="95"/>
      <c r="BB7" s="95"/>
      <c r="BC7" s="95"/>
      <c r="BD7" s="95"/>
      <c r="BE7" s="95"/>
    </row>
    <row r="8" spans="1:59" ht="36" hidden="1" customHeight="1" thickBot="1" x14ac:dyDescent="0.4">
      <c r="A8" s="64" t="str">
        <f>IF(A7="→"," ",IF(C4="GOOD JOB !","✓"," "))</f>
        <v xml:space="preserve"> </v>
      </c>
      <c r="B8" s="2" t="s">
        <v>24</v>
      </c>
      <c r="C8" s="211">
        <f>IF(C6=1, 1, CEILING(A2/(C7*C6),1))</f>
        <v>1</v>
      </c>
      <c r="D8" s="211">
        <f>IF(D6=1, 1, CEILING(A2/(D7*D6),1))</f>
        <v>1</v>
      </c>
      <c r="E8" s="211">
        <f>IF(E6=1, 1, CEILING(A2/(E7*E6),1))</f>
        <v>1</v>
      </c>
      <c r="F8" s="211">
        <f>IF(F6=1, 1, CEILING(A2/(F7*F6),1))</f>
        <v>3</v>
      </c>
      <c r="G8" s="211">
        <f>IF(G6=1, 1, CEILING(A2/(G7*G6),1))</f>
        <v>1</v>
      </c>
      <c r="H8" s="211">
        <f>IF(H6=1, 1, CEILING(A2/(H7*H6),1))</f>
        <v>1</v>
      </c>
      <c r="I8" s="212">
        <f>IF(I6=1, 1, CEILING(A2/(I7*I6),1))</f>
        <v>6</v>
      </c>
      <c r="AP8" s="95"/>
      <c r="AQ8" s="95"/>
      <c r="AR8" s="95"/>
      <c r="AS8" s="95"/>
      <c r="AT8" s="95"/>
      <c r="AU8" s="95"/>
      <c r="AV8" s="95"/>
      <c r="AW8" s="95"/>
      <c r="AX8" s="95"/>
      <c r="AY8" s="95"/>
      <c r="AZ8" s="95"/>
      <c r="BA8" s="95"/>
      <c r="BB8" s="95"/>
      <c r="BC8" s="95"/>
      <c r="BD8" s="95"/>
      <c r="BE8" s="95"/>
    </row>
    <row r="9" spans="1:59" s="46" customFormat="1" ht="16.5" customHeight="1" x14ac:dyDescent="0.9">
      <c r="A9" s="92"/>
      <c r="B9" s="55"/>
      <c r="C9" s="48">
        <f>A2/C7</f>
        <v>1</v>
      </c>
      <c r="D9" s="48">
        <f>A2/D7</f>
        <v>3</v>
      </c>
      <c r="E9" s="48">
        <f>A2/E7</f>
        <v>1</v>
      </c>
      <c r="F9" s="48">
        <f>A2/F7</f>
        <v>6</v>
      </c>
      <c r="G9" s="48">
        <f>A2/G7</f>
        <v>1</v>
      </c>
      <c r="H9" s="48">
        <f>A2/H7</f>
        <v>1</v>
      </c>
      <c r="I9" s="48">
        <f>A2/I7</f>
        <v>48</v>
      </c>
      <c r="J9" s="54"/>
      <c r="K9" s="54"/>
      <c r="L9" s="57"/>
      <c r="M9" s="57"/>
      <c r="N9" s="57"/>
      <c r="O9" s="57"/>
      <c r="P9" s="57"/>
      <c r="Q9" s="57"/>
      <c r="R9" s="57"/>
      <c r="S9" s="57"/>
      <c r="T9" s="57"/>
      <c r="U9" s="54"/>
      <c r="V9" s="54"/>
      <c r="W9" s="116"/>
      <c r="X9" s="116"/>
      <c r="Y9" s="116"/>
      <c r="Z9" s="116"/>
      <c r="AA9" s="116"/>
      <c r="AB9" s="116"/>
      <c r="AC9" s="116"/>
      <c r="AD9" s="54"/>
      <c r="AE9" s="54"/>
      <c r="AF9" s="54"/>
      <c r="AG9" s="54"/>
      <c r="AH9" s="54"/>
      <c r="AI9" s="54"/>
      <c r="AJ9" s="54"/>
      <c r="AK9" s="54"/>
      <c r="AL9" s="54"/>
      <c r="AM9" s="54"/>
      <c r="AN9" s="54"/>
      <c r="AO9" s="54"/>
      <c r="AP9" s="125"/>
      <c r="AQ9" s="125"/>
      <c r="AR9" s="125"/>
      <c r="AS9" s="125"/>
      <c r="AT9" s="125"/>
      <c r="AU9" s="125"/>
      <c r="AV9" s="125"/>
      <c r="AW9" s="125"/>
      <c r="AX9" s="125"/>
      <c r="AY9" s="125"/>
      <c r="AZ9" s="125"/>
      <c r="BA9" s="125"/>
      <c r="BB9" s="125"/>
      <c r="BC9" s="125"/>
      <c r="BD9" s="125"/>
      <c r="BE9" s="125"/>
      <c r="BF9" s="45"/>
    </row>
    <row r="10" spans="1:59" s="46" customFormat="1" ht="3.75" customHeight="1" x14ac:dyDescent="0.9">
      <c r="A10" s="92"/>
      <c r="B10" s="55"/>
      <c r="C10" s="48">
        <f>IF(OR(C8=1, C8=A2),0,C8)</f>
        <v>0</v>
      </c>
      <c r="D10" s="48">
        <f>IF(OR(D8=1, D8=A2),0,D8)</f>
        <v>0</v>
      </c>
      <c r="E10" s="48">
        <f>IF(OR(E8=1, E8=A2),0,E8)</f>
        <v>0</v>
      </c>
      <c r="F10" s="48">
        <f>IF(OR(F8=1, F8=A2),0,F8)</f>
        <v>3</v>
      </c>
      <c r="G10" s="48">
        <f>IF(OR(G8=1, G8=A2),0,G8)</f>
        <v>0</v>
      </c>
      <c r="H10" s="48">
        <f>IF(OR(H8=1, H8=A2),0,H8)</f>
        <v>0</v>
      </c>
      <c r="I10" s="48">
        <f>IF(OR(I8=1, I8=A2),0,I8)</f>
        <v>6</v>
      </c>
      <c r="J10" s="49">
        <f>SUM(C10:I10)</f>
        <v>9</v>
      </c>
      <c r="K10" s="57"/>
      <c r="L10" s="57"/>
      <c r="M10" s="57"/>
      <c r="N10" s="57"/>
      <c r="O10" s="57"/>
      <c r="P10" s="57"/>
      <c r="Q10" s="57"/>
      <c r="R10" s="57"/>
      <c r="S10" s="57"/>
      <c r="T10" s="57"/>
      <c r="U10" s="54"/>
      <c r="V10" s="54"/>
      <c r="W10" s="116"/>
      <c r="X10" s="116"/>
      <c r="Y10" s="116"/>
      <c r="Z10" s="116"/>
      <c r="AA10" s="116"/>
      <c r="AB10" s="116"/>
      <c r="AC10" s="116"/>
      <c r="AD10" s="54"/>
      <c r="AE10" s="54"/>
      <c r="AF10" s="54"/>
      <c r="AG10" s="54"/>
      <c r="AH10" s="54"/>
      <c r="AI10" s="54"/>
      <c r="AJ10" s="54"/>
      <c r="AK10" s="54"/>
      <c r="AL10" s="54"/>
      <c r="AM10" s="54"/>
      <c r="AN10" s="54"/>
      <c r="AO10" s="54"/>
      <c r="AP10" s="125"/>
      <c r="AQ10" s="125"/>
      <c r="AR10" s="125"/>
      <c r="AS10" s="125"/>
      <c r="AT10" s="125"/>
      <c r="AU10" s="125"/>
      <c r="AV10" s="125"/>
      <c r="AW10" s="125"/>
      <c r="AX10" s="125"/>
      <c r="AY10" s="125"/>
      <c r="AZ10" s="125"/>
      <c r="BA10" s="125"/>
      <c r="BB10" s="125"/>
      <c r="BC10" s="125"/>
      <c r="BD10" s="125"/>
      <c r="BE10" s="125"/>
      <c r="BF10" s="45"/>
    </row>
    <row r="11" spans="1:59" ht="3.75" customHeight="1" x14ac:dyDescent="0.35">
      <c r="A11" s="60"/>
      <c r="B11" s="39"/>
      <c r="C11" s="48">
        <f>IF(OR(C9=1, C9=A2),0,C9)</f>
        <v>0</v>
      </c>
      <c r="D11" s="48">
        <f>IF(OR(D9=1, D9=A2),0,D9)</f>
        <v>3</v>
      </c>
      <c r="E11" s="48">
        <f>IF(OR(E9=1, E9=A2),0,E9)</f>
        <v>0</v>
      </c>
      <c r="F11" s="48">
        <f>IF(OR(F9=1, F9=A2),0,F9)</f>
        <v>6</v>
      </c>
      <c r="G11" s="48">
        <f>IF(OR(G9=1, G9=A2),0,G9)</f>
        <v>0</v>
      </c>
      <c r="H11" s="48">
        <f>IF(OR(H9=1, H9=A2),0,H9)</f>
        <v>0</v>
      </c>
      <c r="I11" s="48">
        <f>IF(OR(I9=1, I9=A2),0,I9)</f>
        <v>0</v>
      </c>
      <c r="J11" s="49">
        <f>SUM(C11:I11)</f>
        <v>9</v>
      </c>
      <c r="K11" s="50"/>
      <c r="L11" s="50"/>
      <c r="M11" s="50"/>
      <c r="N11" s="50"/>
      <c r="O11" s="50"/>
      <c r="P11" s="50"/>
      <c r="Q11" s="50"/>
      <c r="R11" s="50"/>
      <c r="S11" s="50"/>
      <c r="T11" s="50"/>
      <c r="AP11" s="95"/>
      <c r="AQ11" s="95"/>
      <c r="AR11" s="95"/>
      <c r="AS11" s="95"/>
      <c r="AT11" s="95"/>
      <c r="AU11" s="95"/>
      <c r="AV11" s="95"/>
      <c r="AW11" s="95"/>
      <c r="AX11" s="95"/>
      <c r="AY11" s="95"/>
      <c r="AZ11" s="95"/>
      <c r="BA11" s="95"/>
      <c r="BB11" s="95"/>
      <c r="BC11" s="95"/>
      <c r="BD11" s="95"/>
      <c r="BE11" s="95"/>
    </row>
    <row r="12" spans="1:59" ht="3.75" customHeight="1" x14ac:dyDescent="0.35">
      <c r="A12" s="60"/>
      <c r="B12" s="39"/>
      <c r="C12" s="48">
        <f t="shared" ref="C12:H12" si="0">IF(C7=1, C6, 1)</f>
        <v>1</v>
      </c>
      <c r="D12" s="48">
        <f t="shared" si="0"/>
        <v>1</v>
      </c>
      <c r="E12" s="48">
        <f t="shared" si="0"/>
        <v>1</v>
      </c>
      <c r="F12" s="48">
        <f t="shared" si="0"/>
        <v>1</v>
      </c>
      <c r="G12" s="48">
        <f t="shared" si="0"/>
        <v>1</v>
      </c>
      <c r="H12" s="48">
        <f t="shared" si="0"/>
        <v>1</v>
      </c>
      <c r="I12" s="48">
        <f>IF(I7=1, I6, 1)</f>
        <v>8</v>
      </c>
      <c r="J12" s="49">
        <f>I12*H12*G12*F12*E12*D12*C12</f>
        <v>8</v>
      </c>
      <c r="K12" s="50"/>
      <c r="L12" s="50"/>
      <c r="M12" s="50"/>
      <c r="N12" s="50"/>
      <c r="O12" s="50"/>
      <c r="P12" s="50"/>
      <c r="Q12" s="50"/>
      <c r="R12" s="50"/>
      <c r="S12" s="50"/>
      <c r="T12" s="50"/>
      <c r="AP12" s="95"/>
      <c r="AQ12" s="95"/>
      <c r="AR12" s="95"/>
      <c r="AS12" s="95"/>
      <c r="AT12" s="95"/>
      <c r="AU12" s="95"/>
      <c r="AV12" s="95"/>
      <c r="AW12" s="95"/>
      <c r="AX12" s="95"/>
      <c r="AY12" s="95"/>
      <c r="AZ12" s="95"/>
      <c r="BA12" s="95"/>
      <c r="BB12" s="95"/>
      <c r="BC12" s="95"/>
      <c r="BD12" s="95"/>
      <c r="BE12" s="95"/>
    </row>
    <row r="13" spans="1:59" ht="9.75" customHeight="1" x14ac:dyDescent="0.35">
      <c r="A13" s="94"/>
      <c r="B13" s="39"/>
      <c r="C13" s="48">
        <f t="shared" ref="C13:H13" si="1">IF(C7=1, 1, $J$12*C6)</f>
        <v>8</v>
      </c>
      <c r="D13" s="48">
        <f t="shared" si="1"/>
        <v>24</v>
      </c>
      <c r="E13" s="48">
        <f t="shared" si="1"/>
        <v>8</v>
      </c>
      <c r="F13" s="48">
        <f t="shared" si="1"/>
        <v>16</v>
      </c>
      <c r="G13" s="48">
        <f t="shared" si="1"/>
        <v>8</v>
      </c>
      <c r="H13" s="48">
        <f t="shared" si="1"/>
        <v>8</v>
      </c>
      <c r="I13" s="48">
        <f>IF(I7=1, J12, $J$12*I6)</f>
        <v>8</v>
      </c>
      <c r="J13" s="49"/>
      <c r="K13" s="50"/>
      <c r="L13" s="50"/>
      <c r="M13" s="50"/>
      <c r="N13" s="50"/>
      <c r="O13" s="50"/>
      <c r="P13" s="50"/>
      <c r="Q13" s="50"/>
      <c r="R13" s="50"/>
      <c r="S13" s="50"/>
      <c r="T13" s="50"/>
      <c r="AP13" s="95"/>
      <c r="AQ13" s="95"/>
      <c r="AR13" s="95"/>
      <c r="AS13" s="95"/>
      <c r="AT13" s="95"/>
      <c r="AU13" s="95"/>
      <c r="AV13" s="95"/>
      <c r="AW13" s="95"/>
      <c r="AX13" s="95"/>
      <c r="AY13" s="95"/>
      <c r="AZ13" s="95"/>
      <c r="BA13" s="95"/>
      <c r="BB13" s="95"/>
      <c r="BC13" s="95"/>
      <c r="BD13" s="95"/>
      <c r="BE13" s="95"/>
    </row>
    <row r="14" spans="1:59" ht="30" customHeight="1" thickBot="1" x14ac:dyDescent="0.4">
      <c r="A14" s="60"/>
      <c r="B14" s="74" t="s">
        <v>79</v>
      </c>
      <c r="C14" s="75"/>
      <c r="D14" s="74" t="s">
        <v>78</v>
      </c>
      <c r="E14" s="75"/>
      <c r="F14" s="74" t="s">
        <v>78</v>
      </c>
      <c r="G14" s="139" t="s">
        <v>92</v>
      </c>
      <c r="H14" s="75"/>
      <c r="I14" s="74" t="s">
        <v>84</v>
      </c>
      <c r="J14" s="49"/>
      <c r="K14" s="50"/>
      <c r="L14" s="50"/>
      <c r="M14" s="50"/>
      <c r="N14" s="50"/>
      <c r="O14" s="50"/>
      <c r="P14" s="50"/>
      <c r="Q14" s="143">
        <f>(K18/K16)*(K18/K16)</f>
        <v>1.0000000000000002E-2</v>
      </c>
      <c r="R14" s="50"/>
      <c r="S14" s="50"/>
      <c r="T14" s="50"/>
      <c r="V14" s="105" t="s">
        <v>28</v>
      </c>
      <c r="W14" s="105" t="s">
        <v>29</v>
      </c>
      <c r="AP14" s="95"/>
      <c r="AQ14" s="95"/>
      <c r="AR14" s="95"/>
      <c r="AS14" s="95"/>
      <c r="AT14" s="95"/>
      <c r="AU14" s="95"/>
      <c r="AV14" s="95"/>
      <c r="AW14" s="95"/>
      <c r="AX14" s="95"/>
      <c r="AY14" s="95"/>
      <c r="AZ14" s="95"/>
      <c r="BA14" s="95"/>
      <c r="BB14" s="95"/>
      <c r="BC14" s="95"/>
      <c r="BD14" s="95"/>
      <c r="BE14" s="95"/>
    </row>
    <row r="15" spans="1:59" s="4" customFormat="1" ht="30" customHeight="1" x14ac:dyDescent="0.5">
      <c r="A15" s="110" t="str" cm="1">
        <f t="array" ref="A15">IF(H$2="Yes", IF($C$6&gt;=1, IF(ROW(A15)-ROW($A$15)&lt;$C$6, INDEX($C$15:$C$20, $C$6-ROW(A15)+ROW($A$15)), ""), ""), "")</f>
        <v/>
      </c>
      <c r="B15" s="19"/>
      <c r="C15" s="73" t="s">
        <v>130</v>
      </c>
      <c r="D15" s="202">
        <f>K16</f>
        <v>10</v>
      </c>
      <c r="E15" s="73" t="s">
        <v>130</v>
      </c>
      <c r="F15" s="202">
        <f>K21</f>
        <v>10</v>
      </c>
      <c r="G15" s="73" t="s">
        <v>136</v>
      </c>
      <c r="H15" s="73" t="s">
        <v>128</v>
      </c>
      <c r="I15" s="203">
        <f>IF(I6=1,K26,0)</f>
        <v>0</v>
      </c>
      <c r="J15" s="37"/>
      <c r="K15" s="324" t="s">
        <v>119</v>
      </c>
      <c r="L15" s="325"/>
      <c r="M15" s="37"/>
      <c r="N15" s="328" t="s">
        <v>139</v>
      </c>
      <c r="O15" s="329"/>
      <c r="P15" s="37"/>
      <c r="Q15" s="143">
        <f>D6-1</f>
        <v>2</v>
      </c>
      <c r="R15" s="37">
        <f>IF(H2="NO",E6,C6)</f>
        <v>1</v>
      </c>
      <c r="S15" s="37"/>
      <c r="T15" s="37"/>
      <c r="U15" s="37"/>
      <c r="V15" s="40"/>
      <c r="W15" s="44"/>
      <c r="X15" s="56"/>
      <c r="Y15" s="56"/>
      <c r="Z15" s="56"/>
      <c r="AA15" s="56"/>
      <c r="AB15" s="56"/>
      <c r="AC15" s="56"/>
      <c r="AD15" s="37"/>
      <c r="AE15" s="37"/>
      <c r="AF15" s="37"/>
      <c r="AG15" s="37"/>
      <c r="AH15" s="37"/>
      <c r="AI15" s="37"/>
      <c r="AJ15" s="37"/>
      <c r="AK15" s="37"/>
      <c r="AL15" s="37"/>
      <c r="AM15" s="37"/>
      <c r="AN15" s="37"/>
      <c r="AO15" s="37"/>
      <c r="AP15" s="126"/>
      <c r="AQ15" s="126"/>
      <c r="AR15" s="126"/>
      <c r="AS15" s="126"/>
      <c r="AT15" s="126"/>
      <c r="AU15" s="126"/>
      <c r="AV15" s="126"/>
      <c r="AW15" s="126"/>
      <c r="AX15" s="126"/>
      <c r="AY15" s="126"/>
      <c r="AZ15" s="126"/>
      <c r="BA15" s="126"/>
      <c r="BB15" s="126"/>
      <c r="BC15" s="126"/>
      <c r="BD15" s="126"/>
      <c r="BE15" s="126"/>
      <c r="BF15" s="26"/>
    </row>
    <row r="16" spans="1:59" s="4" customFormat="1" ht="30" customHeight="1" thickBot="1" x14ac:dyDescent="0.55000000000000004">
      <c r="A16" s="110" t="str" cm="1">
        <f t="array" ref="A16">IF(H$2="Yes", IF($C$6&gt;=1, IF(ROW(A16)-ROW($A$15)&lt;$C$6, INDEX($C$15:$C$20, $C$6-ROW(A16)+ROW($A$15)), ""), ""), "")</f>
        <v/>
      </c>
      <c r="B16" s="19"/>
      <c r="C16" s="58" t="s">
        <v>86</v>
      </c>
      <c r="D16" s="92">
        <f>IF($D$6 &gt; 1, D15*$M$17, 0)</f>
        <v>3.1622776601683795</v>
      </c>
      <c r="E16" s="58" t="s">
        <v>86</v>
      </c>
      <c r="F16" s="92">
        <f>IF($F$6 &gt; 1, F15*$M$22, 0)</f>
        <v>3.5</v>
      </c>
      <c r="G16" s="58" t="s">
        <v>137</v>
      </c>
      <c r="H16" s="58" t="s">
        <v>127</v>
      </c>
      <c r="I16" s="204">
        <f>K26</f>
        <v>100</v>
      </c>
      <c r="J16" s="40">
        <f>SMALL(I15:I26,2)</f>
        <v>0</v>
      </c>
      <c r="K16" s="280">
        <v>10</v>
      </c>
      <c r="L16" s="197" t="s">
        <v>123</v>
      </c>
      <c r="M16" s="140"/>
      <c r="N16" s="326" t="s">
        <v>135</v>
      </c>
      <c r="O16" s="327"/>
      <c r="P16" s="140"/>
      <c r="Q16" s="144">
        <f>1/Q15</f>
        <v>0.5</v>
      </c>
      <c r="R16" s="141"/>
      <c r="S16" s="141"/>
      <c r="T16" s="141"/>
      <c r="U16" s="141"/>
      <c r="V16" s="141"/>
      <c r="W16" s="26"/>
      <c r="X16" s="142"/>
      <c r="Y16" s="142"/>
      <c r="Z16" s="142"/>
      <c r="AA16" s="142"/>
      <c r="AB16" s="142"/>
      <c r="AC16" s="142"/>
      <c r="AD16" s="141"/>
      <c r="AE16" s="37"/>
      <c r="AF16" s="37"/>
      <c r="AG16" s="37"/>
      <c r="AH16" s="37"/>
      <c r="AI16" s="37"/>
      <c r="AJ16" s="37"/>
      <c r="AK16" s="37"/>
      <c r="AL16" s="37"/>
      <c r="AM16" s="37"/>
      <c r="AN16" s="37"/>
      <c r="AO16" s="37"/>
      <c r="AP16" s="126"/>
      <c r="AQ16" s="126"/>
      <c r="AR16" s="126"/>
      <c r="AS16" s="126"/>
      <c r="AT16" s="126"/>
      <c r="AU16" s="126"/>
      <c r="AV16" s="126"/>
      <c r="AW16" s="126"/>
      <c r="AX16" s="126"/>
      <c r="AY16" s="126"/>
      <c r="AZ16" s="126"/>
      <c r="BA16" s="126"/>
      <c r="BB16" s="126"/>
      <c r="BC16" s="126"/>
      <c r="BD16" s="126"/>
      <c r="BE16" s="126"/>
      <c r="BF16" s="26"/>
    </row>
    <row r="17" spans="1:58" s="4" customFormat="1" ht="30" customHeight="1" x14ac:dyDescent="0.5">
      <c r="A17" s="110" t="str" cm="1">
        <f t="array" ref="A17">IF(H$2="Yes", IF($C$6&gt;=1, IF(ROW(A17)-ROW($A$15)&lt;$C$6, INDEX($C$15:$C$20, $C$6-ROW(A17)+ROW($A$15)), ""), ""), "")</f>
        <v/>
      </c>
      <c r="B17" s="19"/>
      <c r="C17" s="58" t="s">
        <v>87</v>
      </c>
      <c r="D17" s="92">
        <f>IF($D$6 &gt; 2, D16*$M$17, 0)</f>
        <v>1</v>
      </c>
      <c r="E17" s="58" t="s">
        <v>87</v>
      </c>
      <c r="F17" s="92">
        <f>IF($F$6 &gt; 2, F16*$M$22, 0)</f>
        <v>0</v>
      </c>
      <c r="G17" s="58" t="s">
        <v>138</v>
      </c>
      <c r="H17" s="58" t="s">
        <v>140</v>
      </c>
      <c r="I17" s="204">
        <f>IF($I$6 &gt; 2, I16/$K$27, 0)</f>
        <v>46.415888336127786</v>
      </c>
      <c r="J17" s="37">
        <f>LOG(J19,10)</f>
        <v>2</v>
      </c>
      <c r="K17" s="196">
        <f>1/M17</f>
        <v>3.1622776601683791</v>
      </c>
      <c r="L17" s="197" t="s">
        <v>93</v>
      </c>
      <c r="M17" s="60">
        <f>Q18</f>
        <v>0.31622776601683794</v>
      </c>
      <c r="N17" s="219">
        <v>1.5</v>
      </c>
      <c r="O17" s="217" t="s">
        <v>133</v>
      </c>
      <c r="P17" s="140"/>
      <c r="Q17" s="143">
        <f>Q14^Q16</f>
        <v>0.1</v>
      </c>
      <c r="R17" s="141"/>
      <c r="S17" s="141"/>
      <c r="T17" s="141"/>
      <c r="U17" s="141"/>
      <c r="V17" s="141"/>
      <c r="W17" s="26"/>
      <c r="X17" s="142"/>
      <c r="Y17" s="142"/>
      <c r="Z17" s="142"/>
      <c r="AA17" s="142"/>
      <c r="AB17" s="142"/>
      <c r="AC17" s="142"/>
      <c r="AD17" s="141"/>
      <c r="AE17" s="37"/>
      <c r="AF17" s="37"/>
      <c r="AG17" s="37"/>
      <c r="AH17" s="37"/>
      <c r="AI17" s="37"/>
      <c r="AJ17" s="37"/>
      <c r="AK17" s="37"/>
      <c r="AL17" s="37"/>
      <c r="AM17" s="37"/>
      <c r="AN17" s="37"/>
      <c r="AO17" s="37"/>
      <c r="AP17" s="126"/>
      <c r="AQ17" s="126"/>
      <c r="AR17" s="126"/>
      <c r="AS17" s="126"/>
      <c r="AT17" s="126"/>
      <c r="AU17" s="126"/>
      <c r="AV17" s="126"/>
      <c r="AW17" s="126"/>
      <c r="AX17" s="126"/>
      <c r="AY17" s="126"/>
      <c r="AZ17" s="126"/>
      <c r="BA17" s="126"/>
      <c r="BB17" s="126"/>
      <c r="BC17" s="126"/>
      <c r="BD17" s="126"/>
      <c r="BE17" s="126"/>
      <c r="BF17" s="26"/>
    </row>
    <row r="18" spans="1:58" s="4" customFormat="1" ht="30" customHeight="1" thickBot="1" x14ac:dyDescent="0.55000000000000004">
      <c r="A18" s="110" t="str" cm="1">
        <f t="array" ref="A18">IF(H$2="Yes", IF($C$6&gt;=1, IF(ROW(A18)-ROW($A$15)&lt;$C$6, INDEX($C$15:$C$20, $C$6-ROW(A18)+ROW($A$15)), ""), ""), "")</f>
        <v/>
      </c>
      <c r="B18" s="19"/>
      <c r="C18" s="58" t="s">
        <v>88</v>
      </c>
      <c r="D18" s="92">
        <f>IF($D$6 &gt; 3, D17*$M$17, 0)</f>
        <v>0</v>
      </c>
      <c r="E18" s="58" t="s">
        <v>88</v>
      </c>
      <c r="F18" s="92">
        <f>IF($F$6 &gt; 3, F17*$M$22, 0)</f>
        <v>0</v>
      </c>
      <c r="G18" s="58" t="s">
        <v>129</v>
      </c>
      <c r="H18" s="58" t="s">
        <v>141</v>
      </c>
      <c r="I18" s="204">
        <f>IF($I$6 &gt; 3, I17/$K$27, 0)</f>
        <v>21.544346900318835</v>
      </c>
      <c r="J18" s="40">
        <f>10^((LOG10(J17)+LOG10(J19))/2)</f>
        <v>14.142135623730955</v>
      </c>
      <c r="K18" s="198">
        <v>1</v>
      </c>
      <c r="L18" s="281" t="s">
        <v>122</v>
      </c>
      <c r="M18" s="140"/>
      <c r="N18" s="221">
        <f>N17^(D6-1)</f>
        <v>2.25</v>
      </c>
      <c r="O18" s="218" t="s">
        <v>132</v>
      </c>
      <c r="P18" s="140"/>
      <c r="Q18" s="143">
        <f>SQRT(Q17)</f>
        <v>0.31622776601683794</v>
      </c>
      <c r="R18" s="141"/>
      <c r="S18" s="141"/>
      <c r="T18" s="141"/>
      <c r="U18" s="141"/>
      <c r="V18" s="141"/>
      <c r="W18" s="26"/>
      <c r="X18" s="142"/>
      <c r="Y18" s="142"/>
      <c r="Z18" s="142"/>
      <c r="AA18" s="142"/>
      <c r="AB18" s="142"/>
      <c r="AC18" s="142"/>
      <c r="AD18" s="141"/>
      <c r="AE18" s="37"/>
      <c r="AF18" s="37"/>
      <c r="AG18" s="37"/>
      <c r="AH18" s="37"/>
      <c r="AI18" s="37"/>
      <c r="AJ18" s="37"/>
      <c r="AK18" s="37"/>
      <c r="AL18" s="37"/>
      <c r="AM18" s="37"/>
      <c r="AN18" s="37"/>
      <c r="AO18" s="37"/>
      <c r="AP18" s="126"/>
      <c r="AQ18" s="126"/>
      <c r="AR18" s="126"/>
      <c r="AS18" s="126"/>
      <c r="AT18" s="126"/>
      <c r="AU18" s="126"/>
      <c r="AV18" s="126"/>
      <c r="AW18" s="126"/>
      <c r="AX18" s="126"/>
      <c r="AY18" s="126"/>
      <c r="AZ18" s="126"/>
      <c r="BA18" s="126"/>
      <c r="BB18" s="126"/>
      <c r="BC18" s="126"/>
      <c r="BD18" s="126"/>
      <c r="BE18" s="126"/>
      <c r="BF18" s="26"/>
    </row>
    <row r="19" spans="1:58" s="4" customFormat="1" ht="30" customHeight="1" thickBot="1" x14ac:dyDescent="0.55000000000000004">
      <c r="A19" s="110" t="str" cm="1">
        <f t="array" ref="A19">IF(H$2="Yes", IF($C$6&gt;=1, IF(ROW(A19)-ROW($A$15)&lt;$C$6, INDEX($C$15:$C$20, $C$6-ROW(A19)+ROW($A$15)), ""), ""), "")</f>
        <v/>
      </c>
      <c r="B19" s="19"/>
      <c r="C19" s="58" t="s">
        <v>89</v>
      </c>
      <c r="D19" s="92">
        <f>IF($D$6 &gt; 4, D18*$M$17, 0)</f>
        <v>0</v>
      </c>
      <c r="E19" s="58" t="s">
        <v>89</v>
      </c>
      <c r="F19" s="92">
        <f>IF($F$6 &gt; 4, F18*$M$22, 0)</f>
        <v>0</v>
      </c>
      <c r="G19" s="58" t="s">
        <v>142</v>
      </c>
      <c r="H19" s="58"/>
      <c r="I19" s="204">
        <f>IF($I$6 &gt; 4, I18/$K$27, 0)</f>
        <v>9.9999999999999982</v>
      </c>
      <c r="J19" s="38">
        <f>IF(I6=2,MAX(I15:I16),IF(I6=3,MAX(I15:I17),IF(I6=4,MAX(I15:I18),IF(I6=5,MAX(I15:I19),IF(I6=6,MAX(I15:I20),IF(I6=7,MAX(I15:I21),IF(I6=8,MAX(I15:I22),IF(I6=9,MAX(I15:I23),IF(I6=10,MAX(I15:I24),IF(I6=11,MAX(I15:I25),IF(I6=12,MAX(I15:I26),0)))))))))))</f>
        <v>100</v>
      </c>
      <c r="K19" s="140"/>
      <c r="L19" s="140"/>
      <c r="M19" s="140"/>
      <c r="N19" s="140"/>
      <c r="O19" s="140"/>
      <c r="P19" s="140"/>
      <c r="R19" s="141"/>
      <c r="S19" s="141"/>
      <c r="T19" s="141"/>
      <c r="U19" s="141"/>
      <c r="V19" s="141"/>
      <c r="W19" s="26"/>
      <c r="X19" s="142"/>
      <c r="Y19" s="142"/>
      <c r="Z19" s="142"/>
      <c r="AA19" s="142"/>
      <c r="AB19" s="142"/>
      <c r="AC19" s="142"/>
      <c r="AD19" s="141"/>
      <c r="AE19" s="37"/>
      <c r="AF19" s="37"/>
      <c r="AG19" s="37"/>
      <c r="AH19" s="37"/>
      <c r="AI19" s="37"/>
      <c r="AJ19" s="37"/>
      <c r="AK19" s="37"/>
      <c r="AL19" s="37"/>
      <c r="AM19" s="37"/>
      <c r="AN19" s="37"/>
      <c r="AO19" s="37"/>
      <c r="AP19" s="126"/>
      <c r="AQ19" s="126"/>
      <c r="AR19" s="126"/>
      <c r="AS19" s="126"/>
      <c r="AT19" s="126"/>
      <c r="AU19" s="126"/>
      <c r="AV19" s="126"/>
      <c r="AW19" s="126"/>
      <c r="AX19" s="126"/>
      <c r="AY19" s="126"/>
      <c r="AZ19" s="126"/>
      <c r="BA19" s="126"/>
      <c r="BB19" s="126"/>
      <c r="BC19" s="126"/>
      <c r="BD19" s="126"/>
      <c r="BE19" s="126"/>
      <c r="BF19" s="26"/>
    </row>
    <row r="20" spans="1:58" s="4" customFormat="1" ht="30" customHeight="1" x14ac:dyDescent="0.5">
      <c r="A20" s="110" t="str" cm="1">
        <f t="array" ref="A20">IF(H$2="Yes", IF($C$6&gt;=1, IF(ROW(A20)-ROW($A$15)&lt;$C$6, INDEX($C$15:$C$20, $C$6-ROW(A20)+ROW($A$15)), ""), ""), "")</f>
        <v/>
      </c>
      <c r="B20" s="19"/>
      <c r="C20" s="58" t="s">
        <v>90</v>
      </c>
      <c r="D20" s="92">
        <f>IF($D$6 &gt; 5, D19*$M$17, 0)</f>
        <v>0</v>
      </c>
      <c r="E20" s="58" t="s">
        <v>90</v>
      </c>
      <c r="F20" s="92">
        <f>IF($F$6 &gt; 5, F19*$M$22, 0)</f>
        <v>0</v>
      </c>
      <c r="G20" s="58" t="s">
        <v>143</v>
      </c>
      <c r="H20" s="58"/>
      <c r="I20" s="204">
        <f>IF($I$6 &gt; 5, I19/$K$27, 0)</f>
        <v>4.6415888336127775</v>
      </c>
      <c r="J20" s="38"/>
      <c r="K20" s="324" t="s">
        <v>120</v>
      </c>
      <c r="L20" s="325"/>
      <c r="M20" s="140"/>
      <c r="N20" s="328" t="s">
        <v>139</v>
      </c>
      <c r="O20" s="329"/>
      <c r="P20" s="140"/>
      <c r="Q20" s="143">
        <f>(K23/K21)*(K23/K21)</f>
        <v>0.12249999999999998</v>
      </c>
      <c r="S20" s="141"/>
      <c r="T20" s="141"/>
      <c r="U20" s="141"/>
      <c r="V20" s="141"/>
      <c r="W20" s="26"/>
      <c r="X20" s="142"/>
      <c r="Y20" s="142"/>
      <c r="Z20" s="142"/>
      <c r="AA20" s="142"/>
      <c r="AB20" s="142"/>
      <c r="AC20" s="142"/>
      <c r="AD20" s="141"/>
      <c r="AE20" s="37"/>
      <c r="AF20" s="37"/>
      <c r="AG20" s="37"/>
      <c r="AH20" s="37"/>
      <c r="AI20" s="37"/>
      <c r="AJ20" s="37"/>
      <c r="AK20" s="37"/>
      <c r="AL20" s="37"/>
      <c r="AM20" s="37"/>
      <c r="AN20" s="37"/>
      <c r="AO20" s="37"/>
      <c r="AP20" s="126"/>
      <c r="AQ20" s="126"/>
      <c r="AR20" s="126"/>
      <c r="AS20" s="126"/>
      <c r="AT20" s="126"/>
      <c r="AU20" s="126"/>
      <c r="AV20" s="126"/>
      <c r="AW20" s="126"/>
      <c r="AX20" s="126"/>
      <c r="AY20" s="126"/>
      <c r="AZ20" s="126"/>
      <c r="BA20" s="126"/>
      <c r="BB20" s="126"/>
      <c r="BC20" s="126"/>
      <c r="BD20" s="126"/>
      <c r="BE20" s="126"/>
      <c r="BF20" s="26"/>
    </row>
    <row r="21" spans="1:58" ht="30" customHeight="1" thickBot="1" x14ac:dyDescent="0.55000000000000004">
      <c r="A21" s="110"/>
      <c r="B21" s="18"/>
      <c r="C21" s="59"/>
      <c r="D21" s="292"/>
      <c r="E21" s="59"/>
      <c r="F21" s="292"/>
      <c r="G21" s="59"/>
      <c r="H21" s="59"/>
      <c r="I21" s="204">
        <f>IF($I$6 &gt; 6, I20/$K$27, 0)</f>
        <v>2.1544346900318829</v>
      </c>
      <c r="J21" s="60"/>
      <c r="K21" s="282">
        <v>10</v>
      </c>
      <c r="L21" s="197" t="s">
        <v>123</v>
      </c>
      <c r="M21" s="39"/>
      <c r="N21" s="326" t="s">
        <v>135</v>
      </c>
      <c r="O21" s="327"/>
      <c r="P21" s="39"/>
      <c r="Q21" s="143">
        <f>F6-1</f>
        <v>1</v>
      </c>
      <c r="S21" s="51"/>
      <c r="T21" s="51"/>
      <c r="U21" s="51"/>
      <c r="V21" s="51"/>
      <c r="W21" s="145"/>
      <c r="X21" s="142"/>
      <c r="Y21" s="142"/>
      <c r="Z21" s="142"/>
      <c r="AA21" s="142"/>
      <c r="AB21" s="142"/>
      <c r="AC21" s="142"/>
      <c r="AD21" s="51"/>
      <c r="AP21" s="95"/>
      <c r="AQ21" s="95"/>
      <c r="AR21" s="95"/>
      <c r="AS21" s="95"/>
      <c r="AT21" s="95"/>
      <c r="AU21" s="95"/>
      <c r="AV21" s="95"/>
      <c r="AW21" s="95"/>
      <c r="AX21" s="95"/>
      <c r="AY21" s="95"/>
      <c r="AZ21" s="95"/>
      <c r="BA21" s="95"/>
      <c r="BB21" s="95"/>
      <c r="BC21" s="95"/>
      <c r="BD21" s="95"/>
      <c r="BE21" s="95"/>
    </row>
    <row r="22" spans="1:58" ht="30" customHeight="1" x14ac:dyDescent="0.5">
      <c r="A22" s="110"/>
      <c r="B22" s="18"/>
      <c r="C22" s="59"/>
      <c r="D22" s="292"/>
      <c r="E22" s="59"/>
      <c r="F22" s="292"/>
      <c r="G22" s="59"/>
      <c r="H22" s="59"/>
      <c r="I22" s="204">
        <f>IF($I$6 &gt; 7, I21/$K$27, 0)</f>
        <v>0.99999999999999956</v>
      </c>
      <c r="J22" s="60"/>
      <c r="K22" s="196">
        <f>1/M22</f>
        <v>2.8571428571428572</v>
      </c>
      <c r="L22" s="197" t="s">
        <v>93</v>
      </c>
      <c r="M22" s="60">
        <f>Q24</f>
        <v>0.35</v>
      </c>
      <c r="N22" s="219">
        <v>10</v>
      </c>
      <c r="O22" s="217" t="s">
        <v>133</v>
      </c>
      <c r="P22" s="39"/>
      <c r="Q22" s="144">
        <f>1/Q21</f>
        <v>1</v>
      </c>
      <c r="S22" s="51"/>
      <c r="T22" s="51"/>
      <c r="U22" s="51"/>
      <c r="V22" s="51"/>
      <c r="X22" s="142"/>
      <c r="Y22" s="142"/>
      <c r="Z22" s="142"/>
      <c r="AA22" s="142"/>
      <c r="AB22" s="142"/>
      <c r="AC22" s="142"/>
      <c r="AD22" s="51"/>
      <c r="AP22" s="95"/>
      <c r="AQ22" s="95"/>
      <c r="AR22" s="95"/>
      <c r="AS22" s="95"/>
      <c r="AT22" s="95"/>
      <c r="AU22" s="95"/>
      <c r="AV22" s="95"/>
      <c r="AW22" s="95"/>
      <c r="AX22" s="95"/>
      <c r="AY22" s="95"/>
      <c r="AZ22" s="95"/>
      <c r="BA22" s="95"/>
      <c r="BB22" s="95"/>
      <c r="BC22" s="95"/>
      <c r="BD22" s="95"/>
      <c r="BE22" s="95"/>
    </row>
    <row r="23" spans="1:58" ht="30" customHeight="1" thickBot="1" x14ac:dyDescent="0.55000000000000004">
      <c r="A23" s="110"/>
      <c r="B23" s="18"/>
      <c r="C23" s="59"/>
      <c r="D23" s="292"/>
      <c r="E23" s="59"/>
      <c r="F23" s="292"/>
      <c r="G23" s="59"/>
      <c r="H23" s="59"/>
      <c r="I23" s="204">
        <f>IF($I$6 &gt; 8, I22/$K$27, 0)</f>
        <v>0</v>
      </c>
      <c r="J23" s="60"/>
      <c r="K23" s="198">
        <v>3.5</v>
      </c>
      <c r="L23" s="281" t="s">
        <v>122</v>
      </c>
      <c r="M23" s="39"/>
      <c r="N23" s="221">
        <f>N22^(F6-1)</f>
        <v>10</v>
      </c>
      <c r="O23" s="218" t="s">
        <v>132</v>
      </c>
      <c r="P23" s="39"/>
      <c r="Q23" s="143">
        <f>Q20^Q22</f>
        <v>0.12249999999999998</v>
      </c>
      <c r="S23" s="51"/>
      <c r="T23" s="51"/>
      <c r="U23" s="51"/>
      <c r="V23" s="51"/>
      <c r="X23" s="142"/>
      <c r="Y23" s="142"/>
      <c r="Z23" s="142"/>
      <c r="AA23" s="142"/>
      <c r="AB23" s="142"/>
      <c r="AC23" s="142"/>
      <c r="AD23" s="51"/>
      <c r="AP23" s="95"/>
      <c r="AQ23" s="95"/>
      <c r="AR23" s="95"/>
      <c r="AS23" s="95"/>
      <c r="AT23" s="95"/>
      <c r="AU23" s="95"/>
      <c r="AV23" s="95"/>
      <c r="AW23" s="95"/>
      <c r="AX23" s="95"/>
      <c r="AY23" s="95"/>
      <c r="AZ23" s="95"/>
      <c r="BA23" s="95"/>
      <c r="BB23" s="95"/>
      <c r="BC23" s="95"/>
      <c r="BD23" s="95"/>
      <c r="BE23" s="95"/>
    </row>
    <row r="24" spans="1:58" ht="30" customHeight="1" thickBot="1" x14ac:dyDescent="0.4">
      <c r="A24" s="110"/>
      <c r="B24" s="18"/>
      <c r="C24" s="59"/>
      <c r="D24" s="292"/>
      <c r="E24" s="59"/>
      <c r="F24" s="292"/>
      <c r="G24" s="59"/>
      <c r="H24" s="59"/>
      <c r="I24" s="204">
        <f>IF($I$6 &gt; 9, I23/$K$27, 0)</f>
        <v>0</v>
      </c>
      <c r="J24" s="60"/>
      <c r="K24" s="60"/>
      <c r="L24" s="39"/>
      <c r="M24" s="39"/>
      <c r="N24" s="39"/>
      <c r="O24" s="39"/>
      <c r="P24" s="39"/>
      <c r="Q24" s="143">
        <f>SQRT(Q23)</f>
        <v>0.35</v>
      </c>
      <c r="R24" s="51"/>
      <c r="S24" s="51"/>
      <c r="T24" s="51"/>
      <c r="U24" s="51"/>
      <c r="V24" s="51"/>
      <c r="X24" s="142"/>
      <c r="Y24" s="142"/>
      <c r="Z24" s="142"/>
      <c r="AA24" s="142"/>
      <c r="AB24" s="142"/>
      <c r="AC24" s="142"/>
      <c r="AD24" s="51"/>
      <c r="AP24" s="95"/>
      <c r="AQ24" s="95"/>
      <c r="AR24" s="95"/>
      <c r="AS24" s="95"/>
      <c r="AT24" s="95"/>
      <c r="AU24" s="95"/>
      <c r="AV24" s="95"/>
      <c r="AW24" s="95"/>
      <c r="AX24" s="95"/>
      <c r="AY24" s="95"/>
      <c r="AZ24" s="95"/>
      <c r="BA24" s="95"/>
      <c r="BB24" s="95"/>
      <c r="BC24" s="95"/>
      <c r="BD24" s="95"/>
      <c r="BE24" s="95"/>
    </row>
    <row r="25" spans="1:58" ht="30" customHeight="1" x14ac:dyDescent="0.5">
      <c r="A25" s="110"/>
      <c r="B25" s="18"/>
      <c r="C25" s="59"/>
      <c r="D25" s="292"/>
      <c r="E25" s="59"/>
      <c r="F25" s="292"/>
      <c r="G25" s="59"/>
      <c r="H25" s="59"/>
      <c r="I25" s="204">
        <f>IF($I$6 &gt; 10, I24/$K$27, 0)</f>
        <v>0</v>
      </c>
      <c r="J25" s="60"/>
      <c r="K25" s="324" t="s">
        <v>118</v>
      </c>
      <c r="L25" s="325"/>
      <c r="M25" s="60"/>
      <c r="N25" s="328" t="s">
        <v>139</v>
      </c>
      <c r="O25" s="329"/>
      <c r="P25" s="60"/>
      <c r="AP25" s="95"/>
      <c r="AQ25" s="95"/>
      <c r="AR25" s="95"/>
      <c r="AS25" s="95"/>
      <c r="AT25" s="95"/>
      <c r="AU25" s="95"/>
      <c r="AV25" s="95"/>
      <c r="AW25" s="95"/>
      <c r="AX25" s="95"/>
      <c r="AY25" s="95"/>
      <c r="AZ25" s="95"/>
      <c r="BA25" s="95"/>
      <c r="BB25" s="95"/>
      <c r="BC25" s="95"/>
      <c r="BD25" s="95"/>
      <c r="BE25" s="95"/>
    </row>
    <row r="26" spans="1:58" ht="30" customHeight="1" thickBot="1" x14ac:dyDescent="0.55000000000000004">
      <c r="A26" s="60"/>
      <c r="B26" s="18"/>
      <c r="C26" s="59"/>
      <c r="D26" s="292"/>
      <c r="E26" s="59"/>
      <c r="F26" s="292"/>
      <c r="G26" s="59"/>
      <c r="H26" s="59"/>
      <c r="I26" s="204">
        <f>IF($I$6 &gt; 11, I25/$K$27, 0)</f>
        <v>0</v>
      </c>
      <c r="J26" s="60"/>
      <c r="K26" s="280">
        <v>100</v>
      </c>
      <c r="L26" s="197" t="s">
        <v>124</v>
      </c>
      <c r="M26" s="214"/>
      <c r="N26" s="326" t="s">
        <v>135</v>
      </c>
      <c r="O26" s="327"/>
      <c r="P26" s="214"/>
      <c r="Q26" s="143">
        <f>(K26/K28)*(K26/K28)</f>
        <v>10000</v>
      </c>
      <c r="AP26" s="95"/>
      <c r="AQ26" s="95"/>
      <c r="AR26" s="95"/>
      <c r="AS26" s="95"/>
      <c r="AT26" s="95"/>
      <c r="AU26" s="95"/>
      <c r="AV26" s="95"/>
      <c r="AW26" s="95"/>
      <c r="AX26" s="95"/>
      <c r="AY26" s="95"/>
      <c r="AZ26" s="95"/>
      <c r="BA26" s="95"/>
      <c r="BB26" s="95"/>
      <c r="BC26" s="95"/>
      <c r="BD26" s="95"/>
      <c r="BE26" s="95"/>
    </row>
    <row r="27" spans="1:58" ht="30" customHeight="1" x14ac:dyDescent="0.5">
      <c r="A27" s="60"/>
      <c r="B27" s="20"/>
      <c r="C27" s="59"/>
      <c r="D27" s="292"/>
      <c r="E27" s="59"/>
      <c r="F27" s="292"/>
      <c r="G27" s="59"/>
      <c r="H27" s="59"/>
      <c r="I27" s="205"/>
      <c r="J27" s="60"/>
      <c r="K27" s="196">
        <f>Q30</f>
        <v>2.1544346900318838</v>
      </c>
      <c r="L27" s="197" t="s">
        <v>93</v>
      </c>
      <c r="N27" s="219">
        <v>10</v>
      </c>
      <c r="O27" s="217" t="s">
        <v>133</v>
      </c>
      <c r="P27" s="215"/>
      <c r="AP27" s="95"/>
      <c r="AQ27" s="95"/>
      <c r="AR27" s="95"/>
      <c r="AS27" s="95"/>
      <c r="AT27" s="95"/>
      <c r="AU27" s="95"/>
      <c r="AV27" s="95"/>
      <c r="AW27" s="95"/>
      <c r="AX27" s="95"/>
      <c r="AY27" s="95"/>
      <c r="AZ27" s="95"/>
      <c r="BA27" s="95"/>
      <c r="BB27" s="95"/>
      <c r="BC27" s="95"/>
      <c r="BD27" s="95"/>
      <c r="BE27" s="95"/>
    </row>
    <row r="28" spans="1:58" ht="30" customHeight="1" thickBot="1" x14ac:dyDescent="0.55000000000000004">
      <c r="A28" s="60"/>
      <c r="B28" s="20"/>
      <c r="C28" s="33"/>
      <c r="D28" s="207"/>
      <c r="E28" s="33"/>
      <c r="F28" s="207"/>
      <c r="G28" s="33"/>
      <c r="H28" s="33"/>
      <c r="I28" s="206"/>
      <c r="J28" s="60"/>
      <c r="K28" s="291">
        <v>1</v>
      </c>
      <c r="L28" s="281" t="s">
        <v>134</v>
      </c>
      <c r="N28" s="221">
        <f>N27^(I6-2)</f>
        <v>1000000</v>
      </c>
      <c r="O28" s="218" t="s">
        <v>132</v>
      </c>
      <c r="P28" s="216"/>
      <c r="Q28" s="144">
        <f>1/K30</f>
        <v>0.16666666666666666</v>
      </c>
      <c r="AP28" s="95"/>
      <c r="AQ28" s="95"/>
      <c r="AR28" s="95"/>
      <c r="AS28" s="95"/>
      <c r="AT28" s="95"/>
      <c r="AU28" s="95"/>
      <c r="AV28" s="95"/>
      <c r="AW28" s="95"/>
      <c r="AX28" s="95"/>
      <c r="AY28" s="95"/>
      <c r="AZ28" s="95"/>
      <c r="BA28" s="95"/>
      <c r="BB28" s="95"/>
      <c r="BC28" s="95"/>
      <c r="BD28" s="95"/>
      <c r="BE28" s="95"/>
    </row>
    <row r="29" spans="1:58" ht="32.25" customHeight="1" x14ac:dyDescent="0.35">
      <c r="A29" s="60"/>
      <c r="B29" s="17"/>
      <c r="C29" s="319" t="s">
        <v>0</v>
      </c>
      <c r="D29" s="320"/>
      <c r="E29" s="319" t="s">
        <v>1</v>
      </c>
      <c r="F29" s="320"/>
      <c r="G29" s="319" t="s">
        <v>2</v>
      </c>
      <c r="H29" s="321"/>
      <c r="I29" s="320"/>
      <c r="J29" s="119"/>
      <c r="M29" s="60"/>
      <c r="P29" s="60"/>
      <c r="Q29" s="143">
        <f>Q26^Q28</f>
        <v>4.6415888336127793</v>
      </c>
      <c r="R29" s="60"/>
      <c r="AP29" s="95"/>
      <c r="AQ29" s="95"/>
      <c r="AR29" s="95"/>
      <c r="AS29" s="95"/>
      <c r="AT29" s="95"/>
      <c r="AU29" s="95"/>
      <c r="AV29" s="95"/>
      <c r="AW29" s="95"/>
      <c r="AX29" s="95"/>
      <c r="AY29" s="95"/>
      <c r="AZ29" s="95"/>
      <c r="BA29" s="95"/>
      <c r="BB29" s="95"/>
      <c r="BC29" s="95"/>
      <c r="BD29" s="95"/>
      <c r="BE29" s="95"/>
    </row>
    <row r="30" spans="1:58" x14ac:dyDescent="0.35">
      <c r="A30" s="60"/>
      <c r="B30" s="69"/>
      <c r="C30" s="71" t="s">
        <v>16</v>
      </c>
      <c r="D30" s="72" t="str">
        <f>"Conc. (" &amp; D14 &amp; ")"</f>
        <v>Conc. (µg/mL)</v>
      </c>
      <c r="E30" s="71" t="s">
        <v>16</v>
      </c>
      <c r="F30" s="72" t="str">
        <f>"Conc. (" &amp; F14 &amp; ")"</f>
        <v>Conc. (µg/mL)</v>
      </c>
      <c r="G30" s="71" t="s">
        <v>7</v>
      </c>
      <c r="H30" s="68" t="s">
        <v>16</v>
      </c>
      <c r="I30" s="72" t="str">
        <f>"Conc. (" &amp; I14 &amp; ")"</f>
        <v>Conc. (pg/mL)</v>
      </c>
      <c r="J30" s="27"/>
      <c r="K30" s="143">
        <f>I6-2</f>
        <v>6</v>
      </c>
      <c r="M30" s="119"/>
      <c r="N30" s="119"/>
      <c r="O30" s="119"/>
      <c r="P30" s="119"/>
      <c r="Q30" s="143">
        <f>SQRT(Q29)</f>
        <v>2.1544346900318838</v>
      </c>
      <c r="R30" s="119"/>
      <c r="S30" s="128"/>
      <c r="T30" s="128"/>
      <c r="V30" s="129"/>
      <c r="AP30" s="95"/>
      <c r="AQ30" s="95"/>
      <c r="AR30" s="95"/>
      <c r="AS30" s="95"/>
      <c r="AT30" s="95"/>
      <c r="AU30" s="95"/>
      <c r="AV30" s="95"/>
      <c r="AW30" s="95"/>
      <c r="AX30" s="95"/>
      <c r="AY30" s="95"/>
      <c r="AZ30" s="95"/>
      <c r="BA30" s="95"/>
      <c r="BB30" s="95"/>
      <c r="BC30" s="95"/>
      <c r="BD30" s="95"/>
      <c r="BE30" s="95"/>
    </row>
    <row r="31" spans="1:58" x14ac:dyDescent="0.35">
      <c r="A31" s="93"/>
      <c r="B31" s="70">
        <v>1</v>
      </c>
      <c r="C31" s="111" t="str">
        <f>IF(C134=0,C$94,IF(C134=1,C$95,IF(C134=2,C$96,IF(C134=3,C$97,IF(C134=4,C$98,IF(C134=5,C$99))))))</f>
        <v>Ab1-Dig</v>
      </c>
      <c r="D31" s="112">
        <f>IF(D134=0,D$15,IF(D134=1,D$16,IF(D134=2,D$17,IF(D134=3,D$18,IF(D134=4,D$19,IF(D134=5,D$20,""))))))</f>
        <v>10</v>
      </c>
      <c r="E31" s="111" t="str">
        <f>IF(E134=0,E$94,IF(E134=1,E$95,IF(E134=2,E$96,IF(E134=3,E$97,IF(E134=4,E$98,IF(E134=6,E$99))))))</f>
        <v>Ab1-Biot</v>
      </c>
      <c r="F31" s="112">
        <f>IF(F134=0,F$15,IF(F134=1,F$16,IF(F134=2,F$17,IF(F134=3,F$18,IF(F134=4,F$19,IF(F134=5,F$20,""))))))</f>
        <v>10</v>
      </c>
      <c r="G31" s="111" t="str">
        <f t="shared" ref="G31:H31" si="2">IF(G134=0,G$15,IF(G134=1,G$16,IF(G134=2,G$17,IF(G134=3,G$18,IF(G134=4,G$19,IF(G134=5,G$20,IF(G134=6,G$21,IF(G134=7,G$22,IF(G134=8,G$23,IF(G134=9,G$24,IF(G134=10,G$25,G$26)))))))))))</f>
        <v>1xRD</v>
      </c>
      <c r="H31" s="113" t="str">
        <f t="shared" si="2"/>
        <v>Standard</v>
      </c>
      <c r="I31" s="76">
        <f>IF(I134=0,I$15,IF(I134=1,I$16,IF(I134=2,I$17,IF(I134=3,I$18,IF(I134=4,I$19,IF(I134=5,I$20,IF(I134=6,I$21,IF(I134=7,I$22,IF(I134=8,I$23,IF(I134=9,I$24,IF(I134=10,I$25,I$26)))))))))))</f>
        <v>0</v>
      </c>
      <c r="J31" s="27"/>
      <c r="M31" s="119"/>
      <c r="N31" s="119"/>
      <c r="O31" s="119"/>
      <c r="P31" s="119"/>
      <c r="Q31" s="119"/>
      <c r="R31" s="119"/>
      <c r="S31" s="128"/>
      <c r="T31" s="128"/>
      <c r="V31" s="129"/>
      <c r="AP31" s="95"/>
      <c r="AQ31" s="95"/>
      <c r="AR31" s="95"/>
      <c r="AS31" s="95"/>
      <c r="AT31" s="95"/>
      <c r="AU31" s="95"/>
      <c r="AV31" s="95"/>
      <c r="AW31" s="95"/>
      <c r="AX31" s="95"/>
      <c r="AY31" s="95"/>
      <c r="AZ31" s="95"/>
      <c r="BA31" s="95"/>
      <c r="BB31" s="95"/>
      <c r="BC31" s="95"/>
      <c r="BD31" s="95"/>
      <c r="BE31" s="95"/>
    </row>
    <row r="32" spans="1:58" x14ac:dyDescent="0.35">
      <c r="A32" s="60"/>
      <c r="B32" s="70">
        <v>2</v>
      </c>
      <c r="C32" s="111" t="str">
        <f t="shared" ref="C32:C78" si="3">IF(C135=0,C$94,IF(C135=1,C$95,IF(C135=2,C$96,IF(C135=3,C$97,IF(C135=4,C$98,IF(C135=5,C$99))))))</f>
        <v>Ab1-Dig</v>
      </c>
      <c r="D32" s="112">
        <f t="shared" ref="D32:F78" si="4">IF(D135=0,D$15,IF(D135=1,D$16,IF(D135=2,D$17,IF(D135=3,D$18,IF(D135=4,D$19,IF(D135=5,D$20,""))))))</f>
        <v>10</v>
      </c>
      <c r="E32" s="111" t="str">
        <f t="shared" ref="E32:E78" si="5">IF(E135=0,E$94,IF(E135=1,E$95,IF(E135=2,E$96,IF(E135=3,E$97,IF(E135=4,E$98,IF(E135=6,E$99))))))</f>
        <v>Ab1-Biot</v>
      </c>
      <c r="F32" s="112">
        <f t="shared" si="4"/>
        <v>10</v>
      </c>
      <c r="G32" s="111" t="str">
        <f t="shared" ref="G32:H32" si="6">IF(G135=0,G$15,IF(G135=1,G$16,IF(G135=2,G$17,IF(G135=3,G$18,IF(G135=4,G$19,IF(G135=5,G$20,IF(G135=6,G$21,IF(G135=7,G$22,IF(G135=8,G$23,IF(G135=9,G$24,IF(G135=10,G$25,G$26)))))))))))</f>
        <v>1xRD</v>
      </c>
      <c r="H32" s="113" t="str">
        <f t="shared" si="6"/>
        <v>Standard</v>
      </c>
      <c r="I32" s="76">
        <f t="shared" ref="I32:I78" si="7">IF(I135=0,I$15,IF(I135=1,I$16,IF(I135=2,I$17,IF(I135=3,I$18,IF(I135=4,I$19,IF(I135=5,I$20,IF(I135=6,I$21,IF(I135=7,I$22,IF(I135=8,I$23,IF(I135=9,I$24,IF(I135=10,I$25,I$26)))))))))))</f>
        <v>100</v>
      </c>
      <c r="J32" s="27"/>
      <c r="M32" s="119"/>
      <c r="N32" s="119"/>
      <c r="O32" s="119"/>
      <c r="P32" s="119"/>
      <c r="Q32" s="119"/>
      <c r="R32" s="119"/>
      <c r="S32" s="128"/>
      <c r="T32" s="131"/>
      <c r="V32" s="129"/>
      <c r="AP32" s="95"/>
      <c r="AQ32" s="95"/>
      <c r="AR32" s="95"/>
      <c r="AS32" s="95"/>
      <c r="AT32" s="95"/>
      <c r="AU32" s="95"/>
      <c r="AV32" s="95"/>
      <c r="AW32" s="95"/>
      <c r="AX32" s="95"/>
      <c r="AY32" s="95"/>
      <c r="AZ32" s="95"/>
      <c r="BA32" s="95"/>
      <c r="BB32" s="95"/>
      <c r="BC32" s="95"/>
      <c r="BD32" s="95"/>
      <c r="BE32" s="95"/>
    </row>
    <row r="33" spans="1:57" x14ac:dyDescent="0.35">
      <c r="A33" s="60"/>
      <c r="B33" s="70">
        <v>3</v>
      </c>
      <c r="C33" s="111" t="str">
        <f t="shared" si="3"/>
        <v>Ab1-Dig</v>
      </c>
      <c r="D33" s="112">
        <f t="shared" si="4"/>
        <v>10</v>
      </c>
      <c r="E33" s="111" t="str">
        <f t="shared" si="5"/>
        <v>Ab1-Biot</v>
      </c>
      <c r="F33" s="112">
        <f t="shared" si="4"/>
        <v>10</v>
      </c>
      <c r="G33" s="111" t="str">
        <f t="shared" ref="G33:H33" si="8">IF(G136=0,G$15,IF(G136=1,G$16,IF(G136=2,G$17,IF(G136=3,G$18,IF(G136=4,G$19,IF(G136=5,G$20,IF(G136=6,G$21,IF(G136=7,G$22,IF(G136=8,G$23,IF(G136=9,G$24,IF(G136=10,G$25,G$26)))))))))))</f>
        <v>1xRD</v>
      </c>
      <c r="H33" s="113" t="str">
        <f t="shared" si="8"/>
        <v>Standard</v>
      </c>
      <c r="I33" s="76">
        <f t="shared" si="7"/>
        <v>46.415888336127786</v>
      </c>
      <c r="J33" s="27"/>
      <c r="M33" s="119"/>
      <c r="N33" s="119"/>
      <c r="O33" s="119"/>
      <c r="P33" s="119"/>
      <c r="Q33" s="119"/>
      <c r="R33" s="119"/>
      <c r="S33" s="128"/>
      <c r="T33" s="128"/>
      <c r="AP33" s="95"/>
      <c r="AQ33" s="95"/>
      <c r="AR33" s="95"/>
      <c r="AS33" s="95"/>
      <c r="AT33" s="95"/>
      <c r="AU33" s="95"/>
      <c r="AV33" s="95"/>
      <c r="AW33" s="95"/>
      <c r="AX33" s="95"/>
      <c r="AY33" s="95"/>
      <c r="AZ33" s="95"/>
      <c r="BA33" s="95"/>
      <c r="BB33" s="95"/>
      <c r="BC33" s="95"/>
      <c r="BD33" s="95"/>
      <c r="BE33" s="95"/>
    </row>
    <row r="34" spans="1:57" x14ac:dyDescent="0.35">
      <c r="A34" s="60"/>
      <c r="B34" s="70">
        <v>4</v>
      </c>
      <c r="C34" s="111" t="str">
        <f t="shared" si="3"/>
        <v>Ab1-Dig</v>
      </c>
      <c r="D34" s="112">
        <f t="shared" si="4"/>
        <v>10</v>
      </c>
      <c r="E34" s="111" t="str">
        <f t="shared" si="5"/>
        <v>Ab1-Biot</v>
      </c>
      <c r="F34" s="112">
        <f t="shared" si="4"/>
        <v>10</v>
      </c>
      <c r="G34" s="111" t="str">
        <f t="shared" ref="G34:H34" si="9">IF(G137=0,G$15,IF(G137=1,G$16,IF(G137=2,G$17,IF(G137=3,G$18,IF(G137=4,G$19,IF(G137=5,G$20,IF(G137=6,G$21,IF(G137=7,G$22,IF(G137=8,G$23,IF(G137=9,G$24,IF(G137=10,G$25,G$26)))))))))))</f>
        <v>1xRD</v>
      </c>
      <c r="H34" s="113" t="str">
        <f t="shared" si="9"/>
        <v>Standard</v>
      </c>
      <c r="I34" s="76">
        <f t="shared" si="7"/>
        <v>21.544346900318835</v>
      </c>
      <c r="J34" s="27"/>
      <c r="K34" s="130"/>
      <c r="L34" s="119"/>
      <c r="M34" s="119"/>
      <c r="N34" s="119"/>
      <c r="O34" s="119"/>
      <c r="P34" s="119"/>
      <c r="Q34" s="119"/>
      <c r="R34" s="119"/>
      <c r="S34" s="128"/>
      <c r="T34" s="131"/>
      <c r="AP34" s="95"/>
      <c r="AQ34" s="95"/>
      <c r="AR34" s="95"/>
      <c r="AS34" s="95"/>
      <c r="AT34" s="95"/>
      <c r="AU34" s="95"/>
      <c r="AV34" s="95"/>
      <c r="AW34" s="95"/>
      <c r="AX34" s="95"/>
      <c r="AY34" s="95"/>
      <c r="AZ34" s="95"/>
      <c r="BA34" s="95"/>
      <c r="BB34" s="95"/>
      <c r="BC34" s="95"/>
      <c r="BD34" s="95"/>
      <c r="BE34" s="95"/>
    </row>
    <row r="35" spans="1:57" x14ac:dyDescent="0.35">
      <c r="A35" s="60"/>
      <c r="B35" s="70">
        <v>5</v>
      </c>
      <c r="C35" s="111" t="str">
        <f t="shared" si="3"/>
        <v>Ab1-Dig</v>
      </c>
      <c r="D35" s="112">
        <f t="shared" si="4"/>
        <v>10</v>
      </c>
      <c r="E35" s="111" t="str">
        <f t="shared" si="5"/>
        <v>Ab1-Biot</v>
      </c>
      <c r="F35" s="112">
        <f t="shared" si="4"/>
        <v>10</v>
      </c>
      <c r="G35" s="111" t="str">
        <f t="shared" ref="G35:H35" si="10">IF(G138=0,G$15,IF(G138=1,G$16,IF(G138=2,G$17,IF(G138=3,G$18,IF(G138=4,G$19,IF(G138=5,G$20,IF(G138=6,G$21,IF(G138=7,G$22,IF(G138=8,G$23,IF(G138=9,G$24,IF(G138=10,G$25,G$26)))))))))))</f>
        <v>1xRD</v>
      </c>
      <c r="H35" s="113" t="str">
        <f t="shared" si="10"/>
        <v>Standard</v>
      </c>
      <c r="I35" s="76">
        <f t="shared" si="7"/>
        <v>9.9999999999999982</v>
      </c>
      <c r="J35" s="28"/>
      <c r="K35" s="130"/>
      <c r="L35" s="119"/>
      <c r="M35" s="119"/>
      <c r="N35" s="119"/>
      <c r="O35" s="119"/>
      <c r="P35" s="119"/>
      <c r="Q35" s="119"/>
      <c r="R35" s="119"/>
      <c r="T35" s="128"/>
      <c r="AP35" s="95"/>
      <c r="AQ35" s="95"/>
      <c r="AR35" s="95"/>
      <c r="AS35" s="95"/>
      <c r="AT35" s="95"/>
      <c r="AU35" s="95"/>
      <c r="AV35" s="95"/>
      <c r="AW35" s="95"/>
      <c r="AX35" s="95"/>
      <c r="AY35" s="95"/>
      <c r="AZ35" s="95"/>
      <c r="BA35" s="95"/>
      <c r="BB35" s="95"/>
      <c r="BC35" s="95"/>
      <c r="BD35" s="95"/>
      <c r="BE35" s="95"/>
    </row>
    <row r="36" spans="1:57" x14ac:dyDescent="0.35">
      <c r="A36" s="60"/>
      <c r="B36" s="70">
        <v>6</v>
      </c>
      <c r="C36" s="111" t="str">
        <f t="shared" si="3"/>
        <v>Ab1-Dig</v>
      </c>
      <c r="D36" s="112">
        <f t="shared" si="4"/>
        <v>10</v>
      </c>
      <c r="E36" s="111" t="str">
        <f t="shared" si="5"/>
        <v>Ab1-Biot</v>
      </c>
      <c r="F36" s="112">
        <f t="shared" si="4"/>
        <v>10</v>
      </c>
      <c r="G36" s="111" t="str">
        <f t="shared" ref="G36:H36" si="11">IF(G139=0,G$15,IF(G139=1,G$16,IF(G139=2,G$17,IF(G139=3,G$18,IF(G139=4,G$19,IF(G139=5,G$20,IF(G139=6,G$21,IF(G139=7,G$22,IF(G139=8,G$23,IF(G139=9,G$24,IF(G139=10,G$25,G$26)))))))))))</f>
        <v>1xRD</v>
      </c>
      <c r="H36" s="113" t="str">
        <f t="shared" si="11"/>
        <v>Standard</v>
      </c>
      <c r="I36" s="76">
        <f t="shared" si="7"/>
        <v>4.6415888336127775</v>
      </c>
      <c r="J36" s="29"/>
      <c r="K36" s="130"/>
      <c r="L36" s="119"/>
      <c r="M36" s="119"/>
      <c r="N36" s="119"/>
      <c r="O36" s="119"/>
      <c r="P36" s="119"/>
      <c r="Q36" s="119"/>
      <c r="R36" s="119"/>
      <c r="S36" s="128"/>
      <c r="T36" s="132"/>
      <c r="AP36" s="95"/>
      <c r="AQ36" s="95"/>
      <c r="AR36" s="95"/>
      <c r="AS36" s="95"/>
      <c r="AT36" s="95"/>
      <c r="AU36" s="95"/>
      <c r="AV36" s="95"/>
      <c r="AW36" s="95"/>
      <c r="AX36" s="95"/>
      <c r="AY36" s="95"/>
      <c r="AZ36" s="95"/>
      <c r="BA36" s="95"/>
      <c r="BB36" s="95"/>
      <c r="BC36" s="95"/>
      <c r="BD36" s="95"/>
      <c r="BE36" s="95"/>
    </row>
    <row r="37" spans="1:57" x14ac:dyDescent="0.35">
      <c r="A37" s="60"/>
      <c r="B37" s="70">
        <v>7</v>
      </c>
      <c r="C37" s="111" t="str">
        <f t="shared" si="3"/>
        <v>Ab1-Dig</v>
      </c>
      <c r="D37" s="112">
        <f t="shared" si="4"/>
        <v>10</v>
      </c>
      <c r="E37" s="111" t="str">
        <f t="shared" si="5"/>
        <v>Ab1-Biot</v>
      </c>
      <c r="F37" s="112">
        <f t="shared" si="4"/>
        <v>10</v>
      </c>
      <c r="G37" s="111" t="str">
        <f t="shared" ref="G37:H37" si="12">IF(G140=0,G$15,IF(G140=1,G$16,IF(G140=2,G$17,IF(G140=3,G$18,IF(G140=4,G$19,IF(G140=5,G$20,IF(G140=6,G$21,IF(G140=7,G$22,IF(G140=8,G$23,IF(G140=9,G$24,IF(G140=10,G$25,G$26)))))))))))</f>
        <v>1xRD</v>
      </c>
      <c r="H37" s="113" t="str">
        <f t="shared" si="12"/>
        <v>Standard</v>
      </c>
      <c r="I37" s="76">
        <f t="shared" si="7"/>
        <v>2.1544346900318829</v>
      </c>
      <c r="J37" s="29"/>
      <c r="K37" s="130"/>
      <c r="L37" s="119"/>
      <c r="M37" s="119"/>
      <c r="N37" s="119"/>
      <c r="O37" s="119"/>
      <c r="P37" s="119"/>
      <c r="Q37" s="119"/>
      <c r="R37" s="119"/>
      <c r="S37" s="128"/>
      <c r="T37" s="128"/>
      <c r="AP37" s="95"/>
      <c r="AQ37" s="95"/>
      <c r="AR37" s="95"/>
      <c r="AS37" s="95"/>
      <c r="AT37" s="95"/>
      <c r="AU37" s="95"/>
      <c r="AV37" s="95"/>
      <c r="AW37" s="95"/>
      <c r="AX37" s="95"/>
      <c r="AY37" s="95"/>
      <c r="AZ37" s="95"/>
      <c r="BA37" s="95"/>
      <c r="BB37" s="95"/>
      <c r="BC37" s="95"/>
      <c r="BD37" s="95"/>
      <c r="BE37" s="95"/>
    </row>
    <row r="38" spans="1:57" x14ac:dyDescent="0.35">
      <c r="A38" s="60"/>
      <c r="B38" s="70">
        <v>8</v>
      </c>
      <c r="C38" s="111" t="str">
        <f t="shared" si="3"/>
        <v>Ab1-Dig</v>
      </c>
      <c r="D38" s="112">
        <f t="shared" si="4"/>
        <v>10</v>
      </c>
      <c r="E38" s="111" t="str">
        <f t="shared" si="5"/>
        <v>Ab1-Biot</v>
      </c>
      <c r="F38" s="112">
        <f t="shared" si="4"/>
        <v>10</v>
      </c>
      <c r="G38" s="111" t="str">
        <f t="shared" ref="G38:H38" si="13">IF(G141=0,G$15,IF(G141=1,G$16,IF(G141=2,G$17,IF(G141=3,G$18,IF(G141=4,G$19,IF(G141=5,G$20,IF(G141=6,G$21,IF(G141=7,G$22,IF(G141=8,G$23,IF(G141=9,G$24,IF(G141=10,G$25,G$26)))))))))))</f>
        <v>1xRD</v>
      </c>
      <c r="H38" s="113" t="str">
        <f t="shared" si="13"/>
        <v>Standard</v>
      </c>
      <c r="I38" s="76">
        <f t="shared" si="7"/>
        <v>0.99999999999999956</v>
      </c>
      <c r="J38" s="29"/>
      <c r="K38" s="130"/>
      <c r="L38" s="119"/>
      <c r="M38" s="119"/>
      <c r="N38" s="119"/>
      <c r="O38" s="119"/>
      <c r="P38" s="119"/>
      <c r="Q38" s="119"/>
      <c r="R38" s="119"/>
      <c r="S38" s="128"/>
      <c r="T38" s="128"/>
      <c r="AP38" s="95"/>
      <c r="AQ38" s="95"/>
      <c r="AR38" s="95"/>
      <c r="AS38" s="95"/>
      <c r="AT38" s="95"/>
      <c r="AU38" s="95"/>
      <c r="AV38" s="95"/>
      <c r="AW38" s="95"/>
      <c r="AX38" s="95"/>
      <c r="AY38" s="95"/>
      <c r="AZ38" s="95"/>
      <c r="BA38" s="95"/>
      <c r="BB38" s="95"/>
      <c r="BC38" s="95"/>
      <c r="BD38" s="95"/>
      <c r="BE38" s="95"/>
    </row>
    <row r="39" spans="1:57" x14ac:dyDescent="0.35">
      <c r="A39" s="17"/>
      <c r="B39" s="70">
        <v>9</v>
      </c>
      <c r="C39" s="111" t="str">
        <f t="shared" si="3"/>
        <v>Ab1-Dig</v>
      </c>
      <c r="D39" s="112">
        <f t="shared" si="4"/>
        <v>10</v>
      </c>
      <c r="E39" s="111" t="str">
        <f t="shared" si="5"/>
        <v>Ab1-Biot</v>
      </c>
      <c r="F39" s="112">
        <f t="shared" si="4"/>
        <v>3.5</v>
      </c>
      <c r="G39" s="111" t="str">
        <f t="shared" ref="G39:H39" si="14">IF(G142=0,G$15,IF(G142=1,G$16,IF(G142=2,G$17,IF(G142=3,G$18,IF(G142=4,G$19,IF(G142=5,G$20,IF(G142=6,G$21,IF(G142=7,G$22,IF(G142=8,G$23,IF(G142=9,G$24,IF(G142=10,G$25,G$26)))))))))))</f>
        <v>1xRD</v>
      </c>
      <c r="H39" s="113" t="str">
        <f t="shared" si="14"/>
        <v>Standard</v>
      </c>
      <c r="I39" s="76">
        <f t="shared" si="7"/>
        <v>0</v>
      </c>
      <c r="J39" s="27"/>
      <c r="K39" s="130"/>
      <c r="L39" s="119"/>
      <c r="M39" s="119"/>
      <c r="N39" s="119"/>
      <c r="O39" s="119"/>
      <c r="P39" s="119"/>
      <c r="Q39" s="119"/>
      <c r="R39" s="119"/>
      <c r="S39" s="128"/>
      <c r="T39" s="128"/>
      <c r="AP39" s="95"/>
      <c r="AQ39" s="95"/>
      <c r="AR39" s="95"/>
      <c r="AS39" s="95"/>
      <c r="AT39" s="95"/>
      <c r="AU39" s="95"/>
      <c r="AV39" s="95"/>
      <c r="AW39" s="95"/>
      <c r="AX39" s="95"/>
      <c r="AY39" s="95"/>
      <c r="AZ39" s="95"/>
      <c r="BA39" s="95"/>
      <c r="BB39" s="95"/>
      <c r="BC39" s="95"/>
      <c r="BD39" s="95"/>
      <c r="BE39" s="95"/>
    </row>
    <row r="40" spans="1:57" x14ac:dyDescent="0.35">
      <c r="A40" s="17"/>
      <c r="B40" s="70">
        <v>10</v>
      </c>
      <c r="C40" s="111" t="str">
        <f t="shared" si="3"/>
        <v>Ab1-Dig</v>
      </c>
      <c r="D40" s="112">
        <f t="shared" si="4"/>
        <v>10</v>
      </c>
      <c r="E40" s="111" t="str">
        <f t="shared" si="5"/>
        <v>Ab1-Biot</v>
      </c>
      <c r="F40" s="112">
        <f t="shared" si="4"/>
        <v>3.5</v>
      </c>
      <c r="G40" s="111" t="str">
        <f t="shared" ref="G40:H40" si="15">IF(G143=0,G$15,IF(G143=1,G$16,IF(G143=2,G$17,IF(G143=3,G$18,IF(G143=4,G$19,IF(G143=5,G$20,IF(G143=6,G$21,IF(G143=7,G$22,IF(G143=8,G$23,IF(G143=9,G$24,IF(G143=10,G$25,G$26)))))))))))</f>
        <v>1xRD</v>
      </c>
      <c r="H40" s="113" t="str">
        <f t="shared" si="15"/>
        <v>Standard</v>
      </c>
      <c r="I40" s="76">
        <f t="shared" si="7"/>
        <v>100</v>
      </c>
      <c r="J40" s="27"/>
      <c r="K40" s="130"/>
      <c r="L40" s="119"/>
      <c r="M40" s="119"/>
      <c r="N40" s="119"/>
      <c r="O40" s="119"/>
      <c r="P40" s="119"/>
      <c r="Q40" s="119"/>
      <c r="R40" s="119"/>
      <c r="S40" s="128"/>
      <c r="T40" s="128"/>
      <c r="AP40" s="95"/>
      <c r="AQ40" s="95"/>
      <c r="AR40" s="95"/>
      <c r="AS40" s="95"/>
      <c r="AT40" s="95"/>
      <c r="AU40" s="95"/>
      <c r="AV40" s="95"/>
      <c r="AW40" s="95"/>
      <c r="AX40" s="95"/>
      <c r="AY40" s="95"/>
      <c r="AZ40" s="95"/>
      <c r="BA40" s="95"/>
      <c r="BB40" s="95"/>
      <c r="BC40" s="95"/>
      <c r="BD40" s="95"/>
      <c r="BE40" s="95"/>
    </row>
    <row r="41" spans="1:57" x14ac:dyDescent="0.35">
      <c r="A41" s="17"/>
      <c r="B41" s="70">
        <v>11</v>
      </c>
      <c r="C41" s="111" t="str">
        <f t="shared" si="3"/>
        <v>Ab1-Dig</v>
      </c>
      <c r="D41" s="112">
        <f t="shared" si="4"/>
        <v>10</v>
      </c>
      <c r="E41" s="111" t="str">
        <f t="shared" si="5"/>
        <v>Ab1-Biot</v>
      </c>
      <c r="F41" s="112">
        <f t="shared" si="4"/>
        <v>3.5</v>
      </c>
      <c r="G41" s="111" t="str">
        <f t="shared" ref="G41:H41" si="16">IF(G144=0,G$15,IF(G144=1,G$16,IF(G144=2,G$17,IF(G144=3,G$18,IF(G144=4,G$19,IF(G144=5,G$20,IF(G144=6,G$21,IF(G144=7,G$22,IF(G144=8,G$23,IF(G144=9,G$24,IF(G144=10,G$25,G$26)))))))))))</f>
        <v>1xRD</v>
      </c>
      <c r="H41" s="113" t="str">
        <f t="shared" si="16"/>
        <v>Standard</v>
      </c>
      <c r="I41" s="76">
        <f t="shared" si="7"/>
        <v>46.415888336127786</v>
      </c>
      <c r="J41" s="27"/>
      <c r="K41" s="130"/>
      <c r="L41" s="119"/>
      <c r="M41" s="119"/>
      <c r="N41" s="119"/>
      <c r="O41" s="119"/>
      <c r="P41" s="119"/>
      <c r="Q41" s="119"/>
      <c r="R41" s="119"/>
      <c r="S41" s="128"/>
      <c r="T41" s="128"/>
    </row>
    <row r="42" spans="1:57" x14ac:dyDescent="0.35">
      <c r="A42" s="17"/>
      <c r="B42" s="70">
        <v>12</v>
      </c>
      <c r="C42" s="111" t="str">
        <f t="shared" si="3"/>
        <v>Ab1-Dig</v>
      </c>
      <c r="D42" s="112">
        <f t="shared" si="4"/>
        <v>10</v>
      </c>
      <c r="E42" s="111" t="str">
        <f t="shared" si="5"/>
        <v>Ab1-Biot</v>
      </c>
      <c r="F42" s="112">
        <f t="shared" si="4"/>
        <v>3.5</v>
      </c>
      <c r="G42" s="111" t="str">
        <f t="shared" ref="G42:H42" si="17">IF(G145=0,G$15,IF(G145=1,G$16,IF(G145=2,G$17,IF(G145=3,G$18,IF(G145=4,G$19,IF(G145=5,G$20,IF(G145=6,G$21,IF(G145=7,G$22,IF(G145=8,G$23,IF(G145=9,G$24,IF(G145=10,G$25,G$26)))))))))))</f>
        <v>1xRD</v>
      </c>
      <c r="H42" s="113" t="str">
        <f t="shared" si="17"/>
        <v>Standard</v>
      </c>
      <c r="I42" s="76">
        <f t="shared" si="7"/>
        <v>21.544346900318835</v>
      </c>
      <c r="J42" s="27"/>
      <c r="K42" s="130"/>
      <c r="L42" s="119"/>
      <c r="M42" s="119"/>
      <c r="N42" s="119"/>
      <c r="O42" s="119"/>
      <c r="P42" s="119"/>
      <c r="Q42" s="119"/>
      <c r="R42" s="119"/>
      <c r="S42" s="128"/>
      <c r="T42" s="128"/>
    </row>
    <row r="43" spans="1:57" x14ac:dyDescent="0.35">
      <c r="A43" s="17"/>
      <c r="B43" s="70">
        <v>13</v>
      </c>
      <c r="C43" s="111" t="str">
        <f t="shared" si="3"/>
        <v>Ab1-Dig</v>
      </c>
      <c r="D43" s="112">
        <f t="shared" si="4"/>
        <v>10</v>
      </c>
      <c r="E43" s="111" t="str">
        <f t="shared" si="5"/>
        <v>Ab1-Biot</v>
      </c>
      <c r="F43" s="112">
        <f t="shared" si="4"/>
        <v>3.5</v>
      </c>
      <c r="G43" s="111" t="str">
        <f t="shared" ref="G43:H43" si="18">IF(G146=0,G$15,IF(G146=1,G$16,IF(G146=2,G$17,IF(G146=3,G$18,IF(G146=4,G$19,IF(G146=5,G$20,IF(G146=6,G$21,IF(G146=7,G$22,IF(G146=8,G$23,IF(G146=9,G$24,IF(G146=10,G$25,G$26)))))))))))</f>
        <v>1xRD</v>
      </c>
      <c r="H43" s="113" t="str">
        <f t="shared" si="18"/>
        <v>Standard</v>
      </c>
      <c r="I43" s="76">
        <f t="shared" si="7"/>
        <v>9.9999999999999982</v>
      </c>
      <c r="J43" s="28"/>
      <c r="K43" s="130"/>
      <c r="L43" s="119"/>
      <c r="M43" s="119"/>
      <c r="N43" s="119"/>
      <c r="O43" s="119"/>
      <c r="P43" s="119"/>
      <c r="Q43" s="119"/>
      <c r="R43" s="119"/>
      <c r="S43" s="128"/>
      <c r="T43" s="128"/>
    </row>
    <row r="44" spans="1:57" x14ac:dyDescent="0.35">
      <c r="A44" s="17"/>
      <c r="B44" s="70">
        <v>14</v>
      </c>
      <c r="C44" s="111" t="str">
        <f t="shared" si="3"/>
        <v>Ab1-Dig</v>
      </c>
      <c r="D44" s="112">
        <f t="shared" si="4"/>
        <v>10</v>
      </c>
      <c r="E44" s="111" t="str">
        <f t="shared" si="5"/>
        <v>Ab1-Biot</v>
      </c>
      <c r="F44" s="112">
        <f t="shared" si="4"/>
        <v>3.5</v>
      </c>
      <c r="G44" s="111" t="str">
        <f t="shared" ref="G44:H44" si="19">IF(G147=0,G$15,IF(G147=1,G$16,IF(G147=2,G$17,IF(G147=3,G$18,IF(G147=4,G$19,IF(G147=5,G$20,IF(G147=6,G$21,IF(G147=7,G$22,IF(G147=8,G$23,IF(G147=9,G$24,IF(G147=10,G$25,G$26)))))))))))</f>
        <v>1xRD</v>
      </c>
      <c r="H44" s="113" t="str">
        <f t="shared" si="19"/>
        <v>Standard</v>
      </c>
      <c r="I44" s="76">
        <f t="shared" si="7"/>
        <v>4.6415888336127775</v>
      </c>
      <c r="J44" s="29"/>
      <c r="K44" s="130"/>
      <c r="L44" s="119"/>
      <c r="M44" s="119"/>
      <c r="N44" s="119"/>
      <c r="O44" s="119"/>
      <c r="P44" s="119"/>
      <c r="Q44" s="119"/>
      <c r="R44" s="119"/>
      <c r="S44" s="128"/>
      <c r="T44" s="131"/>
    </row>
    <row r="45" spans="1:57" x14ac:dyDescent="0.35">
      <c r="A45" s="17"/>
      <c r="B45" s="70">
        <v>15</v>
      </c>
      <c r="C45" s="111" t="str">
        <f t="shared" si="3"/>
        <v>Ab1-Dig</v>
      </c>
      <c r="D45" s="112">
        <f t="shared" si="4"/>
        <v>10</v>
      </c>
      <c r="E45" s="111" t="str">
        <f t="shared" si="5"/>
        <v>Ab1-Biot</v>
      </c>
      <c r="F45" s="112">
        <f t="shared" si="4"/>
        <v>3.5</v>
      </c>
      <c r="G45" s="111" t="str">
        <f t="shared" ref="G45:H45" si="20">IF(G148=0,G$15,IF(G148=1,G$16,IF(G148=2,G$17,IF(G148=3,G$18,IF(G148=4,G$19,IF(G148=5,G$20,IF(G148=6,G$21,IF(G148=7,G$22,IF(G148=8,G$23,IF(G148=9,G$24,IF(G148=10,G$25,G$26)))))))))))</f>
        <v>1xRD</v>
      </c>
      <c r="H45" s="113" t="str">
        <f t="shared" si="20"/>
        <v>Standard</v>
      </c>
      <c r="I45" s="76">
        <f t="shared" si="7"/>
        <v>2.1544346900318829</v>
      </c>
      <c r="J45" s="29"/>
      <c r="K45" s="130"/>
      <c r="L45" s="119"/>
      <c r="M45" s="119"/>
      <c r="N45" s="119"/>
      <c r="O45" s="119"/>
      <c r="P45" s="119"/>
      <c r="Q45" s="119"/>
      <c r="R45" s="119"/>
      <c r="S45" s="128"/>
      <c r="T45" s="128"/>
    </row>
    <row r="46" spans="1:57" x14ac:dyDescent="0.35">
      <c r="A46" s="17"/>
      <c r="B46" s="70">
        <v>16</v>
      </c>
      <c r="C46" s="111" t="str">
        <f t="shared" si="3"/>
        <v>Ab1-Dig</v>
      </c>
      <c r="D46" s="112">
        <f t="shared" si="4"/>
        <v>10</v>
      </c>
      <c r="E46" s="111" t="str">
        <f t="shared" si="5"/>
        <v>Ab1-Biot</v>
      </c>
      <c r="F46" s="112">
        <f t="shared" si="4"/>
        <v>3.5</v>
      </c>
      <c r="G46" s="111" t="str">
        <f t="shared" ref="G46:H46" si="21">IF(G149=0,G$15,IF(G149=1,G$16,IF(G149=2,G$17,IF(G149=3,G$18,IF(G149=4,G$19,IF(G149=5,G$20,IF(G149=6,G$21,IF(G149=7,G$22,IF(G149=8,G$23,IF(G149=9,G$24,IF(G149=10,G$25,G$26)))))))))))</f>
        <v>1xRD</v>
      </c>
      <c r="H46" s="113" t="str">
        <f t="shared" si="21"/>
        <v>Standard</v>
      </c>
      <c r="I46" s="76">
        <f t="shared" si="7"/>
        <v>0.99999999999999956</v>
      </c>
      <c r="J46" s="29"/>
      <c r="K46" s="130"/>
      <c r="L46" s="119"/>
      <c r="M46" s="119"/>
      <c r="N46" s="119"/>
      <c r="O46" s="119"/>
      <c r="P46" s="119"/>
      <c r="Q46" s="119"/>
      <c r="R46" s="119"/>
      <c r="S46" s="128"/>
      <c r="T46" s="131"/>
    </row>
    <row r="47" spans="1:57" x14ac:dyDescent="0.35">
      <c r="A47" s="17"/>
      <c r="B47" s="70">
        <v>17</v>
      </c>
      <c r="C47" s="111" t="str">
        <f t="shared" si="3"/>
        <v>Ab1-Dig</v>
      </c>
      <c r="D47" s="112">
        <f t="shared" si="4"/>
        <v>3.1622776601683795</v>
      </c>
      <c r="E47" s="111" t="str">
        <f t="shared" si="5"/>
        <v>Ab1-Biot</v>
      </c>
      <c r="F47" s="112">
        <f t="shared" si="4"/>
        <v>10</v>
      </c>
      <c r="G47" s="111" t="str">
        <f t="shared" ref="G47:H47" si="22">IF(G150=0,G$15,IF(G150=1,G$16,IF(G150=2,G$17,IF(G150=3,G$18,IF(G150=4,G$19,IF(G150=5,G$20,IF(G150=6,G$21,IF(G150=7,G$22,IF(G150=8,G$23,IF(G150=9,G$24,IF(G150=10,G$25,G$26)))))))))))</f>
        <v>1xRD</v>
      </c>
      <c r="H47" s="113" t="str">
        <f t="shared" si="22"/>
        <v>Standard</v>
      </c>
      <c r="I47" s="76">
        <f t="shared" si="7"/>
        <v>0</v>
      </c>
      <c r="J47" s="27"/>
      <c r="K47" s="130"/>
      <c r="L47" s="119"/>
      <c r="M47" s="119"/>
      <c r="N47" s="119"/>
      <c r="O47" s="119"/>
      <c r="P47" s="119"/>
      <c r="Q47" s="119"/>
      <c r="R47" s="119"/>
      <c r="T47" s="128"/>
    </row>
    <row r="48" spans="1:57" x14ac:dyDescent="0.35">
      <c r="A48" s="17"/>
      <c r="B48" s="70">
        <v>18</v>
      </c>
      <c r="C48" s="111" t="str">
        <f t="shared" si="3"/>
        <v>Ab1-Dig</v>
      </c>
      <c r="D48" s="112">
        <f t="shared" si="4"/>
        <v>3.1622776601683795</v>
      </c>
      <c r="E48" s="111" t="str">
        <f t="shared" si="5"/>
        <v>Ab1-Biot</v>
      </c>
      <c r="F48" s="112">
        <f t="shared" si="4"/>
        <v>10</v>
      </c>
      <c r="G48" s="111" t="str">
        <f t="shared" ref="G48:H48" si="23">IF(G151=0,G$15,IF(G151=1,G$16,IF(G151=2,G$17,IF(G151=3,G$18,IF(G151=4,G$19,IF(G151=5,G$20,IF(G151=6,G$21,IF(G151=7,G$22,IF(G151=8,G$23,IF(G151=9,G$24,IF(G151=10,G$25,G$26)))))))))))</f>
        <v>1xRD</v>
      </c>
      <c r="H48" s="113" t="str">
        <f t="shared" si="23"/>
        <v>Standard</v>
      </c>
      <c r="I48" s="76">
        <f t="shared" si="7"/>
        <v>100</v>
      </c>
      <c r="J48" s="27"/>
      <c r="K48" s="130"/>
      <c r="L48" s="119"/>
      <c r="M48" s="119"/>
      <c r="N48" s="119"/>
      <c r="O48" s="119"/>
      <c r="P48" s="119"/>
      <c r="Q48" s="119"/>
      <c r="R48" s="119"/>
      <c r="S48" s="128"/>
      <c r="T48" s="132"/>
    </row>
    <row r="49" spans="1:20" x14ac:dyDescent="0.35">
      <c r="A49" s="17"/>
      <c r="B49" s="70">
        <v>19</v>
      </c>
      <c r="C49" s="111" t="str">
        <f t="shared" si="3"/>
        <v>Ab1-Dig</v>
      </c>
      <c r="D49" s="112">
        <f t="shared" si="4"/>
        <v>3.1622776601683795</v>
      </c>
      <c r="E49" s="111" t="str">
        <f t="shared" si="5"/>
        <v>Ab1-Biot</v>
      </c>
      <c r="F49" s="112">
        <f t="shared" si="4"/>
        <v>10</v>
      </c>
      <c r="G49" s="111" t="str">
        <f t="shared" ref="G49:H49" si="24">IF(G152=0,G$15,IF(G152=1,G$16,IF(G152=2,G$17,IF(G152=3,G$18,IF(G152=4,G$19,IF(G152=5,G$20,IF(G152=6,G$21,IF(G152=7,G$22,IF(G152=8,G$23,IF(G152=9,G$24,IF(G152=10,G$25,G$26)))))))))))</f>
        <v>1xRD</v>
      </c>
      <c r="H49" s="113" t="str">
        <f t="shared" si="24"/>
        <v>Standard</v>
      </c>
      <c r="I49" s="76">
        <f t="shared" si="7"/>
        <v>46.415888336127786</v>
      </c>
      <c r="J49" s="27"/>
      <c r="K49" s="130"/>
      <c r="L49" s="119"/>
      <c r="M49" s="119"/>
      <c r="N49" s="119"/>
      <c r="O49" s="119"/>
      <c r="P49" s="119"/>
      <c r="Q49" s="119"/>
      <c r="R49" s="119"/>
      <c r="S49" s="128"/>
      <c r="T49" s="128"/>
    </row>
    <row r="50" spans="1:20" x14ac:dyDescent="0.35">
      <c r="A50" s="17"/>
      <c r="B50" s="70">
        <v>20</v>
      </c>
      <c r="C50" s="111" t="str">
        <f t="shared" si="3"/>
        <v>Ab1-Dig</v>
      </c>
      <c r="D50" s="112">
        <f t="shared" si="4"/>
        <v>3.1622776601683795</v>
      </c>
      <c r="E50" s="111" t="str">
        <f t="shared" si="5"/>
        <v>Ab1-Biot</v>
      </c>
      <c r="F50" s="112">
        <f t="shared" si="4"/>
        <v>10</v>
      </c>
      <c r="G50" s="111" t="str">
        <f t="shared" ref="G50:H50" si="25">IF(G153=0,G$15,IF(G153=1,G$16,IF(G153=2,G$17,IF(G153=3,G$18,IF(G153=4,G$19,IF(G153=5,G$20,IF(G153=6,G$21,IF(G153=7,G$22,IF(G153=8,G$23,IF(G153=9,G$24,IF(G153=10,G$25,G$26)))))))))))</f>
        <v>1xRD</v>
      </c>
      <c r="H50" s="113" t="str">
        <f t="shared" si="25"/>
        <v>Standard</v>
      </c>
      <c r="I50" s="76">
        <f t="shared" si="7"/>
        <v>21.544346900318835</v>
      </c>
      <c r="J50" s="27"/>
      <c r="K50" s="130"/>
      <c r="L50" s="119"/>
      <c r="M50" s="119"/>
      <c r="N50" s="119"/>
      <c r="O50" s="119"/>
      <c r="P50" s="119"/>
      <c r="Q50" s="119"/>
      <c r="R50" s="119"/>
      <c r="S50" s="128"/>
      <c r="T50" s="128"/>
    </row>
    <row r="51" spans="1:20" x14ac:dyDescent="0.35">
      <c r="A51" s="17"/>
      <c r="B51" s="70">
        <v>21</v>
      </c>
      <c r="C51" s="111" t="str">
        <f t="shared" si="3"/>
        <v>Ab1-Dig</v>
      </c>
      <c r="D51" s="112">
        <f t="shared" si="4"/>
        <v>3.1622776601683795</v>
      </c>
      <c r="E51" s="111" t="str">
        <f t="shared" si="5"/>
        <v>Ab1-Biot</v>
      </c>
      <c r="F51" s="112">
        <f t="shared" si="4"/>
        <v>10</v>
      </c>
      <c r="G51" s="111" t="str">
        <f t="shared" ref="G51:H51" si="26">IF(G154=0,G$15,IF(G154=1,G$16,IF(G154=2,G$17,IF(G154=3,G$18,IF(G154=4,G$19,IF(G154=5,G$20,IF(G154=6,G$21,IF(G154=7,G$22,IF(G154=8,G$23,IF(G154=9,G$24,IF(G154=10,G$25,G$26)))))))))))</f>
        <v>1xRD</v>
      </c>
      <c r="H51" s="113" t="str">
        <f t="shared" si="26"/>
        <v>Standard</v>
      </c>
      <c r="I51" s="76">
        <f t="shared" si="7"/>
        <v>9.9999999999999982</v>
      </c>
      <c r="J51" s="28"/>
      <c r="K51" s="130"/>
      <c r="L51" s="119"/>
      <c r="M51" s="119"/>
      <c r="N51" s="119"/>
      <c r="O51" s="119"/>
      <c r="P51" s="119"/>
      <c r="Q51" s="119"/>
      <c r="R51" s="119"/>
      <c r="S51" s="128"/>
      <c r="T51" s="128"/>
    </row>
    <row r="52" spans="1:20" x14ac:dyDescent="0.35">
      <c r="A52" s="17"/>
      <c r="B52" s="70">
        <v>22</v>
      </c>
      <c r="C52" s="111" t="str">
        <f t="shared" si="3"/>
        <v>Ab1-Dig</v>
      </c>
      <c r="D52" s="112">
        <f t="shared" si="4"/>
        <v>3.1622776601683795</v>
      </c>
      <c r="E52" s="111" t="str">
        <f t="shared" si="5"/>
        <v>Ab1-Biot</v>
      </c>
      <c r="F52" s="112">
        <f t="shared" si="4"/>
        <v>10</v>
      </c>
      <c r="G52" s="111" t="str">
        <f t="shared" ref="G52:H52" si="27">IF(G155=0,G$15,IF(G155=1,G$16,IF(G155=2,G$17,IF(G155=3,G$18,IF(G155=4,G$19,IF(G155=5,G$20,IF(G155=6,G$21,IF(G155=7,G$22,IF(G155=8,G$23,IF(G155=9,G$24,IF(G155=10,G$25,G$26)))))))))))</f>
        <v>1xRD</v>
      </c>
      <c r="H52" s="113" t="str">
        <f t="shared" si="27"/>
        <v>Standard</v>
      </c>
      <c r="I52" s="76">
        <f t="shared" si="7"/>
        <v>4.6415888336127775</v>
      </c>
      <c r="J52" s="29"/>
      <c r="K52" s="130"/>
      <c r="L52" s="119"/>
      <c r="M52" s="119"/>
      <c r="N52" s="119"/>
      <c r="O52" s="119"/>
      <c r="P52" s="119"/>
      <c r="Q52" s="119"/>
      <c r="R52" s="119"/>
      <c r="S52" s="128"/>
      <c r="T52" s="128"/>
    </row>
    <row r="53" spans="1:20" x14ac:dyDescent="0.35">
      <c r="A53" s="17"/>
      <c r="B53" s="70">
        <v>23</v>
      </c>
      <c r="C53" s="111" t="str">
        <f t="shared" si="3"/>
        <v>Ab1-Dig</v>
      </c>
      <c r="D53" s="112">
        <f t="shared" si="4"/>
        <v>3.1622776601683795</v>
      </c>
      <c r="E53" s="111" t="str">
        <f t="shared" si="5"/>
        <v>Ab1-Biot</v>
      </c>
      <c r="F53" s="112">
        <f t="shared" si="4"/>
        <v>10</v>
      </c>
      <c r="G53" s="111" t="str">
        <f t="shared" ref="G53:H53" si="28">IF(G156=0,G$15,IF(G156=1,G$16,IF(G156=2,G$17,IF(G156=3,G$18,IF(G156=4,G$19,IF(G156=5,G$20,IF(G156=6,G$21,IF(G156=7,G$22,IF(G156=8,G$23,IF(G156=9,G$24,IF(G156=10,G$25,G$26)))))))))))</f>
        <v>1xRD</v>
      </c>
      <c r="H53" s="113" t="str">
        <f t="shared" si="28"/>
        <v>Standard</v>
      </c>
      <c r="I53" s="76">
        <f t="shared" si="7"/>
        <v>2.1544346900318829</v>
      </c>
      <c r="J53" s="29"/>
      <c r="K53" s="130"/>
      <c r="L53" s="119"/>
      <c r="M53" s="119"/>
      <c r="N53" s="119"/>
      <c r="O53" s="119"/>
      <c r="P53" s="119"/>
      <c r="Q53" s="119"/>
      <c r="R53" s="119"/>
      <c r="S53" s="128"/>
      <c r="T53" s="128"/>
    </row>
    <row r="54" spans="1:20" x14ac:dyDescent="0.35">
      <c r="A54" s="17"/>
      <c r="B54" s="70">
        <v>24</v>
      </c>
      <c r="C54" s="111" t="str">
        <f t="shared" si="3"/>
        <v>Ab1-Dig</v>
      </c>
      <c r="D54" s="112">
        <f t="shared" si="4"/>
        <v>3.1622776601683795</v>
      </c>
      <c r="E54" s="111" t="str">
        <f t="shared" si="5"/>
        <v>Ab1-Biot</v>
      </c>
      <c r="F54" s="112">
        <f t="shared" si="4"/>
        <v>10</v>
      </c>
      <c r="G54" s="111" t="str">
        <f t="shared" ref="G54:H54" si="29">IF(G157=0,G$15,IF(G157=1,G$16,IF(G157=2,G$17,IF(G157=3,G$18,IF(G157=4,G$19,IF(G157=5,G$20,IF(G157=6,G$21,IF(G157=7,G$22,IF(G157=8,G$23,IF(G157=9,G$24,IF(G157=10,G$25,G$26)))))))))))</f>
        <v>1xRD</v>
      </c>
      <c r="H54" s="113" t="str">
        <f t="shared" si="29"/>
        <v>Standard</v>
      </c>
      <c r="I54" s="76">
        <f t="shared" si="7"/>
        <v>0.99999999999999956</v>
      </c>
      <c r="J54" s="29"/>
      <c r="K54" s="130"/>
      <c r="L54" s="119"/>
      <c r="M54" s="119"/>
      <c r="N54" s="119"/>
      <c r="O54" s="119"/>
      <c r="P54" s="119"/>
      <c r="Q54" s="119"/>
      <c r="R54" s="119"/>
      <c r="S54" s="128"/>
      <c r="T54" s="128"/>
    </row>
    <row r="55" spans="1:20" x14ac:dyDescent="0.35">
      <c r="A55" s="17"/>
      <c r="B55" s="70">
        <v>25</v>
      </c>
      <c r="C55" s="111" t="str">
        <f t="shared" si="3"/>
        <v>Ab1-Dig</v>
      </c>
      <c r="D55" s="112">
        <f t="shared" si="4"/>
        <v>3.1622776601683795</v>
      </c>
      <c r="E55" s="111" t="str">
        <f t="shared" si="5"/>
        <v>Ab1-Biot</v>
      </c>
      <c r="F55" s="112">
        <f t="shared" si="4"/>
        <v>3.5</v>
      </c>
      <c r="G55" s="111" t="str">
        <f t="shared" ref="G55:H55" si="30">IF(G158=0,G$15,IF(G158=1,G$16,IF(G158=2,G$17,IF(G158=3,G$18,IF(G158=4,G$19,IF(G158=5,G$20,IF(G158=6,G$21,IF(G158=7,G$22,IF(G158=8,G$23,IF(G158=9,G$24,IF(G158=10,G$25,G$26)))))))))))</f>
        <v>1xRD</v>
      </c>
      <c r="H55" s="113" t="str">
        <f t="shared" si="30"/>
        <v>Standard</v>
      </c>
      <c r="I55" s="76">
        <f t="shared" si="7"/>
        <v>0</v>
      </c>
      <c r="J55" s="29"/>
      <c r="K55" s="130"/>
      <c r="L55" s="119"/>
      <c r="M55" s="119"/>
      <c r="N55" s="119"/>
      <c r="O55" s="119"/>
      <c r="P55" s="119"/>
      <c r="Q55" s="119"/>
      <c r="R55" s="119"/>
      <c r="S55" s="133"/>
      <c r="T55" s="132"/>
    </row>
    <row r="56" spans="1:20" x14ac:dyDescent="0.35">
      <c r="A56" s="17"/>
      <c r="B56" s="70">
        <v>26</v>
      </c>
      <c r="C56" s="111" t="str">
        <f t="shared" si="3"/>
        <v>Ab1-Dig</v>
      </c>
      <c r="D56" s="112">
        <f t="shared" si="4"/>
        <v>3.1622776601683795</v>
      </c>
      <c r="E56" s="111" t="str">
        <f t="shared" si="5"/>
        <v>Ab1-Biot</v>
      </c>
      <c r="F56" s="112">
        <f t="shared" si="4"/>
        <v>3.5</v>
      </c>
      <c r="G56" s="111" t="str">
        <f t="shared" ref="G56:H56" si="31">IF(G159=0,G$15,IF(G159=1,G$16,IF(G159=2,G$17,IF(G159=3,G$18,IF(G159=4,G$19,IF(G159=5,G$20,IF(G159=6,G$21,IF(G159=7,G$22,IF(G159=8,G$23,IF(G159=9,G$24,IF(G159=10,G$25,G$26)))))))))))</f>
        <v>1xRD</v>
      </c>
      <c r="H56" s="113" t="str">
        <f t="shared" si="31"/>
        <v>Standard</v>
      </c>
      <c r="I56" s="76">
        <f t="shared" si="7"/>
        <v>100</v>
      </c>
      <c r="J56" s="60"/>
      <c r="K56" s="60"/>
      <c r="L56" s="60"/>
      <c r="M56" s="60"/>
      <c r="N56" s="60"/>
      <c r="O56" s="60"/>
      <c r="P56" s="60"/>
      <c r="Q56" s="60"/>
      <c r="R56" s="60"/>
    </row>
    <row r="57" spans="1:20" x14ac:dyDescent="0.35">
      <c r="A57" s="17"/>
      <c r="B57" s="70">
        <v>27</v>
      </c>
      <c r="C57" s="111" t="str">
        <f t="shared" si="3"/>
        <v>Ab1-Dig</v>
      </c>
      <c r="D57" s="112">
        <f t="shared" si="4"/>
        <v>3.1622776601683795</v>
      </c>
      <c r="E57" s="111" t="str">
        <f t="shared" si="5"/>
        <v>Ab1-Biot</v>
      </c>
      <c r="F57" s="112">
        <f t="shared" si="4"/>
        <v>3.5</v>
      </c>
      <c r="G57" s="111" t="str">
        <f t="shared" ref="G57:H57" si="32">IF(G160=0,G$15,IF(G160=1,G$16,IF(G160=2,G$17,IF(G160=3,G$18,IF(G160=4,G$19,IF(G160=5,G$20,IF(G160=6,G$21,IF(G160=7,G$22,IF(G160=8,G$23,IF(G160=9,G$24,IF(G160=10,G$25,G$26)))))))))))</f>
        <v>1xRD</v>
      </c>
      <c r="H57" s="113" t="str">
        <f t="shared" si="32"/>
        <v>Standard</v>
      </c>
      <c r="I57" s="76">
        <f t="shared" si="7"/>
        <v>46.415888336127786</v>
      </c>
      <c r="J57" s="60"/>
      <c r="K57" s="60"/>
      <c r="L57" s="60"/>
      <c r="M57" s="60"/>
      <c r="N57" s="60"/>
      <c r="O57" s="60"/>
      <c r="P57" s="60"/>
      <c r="Q57" s="60"/>
      <c r="R57" s="60"/>
    </row>
    <row r="58" spans="1:20" x14ac:dyDescent="0.35">
      <c r="A58" s="17"/>
      <c r="B58" s="70">
        <v>28</v>
      </c>
      <c r="C58" s="111" t="str">
        <f t="shared" si="3"/>
        <v>Ab1-Dig</v>
      </c>
      <c r="D58" s="112">
        <f t="shared" si="4"/>
        <v>3.1622776601683795</v>
      </c>
      <c r="E58" s="111" t="str">
        <f t="shared" si="5"/>
        <v>Ab1-Biot</v>
      </c>
      <c r="F58" s="112">
        <f t="shared" si="4"/>
        <v>3.5</v>
      </c>
      <c r="G58" s="111" t="str">
        <f t="shared" ref="G58:H58" si="33">IF(G161=0,G$15,IF(G161=1,G$16,IF(G161=2,G$17,IF(G161=3,G$18,IF(G161=4,G$19,IF(G161=5,G$20,IF(G161=6,G$21,IF(G161=7,G$22,IF(G161=8,G$23,IF(G161=9,G$24,IF(G161=10,G$25,G$26)))))))))))</f>
        <v>1xRD</v>
      </c>
      <c r="H58" s="113" t="str">
        <f t="shared" si="33"/>
        <v>Standard</v>
      </c>
      <c r="I58" s="76">
        <f t="shared" si="7"/>
        <v>21.544346900318835</v>
      </c>
      <c r="J58" s="60"/>
      <c r="K58" s="60"/>
      <c r="L58" s="60"/>
      <c r="M58" s="134"/>
      <c r="N58" s="134"/>
      <c r="O58" s="134"/>
      <c r="P58" s="134"/>
      <c r="Q58" s="60"/>
      <c r="R58" s="60"/>
    </row>
    <row r="59" spans="1:20" x14ac:dyDescent="0.35">
      <c r="A59" s="17"/>
      <c r="B59" s="70">
        <v>29</v>
      </c>
      <c r="C59" s="111" t="str">
        <f t="shared" si="3"/>
        <v>Ab1-Dig</v>
      </c>
      <c r="D59" s="112">
        <f t="shared" si="4"/>
        <v>3.1622776601683795</v>
      </c>
      <c r="E59" s="111" t="str">
        <f t="shared" si="5"/>
        <v>Ab1-Biot</v>
      </c>
      <c r="F59" s="112">
        <f t="shared" si="4"/>
        <v>3.5</v>
      </c>
      <c r="G59" s="111" t="str">
        <f t="shared" ref="G59:H59" si="34">IF(G162=0,G$15,IF(G162=1,G$16,IF(G162=2,G$17,IF(G162=3,G$18,IF(G162=4,G$19,IF(G162=5,G$20,IF(G162=6,G$21,IF(G162=7,G$22,IF(G162=8,G$23,IF(G162=9,G$24,IF(G162=10,G$25,G$26)))))))))))</f>
        <v>1xRD</v>
      </c>
      <c r="H59" s="113" t="str">
        <f t="shared" si="34"/>
        <v>Standard</v>
      </c>
      <c r="I59" s="76">
        <f t="shared" si="7"/>
        <v>9.9999999999999982</v>
      </c>
      <c r="J59" s="60"/>
      <c r="K59" s="60"/>
      <c r="L59" s="60"/>
      <c r="M59" s="134"/>
      <c r="N59" s="134"/>
      <c r="O59" s="134"/>
      <c r="P59" s="134"/>
      <c r="Q59" s="60"/>
      <c r="R59" s="60"/>
    </row>
    <row r="60" spans="1:20" x14ac:dyDescent="0.35">
      <c r="A60" s="17"/>
      <c r="B60" s="70">
        <v>30</v>
      </c>
      <c r="C60" s="111" t="str">
        <f t="shared" si="3"/>
        <v>Ab1-Dig</v>
      </c>
      <c r="D60" s="112">
        <f t="shared" si="4"/>
        <v>3.1622776601683795</v>
      </c>
      <c r="E60" s="111" t="str">
        <f t="shared" si="5"/>
        <v>Ab1-Biot</v>
      </c>
      <c r="F60" s="112">
        <f t="shared" si="4"/>
        <v>3.5</v>
      </c>
      <c r="G60" s="111" t="str">
        <f t="shared" ref="G60:H60" si="35">IF(G163=0,G$15,IF(G163=1,G$16,IF(G163=2,G$17,IF(G163=3,G$18,IF(G163=4,G$19,IF(G163=5,G$20,IF(G163=6,G$21,IF(G163=7,G$22,IF(G163=8,G$23,IF(G163=9,G$24,IF(G163=10,G$25,G$26)))))))))))</f>
        <v>1xRD</v>
      </c>
      <c r="H60" s="113" t="str">
        <f t="shared" si="35"/>
        <v>Standard</v>
      </c>
      <c r="I60" s="76">
        <f t="shared" si="7"/>
        <v>4.6415888336127775</v>
      </c>
      <c r="J60" s="60"/>
      <c r="K60" s="60"/>
      <c r="L60" s="60"/>
      <c r="M60" s="134"/>
      <c r="N60" s="134"/>
      <c r="O60" s="134"/>
      <c r="P60" s="134"/>
      <c r="Q60" s="60"/>
      <c r="R60" s="60"/>
    </row>
    <row r="61" spans="1:20" x14ac:dyDescent="0.35">
      <c r="A61" s="17"/>
      <c r="B61" s="70">
        <v>31</v>
      </c>
      <c r="C61" s="111" t="str">
        <f t="shared" si="3"/>
        <v>Ab1-Dig</v>
      </c>
      <c r="D61" s="112">
        <f t="shared" si="4"/>
        <v>3.1622776601683795</v>
      </c>
      <c r="E61" s="111" t="str">
        <f t="shared" si="5"/>
        <v>Ab1-Biot</v>
      </c>
      <c r="F61" s="112">
        <f t="shared" si="4"/>
        <v>3.5</v>
      </c>
      <c r="G61" s="111" t="str">
        <f t="shared" ref="G61:H61" si="36">IF(G164=0,G$15,IF(G164=1,G$16,IF(G164=2,G$17,IF(G164=3,G$18,IF(G164=4,G$19,IF(G164=5,G$20,IF(G164=6,G$21,IF(G164=7,G$22,IF(G164=8,G$23,IF(G164=9,G$24,IF(G164=10,G$25,G$26)))))))))))</f>
        <v>1xRD</v>
      </c>
      <c r="H61" s="113" t="str">
        <f t="shared" si="36"/>
        <v>Standard</v>
      </c>
      <c r="I61" s="76">
        <f t="shared" si="7"/>
        <v>2.1544346900318829</v>
      </c>
      <c r="J61" s="60"/>
      <c r="K61" s="60"/>
      <c r="L61" s="60"/>
      <c r="M61" s="60"/>
      <c r="N61" s="60"/>
      <c r="O61" s="60"/>
      <c r="P61" s="60"/>
      <c r="Q61" s="60"/>
      <c r="R61" s="60"/>
    </row>
    <row r="62" spans="1:20" x14ac:dyDescent="0.35">
      <c r="A62" s="17"/>
      <c r="B62" s="70">
        <v>32</v>
      </c>
      <c r="C62" s="111" t="str">
        <f t="shared" si="3"/>
        <v>Ab1-Dig</v>
      </c>
      <c r="D62" s="112">
        <f t="shared" si="4"/>
        <v>3.1622776601683795</v>
      </c>
      <c r="E62" s="111" t="str">
        <f t="shared" si="5"/>
        <v>Ab1-Biot</v>
      </c>
      <c r="F62" s="112">
        <f t="shared" si="4"/>
        <v>3.5</v>
      </c>
      <c r="G62" s="111" t="str">
        <f t="shared" ref="G62:H62" si="37">IF(G165=0,G$15,IF(G165=1,G$16,IF(G165=2,G$17,IF(G165=3,G$18,IF(G165=4,G$19,IF(G165=5,G$20,IF(G165=6,G$21,IF(G165=7,G$22,IF(G165=8,G$23,IF(G165=9,G$24,IF(G165=10,G$25,G$26)))))))))))</f>
        <v>1xRD</v>
      </c>
      <c r="H62" s="113" t="str">
        <f t="shared" si="37"/>
        <v>Standard</v>
      </c>
      <c r="I62" s="76">
        <f t="shared" si="7"/>
        <v>0.99999999999999956</v>
      </c>
      <c r="J62" s="60"/>
      <c r="K62" s="60"/>
      <c r="L62" s="60"/>
      <c r="M62" s="60"/>
      <c r="N62" s="60"/>
      <c r="O62" s="60"/>
      <c r="P62" s="60"/>
      <c r="Q62" s="60"/>
      <c r="R62" s="60"/>
    </row>
    <row r="63" spans="1:20" x14ac:dyDescent="0.35">
      <c r="A63" s="17"/>
      <c r="B63" s="70">
        <v>33</v>
      </c>
      <c r="C63" s="111" t="str">
        <f t="shared" si="3"/>
        <v>Ab1-Dig</v>
      </c>
      <c r="D63" s="112">
        <f t="shared" si="4"/>
        <v>1</v>
      </c>
      <c r="E63" s="111" t="str">
        <f t="shared" si="5"/>
        <v>Ab1-Biot</v>
      </c>
      <c r="F63" s="112">
        <f t="shared" si="4"/>
        <v>10</v>
      </c>
      <c r="G63" s="111" t="str">
        <f t="shared" ref="G63:H63" si="38">IF(G166=0,G$15,IF(G166=1,G$16,IF(G166=2,G$17,IF(G166=3,G$18,IF(G166=4,G$19,IF(G166=5,G$20,IF(G166=6,G$21,IF(G166=7,G$22,IF(G166=8,G$23,IF(G166=9,G$24,IF(G166=10,G$25,G$26)))))))))))</f>
        <v>1xRD</v>
      </c>
      <c r="H63" s="113" t="str">
        <f t="shared" si="38"/>
        <v>Standard</v>
      </c>
      <c r="I63" s="76">
        <f t="shared" si="7"/>
        <v>0</v>
      </c>
      <c r="J63" s="60"/>
      <c r="K63" s="60"/>
      <c r="L63" s="60"/>
      <c r="M63" s="60"/>
      <c r="N63" s="60"/>
      <c r="O63" s="60"/>
      <c r="P63" s="60"/>
      <c r="Q63" s="60"/>
      <c r="R63" s="60"/>
    </row>
    <row r="64" spans="1:20" x14ac:dyDescent="0.35">
      <c r="A64" s="17"/>
      <c r="B64" s="70">
        <v>34</v>
      </c>
      <c r="C64" s="111" t="str">
        <f t="shared" si="3"/>
        <v>Ab1-Dig</v>
      </c>
      <c r="D64" s="112">
        <f t="shared" si="4"/>
        <v>1</v>
      </c>
      <c r="E64" s="111" t="str">
        <f t="shared" si="5"/>
        <v>Ab1-Biot</v>
      </c>
      <c r="F64" s="112">
        <f t="shared" si="4"/>
        <v>10</v>
      </c>
      <c r="G64" s="111" t="str">
        <f t="shared" ref="G64:H64" si="39">IF(G167=0,G$15,IF(G167=1,G$16,IF(G167=2,G$17,IF(G167=3,G$18,IF(G167=4,G$19,IF(G167=5,G$20,IF(G167=6,G$21,IF(G167=7,G$22,IF(G167=8,G$23,IF(G167=9,G$24,IF(G167=10,G$25,G$26)))))))))))</f>
        <v>1xRD</v>
      </c>
      <c r="H64" s="113" t="str">
        <f t="shared" si="39"/>
        <v>Standard</v>
      </c>
      <c r="I64" s="76">
        <f t="shared" si="7"/>
        <v>100</v>
      </c>
      <c r="J64" s="60"/>
      <c r="K64" s="60"/>
      <c r="L64" s="60"/>
      <c r="M64" s="60"/>
      <c r="N64" s="60"/>
      <c r="O64" s="60"/>
      <c r="P64" s="60"/>
      <c r="Q64" s="60"/>
      <c r="R64" s="60"/>
    </row>
    <row r="65" spans="1:18" x14ac:dyDescent="0.35">
      <c r="A65" s="17"/>
      <c r="B65" s="70">
        <v>35</v>
      </c>
      <c r="C65" s="111" t="str">
        <f t="shared" si="3"/>
        <v>Ab1-Dig</v>
      </c>
      <c r="D65" s="112">
        <f t="shared" si="4"/>
        <v>1</v>
      </c>
      <c r="E65" s="111" t="str">
        <f t="shared" si="5"/>
        <v>Ab1-Biot</v>
      </c>
      <c r="F65" s="112">
        <f t="shared" si="4"/>
        <v>10</v>
      </c>
      <c r="G65" s="111" t="str">
        <f t="shared" ref="G65:H65" si="40">IF(G168=0,G$15,IF(G168=1,G$16,IF(G168=2,G$17,IF(G168=3,G$18,IF(G168=4,G$19,IF(G168=5,G$20,IF(G168=6,G$21,IF(G168=7,G$22,IF(G168=8,G$23,IF(G168=9,G$24,IF(G168=10,G$25,G$26)))))))))))</f>
        <v>1xRD</v>
      </c>
      <c r="H65" s="113" t="str">
        <f t="shared" si="40"/>
        <v>Standard</v>
      </c>
      <c r="I65" s="76">
        <f t="shared" si="7"/>
        <v>46.415888336127786</v>
      </c>
      <c r="J65" s="60"/>
      <c r="K65" s="60"/>
      <c r="L65" s="60"/>
      <c r="M65" s="60"/>
      <c r="N65" s="60"/>
      <c r="O65" s="60"/>
      <c r="P65" s="60"/>
      <c r="Q65" s="60"/>
      <c r="R65" s="60"/>
    </row>
    <row r="66" spans="1:18" x14ac:dyDescent="0.35">
      <c r="A66" s="17"/>
      <c r="B66" s="70">
        <v>36</v>
      </c>
      <c r="C66" s="111" t="str">
        <f t="shared" si="3"/>
        <v>Ab1-Dig</v>
      </c>
      <c r="D66" s="112">
        <f t="shared" si="4"/>
        <v>1</v>
      </c>
      <c r="E66" s="111" t="str">
        <f t="shared" si="5"/>
        <v>Ab1-Biot</v>
      </c>
      <c r="F66" s="112">
        <f t="shared" si="4"/>
        <v>10</v>
      </c>
      <c r="G66" s="111" t="str">
        <f t="shared" ref="G66:H66" si="41">IF(G169=0,G$15,IF(G169=1,G$16,IF(G169=2,G$17,IF(G169=3,G$18,IF(G169=4,G$19,IF(G169=5,G$20,IF(G169=6,G$21,IF(G169=7,G$22,IF(G169=8,G$23,IF(G169=9,G$24,IF(G169=10,G$25,G$26)))))))))))</f>
        <v>1xRD</v>
      </c>
      <c r="H66" s="113" t="str">
        <f t="shared" si="41"/>
        <v>Standard</v>
      </c>
      <c r="I66" s="76">
        <f t="shared" si="7"/>
        <v>21.544346900318835</v>
      </c>
      <c r="J66" s="60"/>
      <c r="K66" s="60"/>
      <c r="L66" s="60"/>
      <c r="M66" s="60"/>
      <c r="N66" s="60"/>
      <c r="O66" s="60"/>
      <c r="P66" s="60"/>
      <c r="Q66" s="60"/>
      <c r="R66" s="60"/>
    </row>
    <row r="67" spans="1:18" x14ac:dyDescent="0.35">
      <c r="A67" s="17"/>
      <c r="B67" s="70">
        <v>37</v>
      </c>
      <c r="C67" s="111" t="str">
        <f t="shared" si="3"/>
        <v>Ab1-Dig</v>
      </c>
      <c r="D67" s="112">
        <f t="shared" si="4"/>
        <v>1</v>
      </c>
      <c r="E67" s="111" t="str">
        <f t="shared" si="5"/>
        <v>Ab1-Biot</v>
      </c>
      <c r="F67" s="112">
        <f t="shared" si="4"/>
        <v>10</v>
      </c>
      <c r="G67" s="111" t="str">
        <f t="shared" ref="G67:H67" si="42">IF(G170=0,G$15,IF(G170=1,G$16,IF(G170=2,G$17,IF(G170=3,G$18,IF(G170=4,G$19,IF(G170=5,G$20,IF(G170=6,G$21,IF(G170=7,G$22,IF(G170=8,G$23,IF(G170=9,G$24,IF(G170=10,G$25,G$26)))))))))))</f>
        <v>1xRD</v>
      </c>
      <c r="H67" s="113" t="str">
        <f t="shared" si="42"/>
        <v>Standard</v>
      </c>
      <c r="I67" s="76">
        <f t="shared" si="7"/>
        <v>9.9999999999999982</v>
      </c>
      <c r="J67" s="60"/>
      <c r="K67" s="60"/>
      <c r="L67" s="60"/>
      <c r="M67" s="60"/>
      <c r="N67" s="60"/>
      <c r="O67" s="60"/>
      <c r="P67" s="60"/>
      <c r="Q67" s="60"/>
      <c r="R67" s="60"/>
    </row>
    <row r="68" spans="1:18" x14ac:dyDescent="0.35">
      <c r="A68" s="17"/>
      <c r="B68" s="70">
        <v>38</v>
      </c>
      <c r="C68" s="111" t="str">
        <f t="shared" si="3"/>
        <v>Ab1-Dig</v>
      </c>
      <c r="D68" s="112">
        <f t="shared" si="4"/>
        <v>1</v>
      </c>
      <c r="E68" s="111" t="str">
        <f t="shared" si="5"/>
        <v>Ab1-Biot</v>
      </c>
      <c r="F68" s="112">
        <f t="shared" si="4"/>
        <v>10</v>
      </c>
      <c r="G68" s="111" t="str">
        <f t="shared" ref="G68:H68" si="43">IF(G171=0,G$15,IF(G171=1,G$16,IF(G171=2,G$17,IF(G171=3,G$18,IF(G171=4,G$19,IF(G171=5,G$20,IF(G171=6,G$21,IF(G171=7,G$22,IF(G171=8,G$23,IF(G171=9,G$24,IF(G171=10,G$25,G$26)))))))))))</f>
        <v>1xRD</v>
      </c>
      <c r="H68" s="113" t="str">
        <f t="shared" si="43"/>
        <v>Standard</v>
      </c>
      <c r="I68" s="76">
        <f t="shared" si="7"/>
        <v>4.6415888336127775</v>
      </c>
      <c r="J68" s="60"/>
      <c r="K68" s="60"/>
      <c r="L68" s="60"/>
      <c r="M68" s="60"/>
      <c r="N68" s="60"/>
      <c r="O68" s="60"/>
      <c r="P68" s="60"/>
      <c r="Q68" s="120"/>
      <c r="R68" s="60"/>
    </row>
    <row r="69" spans="1:18" x14ac:dyDescent="0.35">
      <c r="A69" s="17"/>
      <c r="B69" s="70">
        <v>39</v>
      </c>
      <c r="C69" s="111" t="str">
        <f t="shared" si="3"/>
        <v>Ab1-Dig</v>
      </c>
      <c r="D69" s="112">
        <f t="shared" si="4"/>
        <v>1</v>
      </c>
      <c r="E69" s="111" t="str">
        <f t="shared" si="5"/>
        <v>Ab1-Biot</v>
      </c>
      <c r="F69" s="112">
        <f t="shared" si="4"/>
        <v>10</v>
      </c>
      <c r="G69" s="111" t="str">
        <f t="shared" ref="G69:H69" si="44">IF(G172=0,G$15,IF(G172=1,G$16,IF(G172=2,G$17,IF(G172=3,G$18,IF(G172=4,G$19,IF(G172=5,G$20,IF(G172=6,G$21,IF(G172=7,G$22,IF(G172=8,G$23,IF(G172=9,G$24,IF(G172=10,G$25,G$26)))))))))))</f>
        <v>1xRD</v>
      </c>
      <c r="H69" s="113" t="str">
        <f t="shared" si="44"/>
        <v>Standard</v>
      </c>
      <c r="I69" s="76">
        <f t="shared" si="7"/>
        <v>2.1544346900318829</v>
      </c>
      <c r="J69" s="135"/>
      <c r="K69" s="60"/>
      <c r="L69" s="60"/>
      <c r="M69" s="60"/>
      <c r="N69" s="60"/>
      <c r="O69" s="60"/>
      <c r="P69" s="60"/>
      <c r="Q69" s="60"/>
      <c r="R69" s="60"/>
    </row>
    <row r="70" spans="1:18" x14ac:dyDescent="0.35">
      <c r="A70" s="17"/>
      <c r="B70" s="70">
        <v>40</v>
      </c>
      <c r="C70" s="111" t="str">
        <f t="shared" si="3"/>
        <v>Ab1-Dig</v>
      </c>
      <c r="D70" s="112">
        <f t="shared" si="4"/>
        <v>1</v>
      </c>
      <c r="E70" s="111" t="str">
        <f t="shared" si="5"/>
        <v>Ab1-Biot</v>
      </c>
      <c r="F70" s="112">
        <f t="shared" si="4"/>
        <v>10</v>
      </c>
      <c r="G70" s="111" t="str">
        <f t="shared" ref="G70:H70" si="45">IF(G173=0,G$15,IF(G173=1,G$16,IF(G173=2,G$17,IF(G173=3,G$18,IF(G173=4,G$19,IF(G173=5,G$20,IF(G173=6,G$21,IF(G173=7,G$22,IF(G173=8,G$23,IF(G173=9,G$24,IF(G173=10,G$25,G$26)))))))))))</f>
        <v>1xRD</v>
      </c>
      <c r="H70" s="113" t="str">
        <f t="shared" si="45"/>
        <v>Standard</v>
      </c>
      <c r="I70" s="76">
        <f t="shared" si="7"/>
        <v>0.99999999999999956</v>
      </c>
      <c r="J70" s="119"/>
      <c r="K70" s="60"/>
      <c r="L70" s="60"/>
      <c r="M70" s="60"/>
      <c r="N70" s="60"/>
      <c r="O70" s="60"/>
      <c r="P70" s="60"/>
      <c r="Q70" s="60"/>
      <c r="R70" s="60"/>
    </row>
    <row r="71" spans="1:18" x14ac:dyDescent="0.35">
      <c r="A71" s="17"/>
      <c r="B71" s="70">
        <v>41</v>
      </c>
      <c r="C71" s="111" t="str">
        <f t="shared" si="3"/>
        <v>Ab1-Dig</v>
      </c>
      <c r="D71" s="112">
        <f t="shared" si="4"/>
        <v>1</v>
      </c>
      <c r="E71" s="111" t="str">
        <f t="shared" si="5"/>
        <v>Ab1-Biot</v>
      </c>
      <c r="F71" s="112">
        <f t="shared" si="4"/>
        <v>3.5</v>
      </c>
      <c r="G71" s="111" t="str">
        <f t="shared" ref="G71:H71" si="46">IF(G174=0,G$15,IF(G174=1,G$16,IF(G174=2,G$17,IF(G174=3,G$18,IF(G174=4,G$19,IF(G174=5,G$20,IF(G174=6,G$21,IF(G174=7,G$22,IF(G174=8,G$23,IF(G174=9,G$24,IF(G174=10,G$25,G$26)))))))))))</f>
        <v>1xRD</v>
      </c>
      <c r="H71" s="113" t="str">
        <f t="shared" si="46"/>
        <v>Standard</v>
      </c>
      <c r="I71" s="76">
        <f t="shared" si="7"/>
        <v>0</v>
      </c>
      <c r="J71" s="119"/>
      <c r="K71" s="60"/>
      <c r="L71" s="60"/>
      <c r="M71" s="60"/>
      <c r="N71" s="60"/>
      <c r="O71" s="60"/>
      <c r="P71" s="60"/>
      <c r="Q71" s="60"/>
      <c r="R71" s="60"/>
    </row>
    <row r="72" spans="1:18" x14ac:dyDescent="0.35">
      <c r="A72" s="17"/>
      <c r="B72" s="70">
        <v>42</v>
      </c>
      <c r="C72" s="111" t="str">
        <f t="shared" si="3"/>
        <v>Ab1-Dig</v>
      </c>
      <c r="D72" s="112">
        <f t="shared" si="4"/>
        <v>1</v>
      </c>
      <c r="E72" s="111" t="str">
        <f t="shared" si="5"/>
        <v>Ab1-Biot</v>
      </c>
      <c r="F72" s="112">
        <f t="shared" si="4"/>
        <v>3.5</v>
      </c>
      <c r="G72" s="111" t="str">
        <f t="shared" ref="G72:H72" si="47">IF(G175=0,G$15,IF(G175=1,G$16,IF(G175=2,G$17,IF(G175=3,G$18,IF(G175=4,G$19,IF(G175=5,G$20,IF(G175=6,G$21,IF(G175=7,G$22,IF(G175=8,G$23,IF(G175=9,G$24,IF(G175=10,G$25,G$26)))))))))))</f>
        <v>1xRD</v>
      </c>
      <c r="H72" s="113" t="str">
        <f t="shared" si="47"/>
        <v>Standard</v>
      </c>
      <c r="I72" s="76">
        <f t="shared" si="7"/>
        <v>100</v>
      </c>
      <c r="J72" s="121"/>
      <c r="K72" s="60"/>
      <c r="L72" s="60"/>
      <c r="M72" s="60"/>
      <c r="N72" s="60"/>
      <c r="O72" s="60"/>
      <c r="P72" s="60"/>
      <c r="Q72" s="60"/>
      <c r="R72" s="60"/>
    </row>
    <row r="73" spans="1:18" x14ac:dyDescent="0.35">
      <c r="A73" s="17"/>
      <c r="B73" s="70">
        <v>43</v>
      </c>
      <c r="C73" s="111" t="str">
        <f t="shared" si="3"/>
        <v>Ab1-Dig</v>
      </c>
      <c r="D73" s="112">
        <f t="shared" si="4"/>
        <v>1</v>
      </c>
      <c r="E73" s="111" t="str">
        <f t="shared" si="5"/>
        <v>Ab1-Biot</v>
      </c>
      <c r="F73" s="112">
        <f t="shared" si="4"/>
        <v>3.5</v>
      </c>
      <c r="G73" s="111" t="str">
        <f t="shared" ref="G73:H73" si="48">IF(G176=0,G$15,IF(G176=1,G$16,IF(G176=2,G$17,IF(G176=3,G$18,IF(G176=4,G$19,IF(G176=5,G$20,IF(G176=6,G$21,IF(G176=7,G$22,IF(G176=8,G$23,IF(G176=9,G$24,IF(G176=10,G$25,G$26)))))))))))</f>
        <v>1xRD</v>
      </c>
      <c r="H73" s="113" t="str">
        <f t="shared" si="48"/>
        <v>Standard</v>
      </c>
      <c r="I73" s="76">
        <f t="shared" si="7"/>
        <v>46.415888336127786</v>
      </c>
      <c r="J73" s="121"/>
      <c r="K73" s="60"/>
      <c r="L73" s="60"/>
      <c r="M73" s="60"/>
      <c r="N73" s="60"/>
      <c r="O73" s="60"/>
      <c r="P73" s="60"/>
      <c r="Q73" s="60"/>
      <c r="R73" s="60"/>
    </row>
    <row r="74" spans="1:18" x14ac:dyDescent="0.35">
      <c r="A74" s="17"/>
      <c r="B74" s="70">
        <v>44</v>
      </c>
      <c r="C74" s="111" t="str">
        <f t="shared" si="3"/>
        <v>Ab1-Dig</v>
      </c>
      <c r="D74" s="112">
        <f t="shared" si="4"/>
        <v>1</v>
      </c>
      <c r="E74" s="111" t="str">
        <f t="shared" si="5"/>
        <v>Ab1-Biot</v>
      </c>
      <c r="F74" s="112">
        <f t="shared" si="4"/>
        <v>3.5</v>
      </c>
      <c r="G74" s="111" t="str">
        <f t="shared" ref="G74:H74" si="49">IF(G177=0,G$15,IF(G177=1,G$16,IF(G177=2,G$17,IF(G177=3,G$18,IF(G177=4,G$19,IF(G177=5,G$20,IF(G177=6,G$21,IF(G177=7,G$22,IF(G177=8,G$23,IF(G177=9,G$24,IF(G177=10,G$25,G$26)))))))))))</f>
        <v>1xRD</v>
      </c>
      <c r="H74" s="113" t="str">
        <f t="shared" si="49"/>
        <v>Standard</v>
      </c>
      <c r="I74" s="76">
        <f t="shared" si="7"/>
        <v>21.544346900318835</v>
      </c>
      <c r="J74" s="60"/>
      <c r="K74" s="60"/>
      <c r="L74" s="60"/>
      <c r="M74" s="60"/>
      <c r="N74" s="60"/>
      <c r="O74" s="60"/>
      <c r="P74" s="60"/>
      <c r="Q74" s="60"/>
      <c r="R74" s="60"/>
    </row>
    <row r="75" spans="1:18" x14ac:dyDescent="0.35">
      <c r="A75" s="17"/>
      <c r="B75" s="70">
        <v>45</v>
      </c>
      <c r="C75" s="111" t="str">
        <f t="shared" si="3"/>
        <v>Ab1-Dig</v>
      </c>
      <c r="D75" s="112">
        <f t="shared" si="4"/>
        <v>1</v>
      </c>
      <c r="E75" s="111" t="str">
        <f t="shared" si="5"/>
        <v>Ab1-Biot</v>
      </c>
      <c r="F75" s="112">
        <f t="shared" si="4"/>
        <v>3.5</v>
      </c>
      <c r="G75" s="111" t="str">
        <f t="shared" ref="G75:H75" si="50">IF(G178=0,G$15,IF(G178=1,G$16,IF(G178=2,G$17,IF(G178=3,G$18,IF(G178=4,G$19,IF(G178=5,G$20,IF(G178=6,G$21,IF(G178=7,G$22,IF(G178=8,G$23,IF(G178=9,G$24,IF(G178=10,G$25,G$26)))))))))))</f>
        <v>1xRD</v>
      </c>
      <c r="H75" s="113" t="str">
        <f t="shared" si="50"/>
        <v>Standard</v>
      </c>
      <c r="I75" s="76">
        <f t="shared" si="7"/>
        <v>9.9999999999999982</v>
      </c>
      <c r="J75" s="60"/>
      <c r="K75" s="60"/>
      <c r="L75" s="60"/>
      <c r="M75" s="60"/>
      <c r="N75" s="60"/>
      <c r="O75" s="60"/>
      <c r="P75" s="60"/>
      <c r="Q75" s="60"/>
      <c r="R75" s="60"/>
    </row>
    <row r="76" spans="1:18" x14ac:dyDescent="0.35">
      <c r="A76" s="17"/>
      <c r="B76" s="70">
        <v>46</v>
      </c>
      <c r="C76" s="111" t="str">
        <f t="shared" si="3"/>
        <v>Ab1-Dig</v>
      </c>
      <c r="D76" s="112">
        <f t="shared" si="4"/>
        <v>1</v>
      </c>
      <c r="E76" s="111" t="str">
        <f t="shared" si="5"/>
        <v>Ab1-Biot</v>
      </c>
      <c r="F76" s="112">
        <f t="shared" si="4"/>
        <v>3.5</v>
      </c>
      <c r="G76" s="111" t="str">
        <f t="shared" ref="G76:H76" si="51">IF(G179=0,G$15,IF(G179=1,G$16,IF(G179=2,G$17,IF(G179=3,G$18,IF(G179=4,G$19,IF(G179=5,G$20,IF(G179=6,G$21,IF(G179=7,G$22,IF(G179=8,G$23,IF(G179=9,G$24,IF(G179=10,G$25,G$26)))))))))))</f>
        <v>1xRD</v>
      </c>
      <c r="H76" s="113" t="str">
        <f t="shared" si="51"/>
        <v>Standard</v>
      </c>
      <c r="I76" s="76">
        <f t="shared" si="7"/>
        <v>4.6415888336127775</v>
      </c>
      <c r="J76" s="135"/>
      <c r="K76" s="60"/>
      <c r="L76" s="60"/>
      <c r="M76" s="60"/>
      <c r="N76" s="60"/>
      <c r="O76" s="60"/>
      <c r="P76" s="60"/>
      <c r="Q76" s="60"/>
      <c r="R76" s="60"/>
    </row>
    <row r="77" spans="1:18" x14ac:dyDescent="0.35">
      <c r="A77" s="17"/>
      <c r="B77" s="70">
        <v>47</v>
      </c>
      <c r="C77" s="111" t="str">
        <f t="shared" si="3"/>
        <v>Ab1-Dig</v>
      </c>
      <c r="D77" s="112">
        <f t="shared" si="4"/>
        <v>1</v>
      </c>
      <c r="E77" s="111" t="str">
        <f t="shared" si="5"/>
        <v>Ab1-Biot</v>
      </c>
      <c r="F77" s="112">
        <f t="shared" si="4"/>
        <v>3.5</v>
      </c>
      <c r="G77" s="111" t="str">
        <f t="shared" ref="G77:H77" si="52">IF(G180=0,G$15,IF(G180=1,G$16,IF(G180=2,G$17,IF(G180=3,G$18,IF(G180=4,G$19,IF(G180=5,G$20,IF(G180=6,G$21,IF(G180=7,G$22,IF(G180=8,G$23,IF(G180=9,G$24,IF(G180=10,G$25,G$26)))))))))))</f>
        <v>1xRD</v>
      </c>
      <c r="H77" s="113" t="str">
        <f t="shared" si="52"/>
        <v>Standard</v>
      </c>
      <c r="I77" s="76">
        <f t="shared" si="7"/>
        <v>2.1544346900318829</v>
      </c>
      <c r="J77" s="119"/>
      <c r="K77" s="60"/>
      <c r="L77" s="60"/>
      <c r="M77" s="60"/>
      <c r="N77" s="60"/>
      <c r="O77" s="60"/>
      <c r="P77" s="60"/>
      <c r="Q77" s="60"/>
      <c r="R77" s="60"/>
    </row>
    <row r="78" spans="1:18" ht="24" thickBot="1" x14ac:dyDescent="0.4">
      <c r="A78" s="17"/>
      <c r="B78" s="70">
        <v>48</v>
      </c>
      <c r="C78" s="111" t="str">
        <f t="shared" si="3"/>
        <v>Ab1-Dig</v>
      </c>
      <c r="D78" s="112">
        <f t="shared" si="4"/>
        <v>1</v>
      </c>
      <c r="E78" s="111" t="str">
        <f t="shared" si="5"/>
        <v>Ab1-Biot</v>
      </c>
      <c r="F78" s="112">
        <f t="shared" si="4"/>
        <v>3.5</v>
      </c>
      <c r="G78" s="114" t="str">
        <f t="shared" ref="G78:H78" si="53">IF(G181=0,G$15,IF(G181=1,G$16,IF(G181=2,G$17,IF(G181=3,G$18,IF(G181=4,G$19,IF(G181=5,G$20,IF(G181=6,G$21,IF(G181=7,G$22,IF(G181=8,G$23,IF(G181=9,G$24,IF(G181=10,G$25,G$26)))))))))))</f>
        <v>1xRD</v>
      </c>
      <c r="H78" s="115" t="str">
        <f t="shared" si="53"/>
        <v>Standard</v>
      </c>
      <c r="I78" s="77">
        <f t="shared" si="7"/>
        <v>0.99999999999999956</v>
      </c>
      <c r="J78" s="119"/>
      <c r="K78" s="60"/>
      <c r="L78" s="60"/>
      <c r="M78" s="60"/>
      <c r="N78" s="60"/>
      <c r="O78" s="60"/>
      <c r="P78" s="60"/>
      <c r="Q78" s="60"/>
      <c r="R78" s="60"/>
    </row>
    <row r="79" spans="1:18" x14ac:dyDescent="0.35">
      <c r="A79" s="17"/>
      <c r="B79" s="17"/>
      <c r="C79" s="17"/>
      <c r="D79" s="17"/>
      <c r="E79" s="17"/>
      <c r="F79" s="23"/>
      <c r="G79" s="23"/>
      <c r="H79" s="23"/>
      <c r="I79" s="24"/>
      <c r="J79" s="121"/>
      <c r="K79" s="60"/>
      <c r="L79" s="60"/>
      <c r="M79" s="60"/>
      <c r="N79" s="60"/>
      <c r="O79" s="60"/>
      <c r="P79" s="60"/>
      <c r="Q79" s="60"/>
      <c r="R79" s="60"/>
    </row>
    <row r="80" spans="1:18" ht="28.5" x14ac:dyDescent="0.35">
      <c r="A80" s="17"/>
      <c r="B80" s="17"/>
      <c r="C80" s="17"/>
      <c r="D80" s="66" t="s">
        <v>27</v>
      </c>
      <c r="E80" s="17"/>
      <c r="F80" s="66" t="s">
        <v>26</v>
      </c>
      <c r="G80" s="23"/>
      <c r="H80" s="23"/>
      <c r="I80" s="24"/>
      <c r="J80" s="121"/>
      <c r="K80" s="60"/>
      <c r="L80" s="60"/>
      <c r="M80" s="60"/>
      <c r="N80" s="60"/>
      <c r="O80" s="60"/>
      <c r="P80" s="60"/>
      <c r="Q80" s="60"/>
      <c r="R80" s="60"/>
    </row>
    <row r="81" spans="1:43" ht="37.5" customHeight="1" x14ac:dyDescent="0.45">
      <c r="A81" s="17"/>
      <c r="B81" s="17"/>
      <c r="C81" s="17"/>
      <c r="D81" s="213" t="str" cm="1">
        <f t="array" ref="D81">ROUND(SUM(D31:D78*0.05)/C6,2) &amp; " µg"</f>
        <v>11.33 µg</v>
      </c>
      <c r="E81" s="65"/>
      <c r="F81" s="213" t="str" cm="1">
        <f t="array" ref="F81">IF(H2="No",SUM(F31:F78*0.05)/E6 &amp;" µg",SUM(F31:F78*0.05)/C6 &amp;" µg")</f>
        <v>16.2 µg</v>
      </c>
      <c r="G81" s="23"/>
      <c r="H81" s="23"/>
      <c r="I81" s="24"/>
      <c r="J81" s="121"/>
      <c r="K81" s="60"/>
      <c r="L81" s="60"/>
      <c r="M81" s="60"/>
      <c r="N81" s="60"/>
      <c r="O81" s="60"/>
      <c r="P81" s="60"/>
      <c r="Q81" s="60"/>
      <c r="R81" s="60"/>
    </row>
    <row r="82" spans="1:43" ht="89.25" customHeight="1" x14ac:dyDescent="0.4">
      <c r="A82" s="17"/>
      <c r="B82" s="17"/>
      <c r="C82" s="17"/>
      <c r="D82" s="340" t="s">
        <v>131</v>
      </c>
      <c r="E82" s="341"/>
      <c r="F82" s="342"/>
      <c r="G82" s="23"/>
      <c r="H82" s="23"/>
      <c r="I82" s="24"/>
      <c r="J82" s="121"/>
      <c r="K82" s="60"/>
      <c r="L82" s="60"/>
      <c r="M82" s="60"/>
      <c r="N82" s="60"/>
      <c r="O82" s="60"/>
      <c r="P82" s="60"/>
      <c r="Q82" s="60"/>
      <c r="R82" s="60"/>
    </row>
    <row r="83" spans="1:43" x14ac:dyDescent="0.35">
      <c r="A83" s="17"/>
      <c r="B83" s="17"/>
      <c r="C83" s="17"/>
      <c r="D83" s="17"/>
      <c r="E83" s="17"/>
      <c r="F83" s="17"/>
      <c r="G83" s="17"/>
      <c r="H83" s="17"/>
      <c r="I83" s="24"/>
      <c r="J83" s="121"/>
      <c r="K83" s="60"/>
      <c r="L83" s="60"/>
      <c r="M83" s="60"/>
      <c r="N83" s="60"/>
      <c r="O83" s="60"/>
      <c r="P83" s="60"/>
      <c r="Q83" s="60"/>
      <c r="R83" s="60"/>
    </row>
    <row r="84" spans="1:43" ht="24" thickBot="1" x14ac:dyDescent="0.4">
      <c r="A84" s="17"/>
      <c r="B84" s="17"/>
      <c r="C84" s="17"/>
      <c r="D84" s="17"/>
      <c r="E84" s="17"/>
      <c r="F84" s="17"/>
      <c r="G84" s="17"/>
      <c r="H84" s="17"/>
      <c r="I84" s="24"/>
      <c r="J84" s="121"/>
      <c r="K84" s="60"/>
      <c r="L84" s="60"/>
      <c r="M84" s="60"/>
      <c r="N84" s="60"/>
      <c r="O84" s="60"/>
      <c r="P84" s="60"/>
      <c r="Q84" s="60"/>
      <c r="R84" s="60"/>
    </row>
    <row r="85" spans="1:43" ht="191.45" customHeight="1" thickBot="1" x14ac:dyDescent="0.4">
      <c r="A85" s="17"/>
      <c r="B85" s="17"/>
      <c r="C85" s="336" t="s">
        <v>17</v>
      </c>
      <c r="D85" s="337"/>
      <c r="E85" s="337"/>
      <c r="F85" s="338" t="s">
        <v>18</v>
      </c>
      <c r="G85" s="338"/>
      <c r="H85" s="338"/>
      <c r="I85" s="339"/>
      <c r="J85" s="60"/>
      <c r="K85" s="60"/>
      <c r="L85" s="60"/>
      <c r="M85" s="60"/>
      <c r="N85" s="60"/>
      <c r="O85" s="60"/>
      <c r="P85" s="60"/>
      <c r="Q85" s="60"/>
      <c r="R85" s="60"/>
      <c r="S85" s="60"/>
      <c r="T85" s="60"/>
      <c r="U85" s="60"/>
      <c r="V85" s="60"/>
      <c r="W85" s="136"/>
      <c r="X85" s="136"/>
      <c r="Y85" s="136"/>
      <c r="Z85" s="136"/>
      <c r="AA85" s="136"/>
      <c r="AB85" s="136"/>
      <c r="AC85" s="136"/>
      <c r="AD85" s="60"/>
      <c r="AE85" s="60"/>
      <c r="AF85" s="60"/>
      <c r="AG85" s="60"/>
      <c r="AH85" s="60"/>
      <c r="AI85" s="60"/>
      <c r="AJ85" s="60"/>
      <c r="AK85" s="60"/>
      <c r="AL85" s="60"/>
      <c r="AM85" s="60"/>
      <c r="AN85" s="60"/>
      <c r="AO85" s="60"/>
      <c r="AP85" s="17"/>
      <c r="AQ85" s="17"/>
    </row>
    <row r="86" spans="1:43" s="51" customFormat="1" x14ac:dyDescent="0.35">
      <c r="A86" s="39"/>
      <c r="B86" s="39"/>
      <c r="C86" s="39"/>
      <c r="D86" s="39"/>
      <c r="E86" s="39"/>
      <c r="F86" s="39"/>
      <c r="G86" s="39"/>
      <c r="H86" s="39"/>
      <c r="I86" s="208"/>
      <c r="J86" s="209"/>
      <c r="K86" s="39"/>
      <c r="L86" s="39"/>
      <c r="M86" s="39"/>
      <c r="N86" s="39"/>
      <c r="O86" s="39"/>
      <c r="P86" s="39"/>
      <c r="Q86" s="39"/>
      <c r="R86" s="39"/>
      <c r="W86" s="142"/>
      <c r="X86" s="142"/>
      <c r="Y86" s="142"/>
      <c r="Z86" s="142"/>
      <c r="AA86" s="142"/>
      <c r="AB86" s="142"/>
      <c r="AC86" s="142"/>
    </row>
    <row r="87" spans="1:43" s="51" customFormat="1" x14ac:dyDescent="0.35">
      <c r="A87" s="39"/>
      <c r="B87" s="39"/>
      <c r="C87" s="39"/>
      <c r="D87" s="39"/>
      <c r="E87" s="39"/>
      <c r="F87" s="39"/>
      <c r="G87" s="39"/>
      <c r="H87" s="39"/>
      <c r="I87" s="208"/>
      <c r="J87" s="209"/>
      <c r="K87" s="39"/>
      <c r="L87" s="39"/>
      <c r="M87" s="39"/>
      <c r="N87" s="39"/>
      <c r="O87" s="39"/>
      <c r="P87" s="39"/>
      <c r="Q87" s="39"/>
      <c r="R87" s="39"/>
      <c r="W87" s="142"/>
      <c r="X87" s="142"/>
      <c r="Y87" s="142"/>
      <c r="Z87" s="142"/>
      <c r="AA87" s="142"/>
      <c r="AB87" s="142"/>
      <c r="AC87" s="142"/>
    </row>
    <row r="88" spans="1:43" s="51" customFormat="1" x14ac:dyDescent="0.35">
      <c r="A88" s="39"/>
      <c r="B88" s="39"/>
      <c r="C88" s="39"/>
      <c r="D88" s="39"/>
      <c r="E88" s="39"/>
      <c r="F88" s="39"/>
      <c r="G88" s="39"/>
      <c r="H88" s="39"/>
      <c r="I88" s="208"/>
      <c r="J88" s="209"/>
      <c r="K88" s="39"/>
      <c r="L88" s="39"/>
      <c r="M88" s="39"/>
      <c r="N88" s="39"/>
      <c r="O88" s="39"/>
      <c r="P88" s="39"/>
      <c r="Q88" s="39"/>
      <c r="R88" s="39"/>
      <c r="W88" s="142"/>
      <c r="X88" s="142"/>
      <c r="Y88" s="142"/>
      <c r="Z88" s="142"/>
      <c r="AA88" s="142"/>
      <c r="AB88" s="142"/>
      <c r="AC88" s="142"/>
    </row>
    <row r="89" spans="1:43" s="51" customFormat="1" x14ac:dyDescent="0.35">
      <c r="A89" s="39"/>
      <c r="B89" s="39"/>
      <c r="C89" s="39"/>
      <c r="D89" s="39"/>
      <c r="E89" s="39"/>
      <c r="F89" s="39"/>
      <c r="G89" s="39"/>
      <c r="H89" s="39"/>
      <c r="I89" s="208"/>
      <c r="J89" s="209"/>
      <c r="K89" s="39"/>
      <c r="L89" s="39"/>
      <c r="M89" s="39"/>
      <c r="N89" s="39"/>
      <c r="O89" s="39"/>
      <c r="P89" s="39"/>
      <c r="Q89" s="39"/>
      <c r="R89" s="39"/>
      <c r="W89" s="142"/>
      <c r="X89" s="142"/>
      <c r="Y89" s="142"/>
      <c r="Z89" s="142"/>
      <c r="AA89" s="142"/>
      <c r="AB89" s="142"/>
      <c r="AC89" s="142"/>
    </row>
    <row r="90" spans="1:43" s="51" customFormat="1" x14ac:dyDescent="0.35">
      <c r="A90" s="39"/>
      <c r="B90" s="39"/>
      <c r="C90" s="39"/>
      <c r="D90" s="39"/>
      <c r="E90" s="39"/>
      <c r="F90" s="39"/>
      <c r="G90" s="39"/>
      <c r="H90" s="39"/>
      <c r="I90" s="208"/>
      <c r="J90" s="209"/>
      <c r="K90" s="39"/>
      <c r="L90" s="39"/>
      <c r="M90" s="39"/>
      <c r="N90" s="39"/>
      <c r="O90" s="39"/>
      <c r="P90" s="39"/>
      <c r="Q90" s="39"/>
      <c r="R90" s="39"/>
      <c r="W90" s="142"/>
      <c r="X90" s="142"/>
      <c r="Y90" s="142"/>
      <c r="Z90" s="142"/>
      <c r="AA90" s="142"/>
      <c r="AB90" s="142"/>
      <c r="AC90" s="142"/>
    </row>
    <row r="91" spans="1:43" s="51" customFormat="1" hidden="1" x14ac:dyDescent="0.35">
      <c r="A91" s="39"/>
      <c r="B91" s="39"/>
      <c r="C91" s="39"/>
      <c r="D91" s="39"/>
      <c r="E91" s="39"/>
      <c r="F91" s="210"/>
      <c r="G91" s="210"/>
      <c r="H91" s="210"/>
      <c r="I91" s="208"/>
      <c r="J91" s="209"/>
      <c r="K91" s="39"/>
      <c r="L91" s="39"/>
      <c r="M91" s="39"/>
      <c r="N91" s="39"/>
      <c r="O91" s="39"/>
      <c r="P91" s="39"/>
      <c r="Q91" s="39"/>
      <c r="R91" s="39"/>
      <c r="W91" s="142"/>
      <c r="X91" s="142"/>
      <c r="Y91" s="142"/>
      <c r="Z91" s="142"/>
      <c r="AA91" s="142"/>
      <c r="AB91" s="142"/>
      <c r="AC91" s="142"/>
    </row>
    <row r="92" spans="1:43" s="51" customFormat="1" hidden="1" x14ac:dyDescent="0.35">
      <c r="A92" s="39"/>
      <c r="B92" s="39"/>
      <c r="D92" s="39"/>
      <c r="E92" s="39"/>
      <c r="F92" s="210"/>
      <c r="G92" s="210"/>
      <c r="H92" s="210"/>
      <c r="I92" s="208"/>
      <c r="J92" s="209"/>
      <c r="K92" s="39"/>
      <c r="L92" s="39"/>
      <c r="M92" s="39"/>
      <c r="N92" s="39"/>
      <c r="O92" s="39"/>
      <c r="P92" s="39"/>
      <c r="Q92" s="39"/>
      <c r="R92" s="39"/>
      <c r="W92" s="142"/>
      <c r="X92" s="142"/>
      <c r="Y92" s="142"/>
      <c r="Z92" s="142"/>
      <c r="AA92" s="142"/>
      <c r="AB92" s="142"/>
      <c r="AC92" s="142"/>
    </row>
    <row r="93" spans="1:43" s="51" customFormat="1" hidden="1" x14ac:dyDescent="0.35">
      <c r="A93" s="39"/>
      <c r="B93" s="39"/>
      <c r="D93" s="39"/>
      <c r="E93" s="39"/>
      <c r="F93" s="210"/>
      <c r="G93" s="210"/>
      <c r="H93" s="210"/>
      <c r="I93" s="208"/>
      <c r="J93" s="209"/>
      <c r="K93" s="39"/>
      <c r="L93" s="39"/>
      <c r="M93" s="39"/>
      <c r="N93" s="39"/>
      <c r="O93" s="39"/>
      <c r="P93" s="39"/>
      <c r="Q93" s="39"/>
      <c r="R93" s="39"/>
      <c r="W93" s="142"/>
      <c r="X93" s="142"/>
      <c r="Y93" s="142"/>
      <c r="Z93" s="142"/>
      <c r="AA93" s="142"/>
      <c r="AB93" s="142"/>
      <c r="AC93" s="142"/>
    </row>
    <row r="94" spans="1:43" s="51" customFormat="1" hidden="1" x14ac:dyDescent="0.35">
      <c r="A94" s="39"/>
      <c r="B94" s="39"/>
      <c r="C94" s="39" t="str">
        <f>C15&amp;"-Dig"</f>
        <v>Ab1-Dig</v>
      </c>
      <c r="D94" s="39">
        <f>D15</f>
        <v>10</v>
      </c>
      <c r="E94" s="39" t="str">
        <f t="shared" ref="E94:E99" si="54">IF($H$2="Yes", A15, E15)&amp;"-Biot"</f>
        <v>Ab1-Biot</v>
      </c>
      <c r="F94" s="39">
        <f>F15</f>
        <v>10</v>
      </c>
      <c r="G94" s="39" t="str">
        <f t="shared" ref="G94:H94" si="55">G15</f>
        <v>1xRD</v>
      </c>
      <c r="H94" s="39" t="str">
        <f t="shared" si="55"/>
        <v>Standard</v>
      </c>
      <c r="I94" s="39"/>
      <c r="J94" s="209"/>
      <c r="K94" s="39"/>
      <c r="L94" s="39"/>
      <c r="M94" s="39"/>
      <c r="N94" s="39"/>
      <c r="O94" s="39"/>
      <c r="P94" s="39"/>
      <c r="Q94" s="39"/>
      <c r="R94" s="39"/>
      <c r="W94" s="142"/>
      <c r="X94" s="142"/>
      <c r="Y94" s="142"/>
      <c r="Z94" s="142"/>
      <c r="AA94" s="142"/>
      <c r="AB94" s="142"/>
      <c r="AC94" s="142"/>
    </row>
    <row r="95" spans="1:43" s="51" customFormat="1" hidden="1" x14ac:dyDescent="0.35">
      <c r="A95" s="39"/>
      <c r="B95" s="39"/>
      <c r="C95" s="39" t="str">
        <f t="shared" ref="C95:C99" si="56">C16&amp;"-Dig"</f>
        <v>Ab2-Dig</v>
      </c>
      <c r="D95" s="39">
        <f t="shared" ref="D95:F99" si="57">D16</f>
        <v>3.1622776601683795</v>
      </c>
      <c r="E95" s="39" t="str">
        <f t="shared" si="54"/>
        <v>Ab2-Biot</v>
      </c>
      <c r="F95" s="39">
        <f t="shared" si="57"/>
        <v>3.5</v>
      </c>
      <c r="G95" s="39" t="str">
        <f t="shared" ref="G95:H95" si="58">G16</f>
        <v>PBS</v>
      </c>
      <c r="H95" s="39" t="str">
        <f t="shared" si="58"/>
        <v>Control</v>
      </c>
      <c r="I95" s="208"/>
      <c r="J95" s="209"/>
      <c r="K95" s="39"/>
      <c r="L95" s="39"/>
      <c r="M95" s="39"/>
      <c r="N95" s="39"/>
      <c r="O95" s="39"/>
      <c r="P95" s="39"/>
      <c r="Q95" s="39"/>
      <c r="R95" s="39"/>
      <c r="W95" s="142"/>
      <c r="X95" s="142"/>
      <c r="Y95" s="142"/>
      <c r="Z95" s="142"/>
      <c r="AA95" s="142"/>
      <c r="AB95" s="142"/>
      <c r="AC95" s="142"/>
    </row>
    <row r="96" spans="1:43" s="51" customFormat="1" hidden="1" x14ac:dyDescent="0.35">
      <c r="A96" s="39"/>
      <c r="B96" s="39"/>
      <c r="C96" s="39" t="str">
        <f t="shared" si="56"/>
        <v>Ab3-Dig</v>
      </c>
      <c r="D96" s="39">
        <f t="shared" si="57"/>
        <v>1</v>
      </c>
      <c r="E96" s="39" t="str">
        <f t="shared" si="54"/>
        <v>Ab3-Biot</v>
      </c>
      <c r="F96" s="39">
        <f t="shared" si="57"/>
        <v>0</v>
      </c>
      <c r="G96" s="39" t="str">
        <f t="shared" ref="G96:H96" si="59">G17</f>
        <v>SD13</v>
      </c>
      <c r="H96" s="39" t="str">
        <f t="shared" si="59"/>
        <v>bla</v>
      </c>
      <c r="I96" s="208"/>
      <c r="J96" s="209"/>
      <c r="K96" s="39"/>
      <c r="L96" s="39"/>
      <c r="M96" s="39"/>
      <c r="N96" s="39"/>
      <c r="O96" s="39"/>
      <c r="P96" s="39"/>
      <c r="Q96" s="39"/>
      <c r="R96" s="39"/>
      <c r="W96" s="142"/>
      <c r="X96" s="142"/>
      <c r="Y96" s="142"/>
      <c r="Z96" s="142"/>
      <c r="AA96" s="142"/>
      <c r="AB96" s="142"/>
      <c r="AC96" s="142"/>
    </row>
    <row r="97" spans="1:29" s="51" customFormat="1" hidden="1" x14ac:dyDescent="0.35">
      <c r="A97" s="39"/>
      <c r="B97" s="39"/>
      <c r="C97" s="39" t="str">
        <f t="shared" si="56"/>
        <v>Ab4-Dig</v>
      </c>
      <c r="D97" s="39">
        <f t="shared" si="57"/>
        <v>0</v>
      </c>
      <c r="E97" s="39" t="str">
        <f t="shared" si="54"/>
        <v>Ab4-Biot</v>
      </c>
      <c r="F97" s="39">
        <f t="shared" si="57"/>
        <v>0</v>
      </c>
      <c r="G97" s="39" t="str">
        <f t="shared" ref="G97:H97" si="60">G18</f>
        <v>SD06</v>
      </c>
      <c r="H97" s="39" t="str">
        <f t="shared" si="60"/>
        <v>truc</v>
      </c>
      <c r="I97" s="208"/>
      <c r="J97" s="209"/>
      <c r="K97" s="39"/>
      <c r="L97" s="39"/>
      <c r="M97" s="39"/>
      <c r="N97" s="39"/>
      <c r="O97" s="39"/>
      <c r="P97" s="39"/>
      <c r="Q97" s="39"/>
      <c r="R97" s="39"/>
      <c r="W97" s="142"/>
      <c r="X97" s="142"/>
      <c r="Y97" s="142"/>
      <c r="Z97" s="142"/>
      <c r="AA97" s="142"/>
      <c r="AB97" s="142"/>
      <c r="AC97" s="142"/>
    </row>
    <row r="98" spans="1:29" s="51" customFormat="1" hidden="1" x14ac:dyDescent="0.35">
      <c r="A98" s="39"/>
      <c r="B98" s="39"/>
      <c r="C98" s="39" t="str">
        <f t="shared" si="56"/>
        <v>Ab5-Dig</v>
      </c>
      <c r="D98" s="39">
        <f t="shared" si="57"/>
        <v>0</v>
      </c>
      <c r="E98" s="39" t="str">
        <f t="shared" si="54"/>
        <v>Ab5-Biot</v>
      </c>
      <c r="F98" s="39">
        <f t="shared" si="57"/>
        <v>0</v>
      </c>
      <c r="G98" s="39" t="str">
        <f t="shared" ref="G98:H98" si="61">G19</f>
        <v>SD19</v>
      </c>
      <c r="H98" s="39">
        <f t="shared" si="61"/>
        <v>0</v>
      </c>
      <c r="I98" s="208"/>
      <c r="J98" s="209"/>
      <c r="K98" s="39"/>
      <c r="L98" s="39"/>
      <c r="M98" s="39"/>
      <c r="N98" s="39"/>
      <c r="O98" s="39"/>
      <c r="P98" s="39"/>
      <c r="Q98" s="39"/>
      <c r="R98" s="39"/>
      <c r="W98" s="142"/>
      <c r="X98" s="142"/>
      <c r="Y98" s="142"/>
      <c r="Z98" s="142"/>
      <c r="AA98" s="142"/>
      <c r="AB98" s="142"/>
      <c r="AC98" s="142"/>
    </row>
    <row r="99" spans="1:29" s="51" customFormat="1" hidden="1" x14ac:dyDescent="0.35">
      <c r="A99" s="39"/>
      <c r="B99" s="39"/>
      <c r="C99" s="39" t="str">
        <f t="shared" si="56"/>
        <v>Ab6-Dig</v>
      </c>
      <c r="D99" s="39">
        <f t="shared" si="57"/>
        <v>0</v>
      </c>
      <c r="E99" s="39" t="str">
        <f t="shared" si="54"/>
        <v>Ab6-Biot</v>
      </c>
      <c r="F99" s="39">
        <f t="shared" si="57"/>
        <v>0</v>
      </c>
      <c r="G99" s="39" t="str">
        <f t="shared" ref="G99:H99" si="62">G20</f>
        <v>SD42</v>
      </c>
      <c r="H99" s="39">
        <f t="shared" si="62"/>
        <v>0</v>
      </c>
      <c r="I99" s="208"/>
      <c r="J99" s="209"/>
      <c r="K99" s="39"/>
      <c r="L99" s="39"/>
      <c r="M99" s="39"/>
      <c r="N99" s="39"/>
      <c r="O99" s="39"/>
      <c r="P99" s="39"/>
      <c r="Q99" s="39"/>
      <c r="R99" s="39"/>
      <c r="W99" s="142"/>
      <c r="X99" s="142"/>
      <c r="Y99" s="142"/>
      <c r="Z99" s="142"/>
      <c r="AA99" s="142"/>
      <c r="AB99" s="142"/>
      <c r="AC99" s="142"/>
    </row>
    <row r="100" spans="1:29" s="51" customFormat="1" hidden="1" x14ac:dyDescent="0.35">
      <c r="A100" s="39"/>
      <c r="B100" s="39"/>
      <c r="C100" s="39"/>
      <c r="D100" s="39"/>
      <c r="E100" s="39"/>
      <c r="F100" s="210"/>
      <c r="G100" s="210"/>
      <c r="H100" s="210"/>
      <c r="I100" s="208"/>
      <c r="J100" s="209"/>
      <c r="K100" s="39"/>
      <c r="L100" s="39"/>
      <c r="M100" s="39"/>
      <c r="N100" s="39"/>
      <c r="O100" s="39"/>
      <c r="P100" s="39"/>
      <c r="Q100" s="39"/>
      <c r="R100" s="39"/>
      <c r="W100" s="142"/>
      <c r="X100" s="142"/>
      <c r="Y100" s="142"/>
      <c r="Z100" s="142"/>
      <c r="AA100" s="142"/>
      <c r="AB100" s="142"/>
      <c r="AC100" s="142"/>
    </row>
    <row r="101" spans="1:29" s="51" customFormat="1" hidden="1" x14ac:dyDescent="0.35">
      <c r="A101" s="39"/>
      <c r="B101" s="39"/>
      <c r="C101" s="39"/>
      <c r="D101" s="39"/>
      <c r="E101" s="39"/>
      <c r="F101" s="210"/>
      <c r="G101" s="210"/>
      <c r="H101" s="210"/>
      <c r="I101" s="208"/>
      <c r="J101" s="209"/>
      <c r="K101" s="39"/>
      <c r="L101" s="39"/>
      <c r="M101" s="39"/>
      <c r="N101" s="39"/>
      <c r="O101" s="39"/>
      <c r="P101" s="39"/>
      <c r="Q101" s="39"/>
      <c r="R101" s="39"/>
      <c r="W101" s="142"/>
      <c r="X101" s="142"/>
      <c r="Y101" s="142"/>
      <c r="Z101" s="142"/>
      <c r="AA101" s="142"/>
      <c r="AB101" s="142"/>
      <c r="AC101" s="142"/>
    </row>
    <row r="102" spans="1:29" s="51" customFormat="1" hidden="1" x14ac:dyDescent="0.35">
      <c r="A102" s="39"/>
      <c r="B102" s="39"/>
      <c r="C102" s="39"/>
      <c r="D102" s="39"/>
      <c r="E102" s="39"/>
      <c r="F102" s="210"/>
      <c r="G102" s="210"/>
      <c r="H102" s="210"/>
      <c r="I102" s="208"/>
      <c r="J102" s="209"/>
      <c r="K102" s="39"/>
      <c r="L102" s="39"/>
      <c r="M102" s="39"/>
      <c r="N102" s="39"/>
      <c r="O102" s="39"/>
      <c r="P102" s="39"/>
      <c r="Q102" s="39"/>
      <c r="R102" s="39"/>
      <c r="W102" s="142"/>
      <c r="X102" s="142"/>
      <c r="Y102" s="142"/>
      <c r="Z102" s="142"/>
      <c r="AA102" s="142"/>
      <c r="AB102" s="142"/>
      <c r="AC102" s="142"/>
    </row>
    <row r="103" spans="1:29" s="51" customFormat="1" x14ac:dyDescent="0.35">
      <c r="A103" s="39"/>
      <c r="B103" s="39"/>
      <c r="C103" s="39"/>
      <c r="D103" s="39"/>
      <c r="E103" s="39"/>
      <c r="F103" s="210"/>
      <c r="G103" s="210"/>
      <c r="H103" s="210"/>
      <c r="I103" s="208"/>
      <c r="J103" s="209"/>
      <c r="K103" s="39"/>
      <c r="L103" s="39"/>
      <c r="M103" s="39"/>
      <c r="N103" s="39"/>
      <c r="O103" s="39"/>
      <c r="P103" s="39"/>
      <c r="Q103" s="39"/>
      <c r="R103" s="39"/>
      <c r="W103" s="142"/>
      <c r="X103" s="142"/>
      <c r="Y103" s="142"/>
      <c r="Z103" s="142"/>
      <c r="AA103" s="142"/>
      <c r="AB103" s="142"/>
      <c r="AC103" s="142"/>
    </row>
    <row r="104" spans="1:29" s="51" customFormat="1" x14ac:dyDescent="0.35">
      <c r="A104" s="39"/>
      <c r="B104" s="39"/>
      <c r="C104" s="39"/>
      <c r="D104" s="39"/>
      <c r="E104" s="39"/>
      <c r="F104" s="210"/>
      <c r="G104" s="210"/>
      <c r="H104" s="210"/>
      <c r="I104" s="208"/>
      <c r="J104" s="209"/>
      <c r="K104" s="39"/>
      <c r="L104" s="39"/>
      <c r="M104" s="39"/>
      <c r="N104" s="39"/>
      <c r="O104" s="39"/>
      <c r="P104" s="39"/>
      <c r="Q104" s="39"/>
      <c r="R104" s="39"/>
      <c r="W104" s="142"/>
      <c r="X104" s="142"/>
      <c r="Y104" s="142"/>
      <c r="Z104" s="142"/>
      <c r="AA104" s="142"/>
      <c r="AB104" s="142"/>
      <c r="AC104" s="142"/>
    </row>
    <row r="105" spans="1:29" s="51" customFormat="1" x14ac:dyDescent="0.35">
      <c r="A105" s="39"/>
      <c r="B105" s="39"/>
      <c r="C105" s="39"/>
      <c r="D105" s="39"/>
      <c r="E105" s="39"/>
      <c r="F105" s="210"/>
      <c r="G105" s="210"/>
      <c r="H105" s="210"/>
      <c r="I105" s="208"/>
      <c r="J105" s="209"/>
      <c r="K105" s="39"/>
      <c r="L105" s="39"/>
      <c r="M105" s="39"/>
      <c r="N105" s="39"/>
      <c r="O105" s="39"/>
      <c r="P105" s="39"/>
      <c r="Q105" s="39"/>
      <c r="R105" s="39"/>
      <c r="W105" s="142"/>
      <c r="X105" s="142"/>
      <c r="Y105" s="142"/>
      <c r="Z105" s="142"/>
      <c r="AA105" s="142"/>
      <c r="AB105" s="142"/>
      <c r="AC105" s="142"/>
    </row>
    <row r="106" spans="1:29" s="51" customFormat="1" x14ac:dyDescent="0.35">
      <c r="A106" s="39"/>
      <c r="B106" s="39"/>
      <c r="C106" s="39"/>
      <c r="D106" s="39"/>
      <c r="E106" s="39"/>
      <c r="F106" s="210"/>
      <c r="G106" s="210"/>
      <c r="H106" s="210"/>
      <c r="I106" s="208"/>
      <c r="J106" s="209"/>
      <c r="K106" s="39"/>
      <c r="L106" s="39"/>
      <c r="M106" s="39"/>
      <c r="N106" s="39"/>
      <c r="O106" s="39"/>
      <c r="P106" s="39"/>
      <c r="Q106" s="39"/>
      <c r="R106" s="39"/>
      <c r="W106" s="142"/>
      <c r="X106" s="142"/>
      <c r="Y106" s="142"/>
      <c r="Z106" s="142"/>
      <c r="AA106" s="142"/>
      <c r="AB106" s="142"/>
      <c r="AC106" s="142"/>
    </row>
    <row r="107" spans="1:29" s="51" customFormat="1" x14ac:dyDescent="0.35">
      <c r="A107" s="39"/>
      <c r="B107" s="39"/>
      <c r="C107" s="39"/>
      <c r="D107" s="39"/>
      <c r="E107" s="39"/>
      <c r="F107" s="210"/>
      <c r="G107" s="210"/>
      <c r="H107" s="210"/>
      <c r="I107" s="208"/>
      <c r="J107" s="209"/>
      <c r="K107" s="39"/>
      <c r="L107" s="39"/>
      <c r="M107" s="39"/>
      <c r="N107" s="39"/>
      <c r="O107" s="39"/>
      <c r="P107" s="39"/>
      <c r="Q107" s="39"/>
      <c r="R107" s="39"/>
      <c r="W107" s="142"/>
      <c r="X107" s="142"/>
      <c r="Y107" s="142"/>
      <c r="Z107" s="142"/>
      <c r="AA107" s="142"/>
      <c r="AB107" s="142"/>
      <c r="AC107" s="142"/>
    </row>
    <row r="108" spans="1:29" s="51" customFormat="1" x14ac:dyDescent="0.35">
      <c r="A108" s="39"/>
      <c r="B108" s="39"/>
      <c r="C108" s="39"/>
      <c r="D108" s="39"/>
      <c r="E108" s="39"/>
      <c r="F108" s="210"/>
      <c r="G108" s="210"/>
      <c r="H108" s="210"/>
      <c r="I108" s="208"/>
      <c r="J108" s="209"/>
      <c r="K108" s="39"/>
      <c r="L108" s="39"/>
      <c r="M108" s="39"/>
      <c r="N108" s="39"/>
      <c r="O108" s="39"/>
      <c r="P108" s="39"/>
      <c r="Q108" s="39"/>
      <c r="R108" s="39"/>
      <c r="W108" s="142"/>
      <c r="X108" s="142"/>
      <c r="Y108" s="142"/>
      <c r="Z108" s="142"/>
      <c r="AA108" s="142"/>
      <c r="AB108" s="142"/>
      <c r="AC108" s="142"/>
    </row>
    <row r="109" spans="1:29" s="51" customFormat="1" x14ac:dyDescent="0.35">
      <c r="A109" s="39"/>
      <c r="B109" s="39"/>
      <c r="C109" s="39"/>
      <c r="D109" s="39"/>
      <c r="E109" s="39"/>
      <c r="F109" s="210"/>
      <c r="G109" s="210"/>
      <c r="H109" s="210"/>
      <c r="I109" s="208"/>
      <c r="J109" s="209"/>
      <c r="K109" s="39"/>
      <c r="L109" s="39"/>
      <c r="M109" s="39"/>
      <c r="N109" s="39"/>
      <c r="O109" s="39"/>
      <c r="P109" s="39"/>
      <c r="Q109" s="39"/>
      <c r="R109" s="39"/>
      <c r="W109" s="142"/>
      <c r="X109" s="142"/>
      <c r="Y109" s="142"/>
      <c r="Z109" s="142"/>
      <c r="AA109" s="142"/>
      <c r="AB109" s="142"/>
      <c r="AC109" s="142"/>
    </row>
    <row r="110" spans="1:29" s="51" customFormat="1" x14ac:dyDescent="0.35">
      <c r="A110" s="39"/>
      <c r="B110" s="39"/>
      <c r="C110" s="39"/>
      <c r="D110" s="39"/>
      <c r="E110" s="39"/>
      <c r="F110" s="210"/>
      <c r="G110" s="210"/>
      <c r="H110" s="210"/>
      <c r="I110" s="208"/>
      <c r="J110" s="209"/>
      <c r="K110" s="39"/>
      <c r="L110" s="39"/>
      <c r="M110" s="39"/>
      <c r="N110" s="39"/>
      <c r="O110" s="39"/>
      <c r="P110" s="39"/>
      <c r="Q110" s="39"/>
      <c r="R110" s="39"/>
      <c r="W110" s="142"/>
      <c r="X110" s="142"/>
      <c r="Y110" s="142"/>
      <c r="Z110" s="142"/>
      <c r="AA110" s="142"/>
      <c r="AB110" s="142"/>
      <c r="AC110" s="142"/>
    </row>
    <row r="111" spans="1:29" s="51" customFormat="1" x14ac:dyDescent="0.35">
      <c r="A111" s="39"/>
      <c r="B111" s="39"/>
      <c r="C111" s="39"/>
      <c r="D111" s="39"/>
      <c r="E111" s="39"/>
      <c r="F111" s="210"/>
      <c r="G111" s="210"/>
      <c r="H111" s="210"/>
      <c r="I111" s="208"/>
      <c r="J111" s="209"/>
      <c r="K111" s="39"/>
      <c r="L111" s="39"/>
      <c r="M111" s="39"/>
      <c r="N111" s="39"/>
      <c r="O111" s="39"/>
      <c r="P111" s="39"/>
      <c r="Q111" s="39"/>
      <c r="R111" s="39"/>
      <c r="W111" s="142"/>
      <c r="X111" s="142"/>
      <c r="Y111" s="142"/>
      <c r="Z111" s="142"/>
      <c r="AA111" s="142"/>
      <c r="AB111" s="142"/>
      <c r="AC111" s="142"/>
    </row>
    <row r="112" spans="1:29" s="51" customFormat="1" x14ac:dyDescent="0.35">
      <c r="A112" s="39"/>
      <c r="B112" s="39"/>
      <c r="C112" s="39"/>
      <c r="D112" s="39"/>
      <c r="E112" s="39"/>
      <c r="F112" s="210"/>
      <c r="G112" s="210"/>
      <c r="H112" s="210"/>
      <c r="I112" s="208"/>
      <c r="J112" s="209"/>
      <c r="K112" s="39"/>
      <c r="L112" s="39"/>
      <c r="M112" s="39"/>
      <c r="N112" s="39"/>
      <c r="O112" s="39"/>
      <c r="P112" s="39"/>
      <c r="Q112" s="39"/>
      <c r="R112" s="39"/>
      <c r="W112" s="142"/>
      <c r="X112" s="142"/>
      <c r="Y112" s="142"/>
      <c r="Z112" s="142"/>
      <c r="AA112" s="142"/>
      <c r="AB112" s="142"/>
      <c r="AC112" s="142"/>
    </row>
    <row r="113" spans="1:41" s="51" customFormat="1" x14ac:dyDescent="0.35">
      <c r="A113" s="39"/>
      <c r="B113" s="39"/>
      <c r="C113" s="39"/>
      <c r="D113" s="39"/>
      <c r="E113" s="39"/>
      <c r="F113" s="210"/>
      <c r="G113" s="210"/>
      <c r="H113" s="210"/>
      <c r="I113" s="208"/>
      <c r="J113" s="209"/>
      <c r="K113" s="39"/>
      <c r="L113" s="39"/>
      <c r="M113" s="39"/>
      <c r="N113" s="39"/>
      <c r="O113" s="39"/>
      <c r="P113" s="39"/>
      <c r="Q113" s="39"/>
      <c r="R113" s="39"/>
      <c r="W113" s="142"/>
      <c r="X113" s="142"/>
      <c r="Y113" s="142"/>
      <c r="Z113" s="142"/>
      <c r="AA113" s="142"/>
      <c r="AB113" s="142"/>
      <c r="AC113" s="142"/>
    </row>
    <row r="114" spans="1:41" s="51" customFormat="1" x14ac:dyDescent="0.35">
      <c r="A114" s="39"/>
      <c r="B114" s="39"/>
      <c r="C114" s="39"/>
      <c r="D114" s="39"/>
      <c r="E114" s="39"/>
      <c r="F114" s="210"/>
      <c r="G114" s="210"/>
      <c r="H114" s="210"/>
      <c r="I114" s="210"/>
      <c r="J114" s="209"/>
      <c r="K114" s="39"/>
      <c r="L114" s="39"/>
      <c r="M114" s="39"/>
      <c r="N114" s="39"/>
      <c r="O114" s="39"/>
      <c r="P114" s="39"/>
      <c r="Q114" s="39"/>
      <c r="R114" s="39"/>
      <c r="W114" s="142"/>
      <c r="X114" s="142"/>
      <c r="Y114" s="142"/>
      <c r="Z114" s="142"/>
      <c r="AA114" s="142"/>
      <c r="AB114" s="142"/>
      <c r="AC114" s="142"/>
    </row>
    <row r="115" spans="1:41" s="51" customFormat="1" x14ac:dyDescent="0.35">
      <c r="A115" s="39"/>
      <c r="B115" s="39"/>
      <c r="C115" s="39"/>
      <c r="D115" s="39"/>
      <c r="E115" s="39"/>
      <c r="F115" s="210"/>
      <c r="G115" s="210"/>
      <c r="H115" s="210"/>
      <c r="I115" s="210"/>
      <c r="J115" s="209"/>
      <c r="K115" s="39"/>
      <c r="L115" s="39"/>
      <c r="M115" s="39"/>
      <c r="N115" s="39"/>
      <c r="O115" s="39"/>
      <c r="P115" s="39"/>
      <c r="Q115" s="39"/>
      <c r="R115" s="39"/>
      <c r="W115" s="142"/>
      <c r="X115" s="142"/>
      <c r="Y115" s="142"/>
      <c r="Z115" s="142"/>
      <c r="AA115" s="142"/>
      <c r="AB115" s="142"/>
      <c r="AC115" s="142"/>
    </row>
    <row r="116" spans="1:41" s="51" customFormat="1" x14ac:dyDescent="0.35">
      <c r="A116" s="39"/>
      <c r="B116" s="39"/>
      <c r="C116" s="39"/>
      <c r="D116" s="39"/>
      <c r="E116" s="39"/>
      <c r="F116" s="210"/>
      <c r="G116" s="210"/>
      <c r="H116" s="210"/>
      <c r="I116" s="210"/>
      <c r="J116" s="209"/>
      <c r="K116" s="39"/>
      <c r="L116" s="39"/>
      <c r="M116" s="39"/>
      <c r="N116" s="39"/>
      <c r="O116" s="39"/>
      <c r="P116" s="39"/>
      <c r="Q116" s="39"/>
      <c r="R116" s="39"/>
      <c r="W116" s="142"/>
      <c r="X116" s="142"/>
      <c r="Y116" s="142"/>
      <c r="Z116" s="142"/>
      <c r="AA116" s="142"/>
      <c r="AB116" s="142"/>
      <c r="AC116" s="142"/>
    </row>
    <row r="117" spans="1:41" s="16" customFormat="1" x14ac:dyDescent="0.35">
      <c r="A117" s="17"/>
      <c r="B117" s="17"/>
      <c r="C117" s="17"/>
      <c r="D117" s="17"/>
      <c r="E117" s="17"/>
      <c r="F117" s="23"/>
      <c r="G117" s="23"/>
      <c r="H117" s="23"/>
      <c r="I117" s="23"/>
      <c r="J117" s="121"/>
      <c r="K117" s="60"/>
      <c r="L117" s="60"/>
      <c r="M117" s="60"/>
      <c r="N117" s="60"/>
      <c r="O117" s="60"/>
      <c r="P117" s="60"/>
      <c r="Q117" s="60"/>
      <c r="R117" s="60"/>
      <c r="S117" s="41"/>
      <c r="T117" s="41"/>
      <c r="U117" s="41"/>
      <c r="V117" s="41"/>
      <c r="W117" s="56"/>
      <c r="X117" s="56"/>
      <c r="Y117" s="56"/>
      <c r="Z117" s="56"/>
      <c r="AA117" s="56"/>
      <c r="AB117" s="56"/>
      <c r="AC117" s="56"/>
      <c r="AD117" s="41"/>
      <c r="AE117" s="41"/>
      <c r="AF117" s="41"/>
      <c r="AG117" s="41"/>
      <c r="AH117" s="41"/>
      <c r="AI117" s="41"/>
      <c r="AJ117" s="41"/>
      <c r="AK117" s="41"/>
      <c r="AL117" s="41"/>
      <c r="AM117" s="41"/>
      <c r="AN117" s="41"/>
      <c r="AO117" s="41"/>
    </row>
    <row r="118" spans="1:41" s="16" customFormat="1" x14ac:dyDescent="0.35">
      <c r="A118" s="17"/>
      <c r="B118" s="17"/>
      <c r="C118" s="17"/>
      <c r="D118" s="17"/>
      <c r="E118" s="17"/>
      <c r="F118" s="23"/>
      <c r="G118" s="23"/>
      <c r="H118" s="23"/>
      <c r="I118" s="23"/>
      <c r="J118" s="121"/>
      <c r="K118" s="60"/>
      <c r="L118" s="60"/>
      <c r="M118" s="60"/>
      <c r="N118" s="60"/>
      <c r="O118" s="60"/>
      <c r="P118" s="60"/>
      <c r="Q118" s="60"/>
      <c r="R118" s="60"/>
      <c r="S118" s="41"/>
      <c r="T118" s="41"/>
      <c r="U118" s="41"/>
      <c r="V118" s="41"/>
      <c r="W118" s="56"/>
      <c r="X118" s="56"/>
      <c r="Y118" s="56"/>
      <c r="Z118" s="56"/>
      <c r="AA118" s="56"/>
      <c r="AB118" s="56"/>
      <c r="AC118" s="56"/>
      <c r="AD118" s="41"/>
      <c r="AE118" s="41"/>
      <c r="AF118" s="41"/>
      <c r="AG118" s="41"/>
      <c r="AH118" s="41"/>
      <c r="AI118" s="41"/>
      <c r="AJ118" s="41"/>
      <c r="AK118" s="41"/>
      <c r="AL118" s="41"/>
      <c r="AM118" s="41"/>
      <c r="AN118" s="41"/>
      <c r="AO118" s="41"/>
    </row>
    <row r="119" spans="1:41" s="16" customFormat="1" x14ac:dyDescent="0.35">
      <c r="A119" s="17"/>
      <c r="B119" s="17"/>
      <c r="C119" s="17"/>
      <c r="D119" s="17"/>
      <c r="E119" s="17"/>
      <c r="F119" s="23"/>
      <c r="G119" s="23"/>
      <c r="H119" s="23"/>
      <c r="I119" s="23"/>
      <c r="J119" s="121"/>
      <c r="K119" s="60"/>
      <c r="L119" s="60"/>
      <c r="M119" s="60"/>
      <c r="N119" s="60"/>
      <c r="O119" s="60"/>
      <c r="P119" s="60"/>
      <c r="Q119" s="60"/>
      <c r="R119" s="60"/>
      <c r="S119" s="41"/>
      <c r="T119" s="41"/>
      <c r="U119" s="41"/>
      <c r="V119" s="41"/>
      <c r="W119" s="56"/>
      <c r="X119" s="56"/>
      <c r="Y119" s="56"/>
      <c r="Z119" s="56"/>
      <c r="AA119" s="56"/>
      <c r="AB119" s="56"/>
      <c r="AC119" s="56"/>
      <c r="AD119" s="41"/>
      <c r="AE119" s="41"/>
      <c r="AF119" s="41"/>
      <c r="AG119" s="41"/>
      <c r="AH119" s="41"/>
      <c r="AI119" s="41"/>
      <c r="AJ119" s="41"/>
      <c r="AK119" s="41"/>
      <c r="AL119" s="41"/>
      <c r="AM119" s="41"/>
      <c r="AN119" s="41"/>
      <c r="AO119" s="41"/>
    </row>
    <row r="120" spans="1:41" s="16" customFormat="1" x14ac:dyDescent="0.35">
      <c r="A120" s="17"/>
      <c r="B120" s="17"/>
      <c r="C120" s="17"/>
      <c r="D120" s="17"/>
      <c r="E120" s="17"/>
      <c r="F120" s="23"/>
      <c r="G120" s="23"/>
      <c r="H120" s="23"/>
      <c r="I120" s="23"/>
      <c r="J120" s="121"/>
      <c r="K120" s="60"/>
      <c r="L120" s="60"/>
      <c r="M120" s="60"/>
      <c r="N120" s="60"/>
      <c r="O120" s="60"/>
      <c r="P120" s="60"/>
      <c r="Q120" s="60"/>
      <c r="R120" s="60"/>
      <c r="S120" s="41"/>
      <c r="T120" s="41"/>
      <c r="U120" s="41"/>
      <c r="V120" s="41"/>
      <c r="W120" s="56"/>
      <c r="X120" s="56"/>
      <c r="Y120" s="56"/>
      <c r="Z120" s="56"/>
      <c r="AA120" s="56"/>
      <c r="AB120" s="56"/>
      <c r="AC120" s="56"/>
      <c r="AD120" s="41"/>
      <c r="AE120" s="41"/>
      <c r="AF120" s="41"/>
      <c r="AG120" s="41"/>
      <c r="AH120" s="41"/>
      <c r="AI120" s="41"/>
      <c r="AJ120" s="41"/>
      <c r="AK120" s="41"/>
      <c r="AL120" s="41"/>
      <c r="AM120" s="41"/>
      <c r="AN120" s="41"/>
      <c r="AO120" s="41"/>
    </row>
    <row r="121" spans="1:41" s="16" customFormat="1" x14ac:dyDescent="0.35">
      <c r="A121" s="17"/>
      <c r="B121" s="17"/>
      <c r="C121" s="17"/>
      <c r="D121" s="17"/>
      <c r="E121" s="17"/>
      <c r="F121" s="23"/>
      <c r="G121" s="23"/>
      <c r="H121" s="23"/>
      <c r="I121" s="23"/>
      <c r="J121" s="121"/>
      <c r="K121" s="60"/>
      <c r="L121" s="60"/>
      <c r="M121" s="60"/>
      <c r="N121" s="60"/>
      <c r="O121" s="60"/>
      <c r="P121" s="60"/>
      <c r="Q121" s="60"/>
      <c r="R121" s="60"/>
      <c r="S121" s="41"/>
      <c r="T121" s="41"/>
      <c r="U121" s="41"/>
      <c r="V121" s="41"/>
      <c r="W121" s="56"/>
      <c r="X121" s="56"/>
      <c r="Y121" s="56"/>
      <c r="Z121" s="56"/>
      <c r="AA121" s="56"/>
      <c r="AB121" s="56"/>
      <c r="AC121" s="56"/>
      <c r="AD121" s="41"/>
      <c r="AE121" s="41"/>
      <c r="AF121" s="41"/>
      <c r="AG121" s="41"/>
      <c r="AH121" s="41"/>
      <c r="AI121" s="41"/>
      <c r="AJ121" s="41"/>
      <c r="AK121" s="41"/>
      <c r="AL121" s="41"/>
      <c r="AM121" s="41"/>
      <c r="AN121" s="41"/>
      <c r="AO121" s="41"/>
    </row>
    <row r="122" spans="1:41" s="16" customFormat="1" x14ac:dyDescent="0.35">
      <c r="A122" s="17"/>
      <c r="B122" s="17"/>
      <c r="C122" s="17"/>
      <c r="D122" s="17"/>
      <c r="E122" s="17"/>
      <c r="F122" s="23"/>
      <c r="G122" s="23"/>
      <c r="H122" s="23"/>
      <c r="I122" s="23"/>
      <c r="J122" s="121"/>
      <c r="K122" s="60"/>
      <c r="L122" s="60"/>
      <c r="M122" s="60"/>
      <c r="N122" s="60"/>
      <c r="O122" s="60"/>
      <c r="P122" s="60"/>
      <c r="Q122" s="60"/>
      <c r="R122" s="60"/>
      <c r="S122" s="41"/>
      <c r="T122" s="41"/>
      <c r="U122" s="41"/>
      <c r="V122" s="41"/>
      <c r="W122" s="56"/>
      <c r="X122" s="56"/>
      <c r="Y122" s="56"/>
      <c r="Z122" s="56"/>
      <c r="AA122" s="56"/>
      <c r="AB122" s="56"/>
      <c r="AC122" s="56"/>
      <c r="AD122" s="41"/>
      <c r="AE122" s="41"/>
      <c r="AF122" s="41"/>
      <c r="AG122" s="41"/>
      <c r="AH122" s="41"/>
      <c r="AI122" s="41"/>
      <c r="AJ122" s="41"/>
      <c r="AK122" s="41"/>
      <c r="AL122" s="41"/>
      <c r="AM122" s="41"/>
      <c r="AN122" s="41"/>
      <c r="AO122" s="41"/>
    </row>
    <row r="123" spans="1:41" s="16" customFormat="1" x14ac:dyDescent="0.35">
      <c r="A123" s="17"/>
      <c r="B123" s="17"/>
      <c r="C123" s="17"/>
      <c r="D123" s="17"/>
      <c r="E123" s="17"/>
      <c r="F123" s="17"/>
      <c r="G123" s="17"/>
      <c r="H123" s="17"/>
      <c r="I123" s="17"/>
      <c r="J123" s="60"/>
      <c r="K123" s="60"/>
      <c r="L123" s="60"/>
      <c r="M123" s="60"/>
      <c r="N123" s="60"/>
      <c r="O123" s="60"/>
      <c r="P123" s="60"/>
      <c r="Q123" s="60"/>
      <c r="R123" s="60"/>
      <c r="S123" s="41"/>
      <c r="T123" s="41"/>
      <c r="U123" s="41"/>
      <c r="V123" s="41"/>
      <c r="W123" s="56"/>
      <c r="X123" s="56"/>
      <c r="Y123" s="56"/>
      <c r="Z123" s="56"/>
      <c r="AA123" s="56"/>
      <c r="AB123" s="56"/>
      <c r="AC123" s="56"/>
      <c r="AD123" s="41"/>
      <c r="AE123" s="41"/>
      <c r="AF123" s="41"/>
      <c r="AG123" s="41"/>
      <c r="AH123" s="41"/>
      <c r="AI123" s="41"/>
      <c r="AJ123" s="41"/>
      <c r="AK123" s="41"/>
      <c r="AL123" s="41"/>
      <c r="AM123" s="41"/>
      <c r="AN123" s="41"/>
      <c r="AO123" s="41"/>
    </row>
    <row r="124" spans="1:41" s="16" customFormat="1" x14ac:dyDescent="0.35">
      <c r="A124" s="17"/>
      <c r="B124" s="17"/>
      <c r="C124" s="17"/>
      <c r="D124" s="17"/>
      <c r="E124" s="17"/>
      <c r="F124" s="17"/>
      <c r="G124" s="17"/>
      <c r="H124" s="17"/>
      <c r="I124" s="17"/>
      <c r="J124" s="60"/>
      <c r="K124" s="60"/>
      <c r="L124" s="60"/>
      <c r="M124" s="60"/>
      <c r="N124" s="60"/>
      <c r="O124" s="60"/>
      <c r="P124" s="60"/>
      <c r="Q124" s="60"/>
      <c r="R124" s="60"/>
      <c r="S124" s="41"/>
      <c r="T124" s="41"/>
      <c r="U124" s="41"/>
      <c r="V124" s="41"/>
      <c r="W124" s="56"/>
      <c r="X124" s="56"/>
      <c r="Y124" s="56"/>
      <c r="Z124" s="56"/>
      <c r="AA124" s="56"/>
      <c r="AB124" s="56"/>
      <c r="AC124" s="56"/>
      <c r="AD124" s="41"/>
      <c r="AE124" s="41"/>
      <c r="AF124" s="41"/>
      <c r="AG124" s="41"/>
      <c r="AH124" s="41"/>
      <c r="AI124" s="41"/>
      <c r="AJ124" s="41"/>
      <c r="AK124" s="41"/>
      <c r="AL124" s="41"/>
      <c r="AM124" s="41"/>
      <c r="AN124" s="41"/>
      <c r="AO124" s="41"/>
    </row>
    <row r="125" spans="1:41" s="16" customFormat="1" x14ac:dyDescent="0.35">
      <c r="A125" s="17"/>
      <c r="B125" s="17"/>
      <c r="C125" s="17"/>
      <c r="D125" s="17"/>
      <c r="E125" s="17"/>
      <c r="F125" s="17"/>
      <c r="G125" s="17"/>
      <c r="H125" s="17"/>
      <c r="I125" s="17"/>
      <c r="J125" s="60"/>
      <c r="K125" s="60"/>
      <c r="L125" s="60"/>
      <c r="M125" s="60"/>
      <c r="N125" s="60"/>
      <c r="O125" s="60"/>
      <c r="P125" s="60"/>
      <c r="Q125" s="60"/>
      <c r="R125" s="60"/>
      <c r="S125" s="41"/>
      <c r="T125" s="41"/>
      <c r="U125" s="41"/>
      <c r="V125" s="41"/>
      <c r="W125" s="56"/>
      <c r="X125" s="56"/>
      <c r="Y125" s="56"/>
      <c r="Z125" s="56"/>
      <c r="AA125" s="56"/>
      <c r="AB125" s="56"/>
      <c r="AC125" s="56"/>
      <c r="AD125" s="41"/>
      <c r="AE125" s="41"/>
      <c r="AF125" s="41"/>
      <c r="AG125" s="41"/>
      <c r="AH125" s="41"/>
      <c r="AI125" s="41"/>
      <c r="AJ125" s="41"/>
      <c r="AK125" s="41"/>
      <c r="AL125" s="41"/>
      <c r="AM125" s="41"/>
      <c r="AN125" s="41"/>
      <c r="AO125" s="41"/>
    </row>
    <row r="126" spans="1:41" s="16" customFormat="1" x14ac:dyDescent="0.35">
      <c r="A126" s="17"/>
      <c r="B126" s="17"/>
      <c r="C126" s="17"/>
      <c r="D126" s="17"/>
      <c r="E126" s="17"/>
      <c r="F126" s="17"/>
      <c r="G126" s="17"/>
      <c r="H126" s="17"/>
      <c r="I126" s="17"/>
      <c r="J126" s="60"/>
      <c r="K126" s="60"/>
      <c r="L126" s="60"/>
      <c r="M126" s="60"/>
      <c r="N126" s="60"/>
      <c r="O126" s="60"/>
      <c r="P126" s="60"/>
      <c r="Q126" s="60"/>
      <c r="R126" s="60"/>
      <c r="S126" s="41"/>
      <c r="T126" s="41"/>
      <c r="U126" s="41"/>
      <c r="V126" s="41"/>
      <c r="W126" s="56"/>
      <c r="X126" s="56"/>
      <c r="Y126" s="56"/>
      <c r="Z126" s="56"/>
      <c r="AA126" s="56"/>
      <c r="AB126" s="56"/>
      <c r="AC126" s="56"/>
      <c r="AD126" s="41"/>
      <c r="AE126" s="41"/>
      <c r="AF126" s="41"/>
      <c r="AG126" s="41"/>
      <c r="AH126" s="41"/>
      <c r="AI126" s="41"/>
      <c r="AJ126" s="41"/>
      <c r="AK126" s="41"/>
      <c r="AL126" s="41"/>
      <c r="AM126" s="41"/>
      <c r="AN126" s="41"/>
      <c r="AO126" s="41"/>
    </row>
    <row r="127" spans="1:41" s="16" customFormat="1" x14ac:dyDescent="0.35">
      <c r="A127" s="17"/>
      <c r="B127" s="17"/>
      <c r="C127" s="17"/>
      <c r="D127" s="17"/>
      <c r="E127" s="17"/>
      <c r="F127" s="17"/>
      <c r="G127" s="17"/>
      <c r="H127" s="17"/>
      <c r="I127" s="17"/>
      <c r="J127" s="60"/>
      <c r="K127" s="60"/>
      <c r="L127" s="60"/>
      <c r="M127" s="60"/>
      <c r="N127" s="60"/>
      <c r="O127" s="60"/>
      <c r="P127" s="60"/>
      <c r="Q127" s="60"/>
      <c r="R127" s="60"/>
      <c r="S127" s="41"/>
      <c r="T127" s="41"/>
      <c r="U127" s="41"/>
      <c r="V127" s="41"/>
      <c r="W127" s="56"/>
      <c r="X127" s="56"/>
      <c r="Y127" s="56"/>
      <c r="Z127" s="56"/>
      <c r="AA127" s="56"/>
      <c r="AB127" s="56"/>
      <c r="AC127" s="56"/>
      <c r="AD127" s="41"/>
      <c r="AE127" s="41"/>
      <c r="AF127" s="41"/>
      <c r="AG127" s="41"/>
      <c r="AH127" s="41"/>
      <c r="AI127" s="41"/>
      <c r="AJ127" s="41"/>
      <c r="AK127" s="41"/>
      <c r="AL127" s="41"/>
      <c r="AM127" s="41"/>
      <c r="AN127" s="41"/>
      <c r="AO127" s="41"/>
    </row>
    <row r="128" spans="1:41" s="16" customFormat="1" x14ac:dyDescent="0.35">
      <c r="A128" s="17"/>
      <c r="B128" s="17"/>
      <c r="C128" s="17"/>
      <c r="D128" s="17"/>
      <c r="E128" s="17"/>
      <c r="F128" s="17"/>
      <c r="G128" s="17"/>
      <c r="H128" s="17"/>
      <c r="I128" s="17"/>
      <c r="J128" s="60"/>
      <c r="K128" s="60"/>
      <c r="L128" s="60"/>
      <c r="M128" s="60"/>
      <c r="N128" s="60"/>
      <c r="O128" s="60"/>
      <c r="P128" s="60"/>
      <c r="Q128" s="60"/>
      <c r="R128" s="60"/>
      <c r="S128" s="41"/>
      <c r="T128" s="41"/>
      <c r="U128" s="41"/>
      <c r="V128" s="41"/>
      <c r="W128" s="56"/>
      <c r="X128" s="56"/>
      <c r="Y128" s="56"/>
      <c r="Z128" s="56"/>
      <c r="AA128" s="56"/>
      <c r="AB128" s="56"/>
      <c r="AC128" s="56"/>
      <c r="AD128" s="41"/>
      <c r="AE128" s="41"/>
      <c r="AF128" s="41"/>
      <c r="AG128" s="41"/>
      <c r="AH128" s="41"/>
      <c r="AI128" s="41"/>
      <c r="AJ128" s="41"/>
      <c r="AK128" s="41"/>
      <c r="AL128" s="41"/>
      <c r="AM128" s="41"/>
      <c r="AN128" s="41"/>
      <c r="AO128" s="41"/>
    </row>
    <row r="129" spans="1:41" s="16" customFormat="1" x14ac:dyDescent="0.35">
      <c r="A129" s="17"/>
      <c r="B129" s="17"/>
      <c r="C129" s="17"/>
      <c r="D129" s="17"/>
      <c r="E129" s="17">
        <f>IF(C6&gt;2,C$7/(C$6-1),C$7)</f>
        <v>48</v>
      </c>
      <c r="F129" s="17"/>
      <c r="G129" s="17"/>
      <c r="H129" s="17"/>
      <c r="I129" s="17"/>
      <c r="J129" s="60"/>
      <c r="K129" s="60"/>
      <c r="L129" s="60"/>
      <c r="M129" s="60"/>
      <c r="N129" s="60"/>
      <c r="O129" s="60"/>
      <c r="P129" s="60"/>
      <c r="Q129" s="60"/>
      <c r="R129" s="60"/>
      <c r="S129" s="41"/>
      <c r="T129" s="41"/>
      <c r="U129" s="41"/>
      <c r="V129" s="41"/>
      <c r="W129" s="56"/>
      <c r="X129" s="56"/>
      <c r="Y129" s="56"/>
      <c r="Z129" s="56"/>
      <c r="AA129" s="56"/>
      <c r="AB129" s="56"/>
      <c r="AC129" s="56"/>
      <c r="AD129" s="41"/>
      <c r="AE129" s="41"/>
      <c r="AF129" s="41"/>
      <c r="AG129" s="41"/>
      <c r="AH129" s="41"/>
      <c r="AI129" s="41"/>
      <c r="AJ129" s="41"/>
      <c r="AK129" s="41"/>
      <c r="AL129" s="41"/>
      <c r="AM129" s="41"/>
      <c r="AN129" s="41"/>
      <c r="AO129" s="41"/>
    </row>
    <row r="130" spans="1:41" s="16" customFormat="1" x14ac:dyDescent="0.35">
      <c r="A130" s="17"/>
      <c r="B130" s="17"/>
      <c r="C130" s="17"/>
      <c r="D130" s="17"/>
      <c r="E130" s="17"/>
      <c r="F130" s="17"/>
      <c r="G130" s="17"/>
      <c r="H130" s="17"/>
      <c r="I130" s="17"/>
      <c r="J130" s="60"/>
      <c r="K130" s="60"/>
      <c r="L130" s="60"/>
      <c r="M130" s="60"/>
      <c r="N130" s="60"/>
      <c r="O130" s="60"/>
      <c r="P130" s="60"/>
      <c r="Q130" s="60"/>
      <c r="R130" s="60"/>
      <c r="S130" s="41"/>
      <c r="T130" s="41"/>
      <c r="U130" s="41"/>
      <c r="V130" s="41"/>
      <c r="W130" s="56"/>
      <c r="X130" s="56"/>
      <c r="Y130" s="56"/>
      <c r="Z130" s="56"/>
      <c r="AA130" s="56"/>
      <c r="AB130" s="56"/>
      <c r="AC130" s="56"/>
      <c r="AD130" s="41"/>
      <c r="AE130" s="41"/>
      <c r="AF130" s="41"/>
      <c r="AG130" s="41"/>
      <c r="AH130" s="41"/>
      <c r="AI130" s="41"/>
      <c r="AJ130" s="41"/>
      <c r="AK130" s="41"/>
      <c r="AL130" s="41"/>
      <c r="AM130" s="41"/>
      <c r="AN130" s="41"/>
      <c r="AO130" s="41"/>
    </row>
    <row r="131" spans="1:41" s="16" customFormat="1" x14ac:dyDescent="0.35">
      <c r="A131" s="17"/>
      <c r="B131" s="17"/>
      <c r="C131" s="17"/>
      <c r="D131" s="17"/>
      <c r="E131" s="17"/>
      <c r="F131" s="17"/>
      <c r="G131" s="17"/>
      <c r="H131" s="17"/>
      <c r="I131" s="17"/>
      <c r="J131" s="60"/>
      <c r="K131" s="60"/>
      <c r="L131" s="60"/>
      <c r="M131" s="60"/>
      <c r="N131" s="60"/>
      <c r="O131" s="60"/>
      <c r="P131" s="60"/>
      <c r="Q131" s="60"/>
      <c r="R131" s="60"/>
      <c r="S131" s="41"/>
      <c r="T131" s="41"/>
      <c r="U131" s="41"/>
      <c r="V131" s="41"/>
      <c r="W131" s="56"/>
      <c r="X131" s="56"/>
      <c r="Y131" s="56"/>
      <c r="Z131" s="56"/>
      <c r="AA131" s="56"/>
      <c r="AB131" s="56"/>
      <c r="AC131" s="56"/>
      <c r="AD131" s="41"/>
      <c r="AE131" s="41"/>
      <c r="AF131" s="41"/>
      <c r="AG131" s="41"/>
      <c r="AH131" s="41"/>
      <c r="AI131" s="41"/>
      <c r="AJ131" s="41"/>
      <c r="AK131" s="41"/>
      <c r="AL131" s="41"/>
      <c r="AM131" s="41"/>
      <c r="AN131" s="41"/>
      <c r="AO131" s="41"/>
    </row>
    <row r="132" spans="1:41" s="16" customFormat="1" x14ac:dyDescent="0.35">
      <c r="A132" s="17"/>
      <c r="B132" s="17"/>
      <c r="C132" s="334" t="s">
        <v>0</v>
      </c>
      <c r="D132" s="334"/>
      <c r="E132" s="334" t="s">
        <v>1</v>
      </c>
      <c r="F132" s="334"/>
      <c r="G132" s="334" t="s">
        <v>2</v>
      </c>
      <c r="H132" s="335"/>
      <c r="I132" s="335"/>
      <c r="J132" s="60"/>
      <c r="K132" s="60"/>
      <c r="L132" s="60"/>
      <c r="M132" s="60"/>
      <c r="N132" s="60"/>
      <c r="O132" s="60"/>
      <c r="P132" s="60"/>
      <c r="Q132" s="60"/>
      <c r="R132" s="60"/>
      <c r="S132" s="41"/>
      <c r="T132" s="41"/>
      <c r="U132" s="41"/>
      <c r="V132" s="41"/>
      <c r="W132" s="56"/>
      <c r="X132" s="56"/>
      <c r="Y132" s="56"/>
      <c r="Z132" s="56"/>
      <c r="AA132" s="56"/>
      <c r="AB132" s="56"/>
      <c r="AC132" s="56"/>
      <c r="AD132" s="41"/>
      <c r="AE132" s="41"/>
      <c r="AF132" s="41"/>
      <c r="AG132" s="41"/>
      <c r="AH132" s="41"/>
      <c r="AI132" s="41"/>
      <c r="AJ132" s="41"/>
      <c r="AK132" s="41"/>
      <c r="AL132" s="41"/>
      <c r="AM132" s="41"/>
      <c r="AN132" s="41"/>
      <c r="AO132" s="41"/>
    </row>
    <row r="133" spans="1:41" s="16" customFormat="1" x14ac:dyDescent="0.35">
      <c r="A133" s="17"/>
      <c r="B133" s="21"/>
      <c r="C133" s="30" t="s">
        <v>3</v>
      </c>
      <c r="D133" s="30" t="s">
        <v>4</v>
      </c>
      <c r="E133" s="30" t="s">
        <v>3</v>
      </c>
      <c r="F133" s="30" t="s">
        <v>4</v>
      </c>
      <c r="G133" s="30" t="s">
        <v>5</v>
      </c>
      <c r="H133" s="30" t="s">
        <v>5</v>
      </c>
      <c r="I133" s="31" t="s">
        <v>6</v>
      </c>
      <c r="J133" s="60"/>
      <c r="K133" s="60"/>
      <c r="L133" s="60"/>
      <c r="M133" s="60"/>
      <c r="N133" s="60"/>
      <c r="O133" s="60"/>
      <c r="P133" s="60"/>
      <c r="Q133" s="60"/>
      <c r="R133" s="60"/>
      <c r="S133" s="41"/>
      <c r="T133" s="41"/>
      <c r="U133" s="41"/>
      <c r="V133" s="41"/>
      <c r="W133" s="56"/>
      <c r="X133" s="56"/>
      <c r="Y133" s="56"/>
      <c r="Z133" s="56"/>
      <c r="AA133" s="56"/>
      <c r="AB133" s="56"/>
      <c r="AC133" s="56"/>
      <c r="AD133" s="41"/>
      <c r="AE133" s="41"/>
      <c r="AF133" s="41"/>
      <c r="AG133" s="41"/>
      <c r="AH133" s="41"/>
      <c r="AI133" s="41"/>
      <c r="AJ133" s="41"/>
      <c r="AK133" s="41"/>
      <c r="AL133" s="41"/>
      <c r="AM133" s="41"/>
      <c r="AN133" s="41"/>
      <c r="AO133" s="41"/>
    </row>
    <row r="134" spans="1:41" s="16" customFormat="1" x14ac:dyDescent="0.35">
      <c r="A134" s="17"/>
      <c r="B134" s="22">
        <v>1</v>
      </c>
      <c r="C134" s="32">
        <f t="shared" ref="C134:I143" si="63">MOD(FLOOR($B134-1,C$7)/C$7,C$6)</f>
        <v>0</v>
      </c>
      <c r="D134" s="32">
        <f t="shared" si="63"/>
        <v>0</v>
      </c>
      <c r="E134" s="32">
        <f t="shared" ref="E134:E181" si="64">IF($H$2="NO",MOD(FLOOR($B134-1,E$7)/E$7,E$6),MOD(FLOOR($B134-1,E$129)/E$129,C$6))</f>
        <v>0</v>
      </c>
      <c r="F134" s="32">
        <f t="shared" si="63"/>
        <v>0</v>
      </c>
      <c r="G134" s="32">
        <f t="shared" si="63"/>
        <v>0</v>
      </c>
      <c r="H134" s="32">
        <f t="shared" si="63"/>
        <v>0</v>
      </c>
      <c r="I134" s="32">
        <f t="shared" si="63"/>
        <v>0</v>
      </c>
      <c r="J134" s="60"/>
      <c r="K134" s="60">
        <f>MOD(FLOOR($B134-1,E$7)/E$7,E$7)</f>
        <v>0</v>
      </c>
      <c r="L134" s="60"/>
      <c r="M134" s="60"/>
      <c r="N134" s="60"/>
      <c r="O134" s="60"/>
      <c r="P134" s="60"/>
      <c r="Q134" s="60"/>
      <c r="R134" s="60"/>
      <c r="S134" s="41"/>
      <c r="T134" s="41"/>
      <c r="U134" s="41"/>
      <c r="V134" s="41"/>
      <c r="W134" s="56"/>
      <c r="X134" s="56"/>
      <c r="Y134" s="56"/>
      <c r="Z134" s="56"/>
      <c r="AA134" s="56"/>
      <c r="AB134" s="56"/>
      <c r="AC134" s="56"/>
      <c r="AD134" s="41"/>
      <c r="AE134" s="41"/>
      <c r="AF134" s="41"/>
      <c r="AG134" s="41"/>
      <c r="AH134" s="41"/>
      <c r="AI134" s="41"/>
      <c r="AJ134" s="41"/>
      <c r="AK134" s="41"/>
      <c r="AL134" s="41"/>
      <c r="AM134" s="41"/>
      <c r="AN134" s="41"/>
      <c r="AO134" s="41"/>
    </row>
    <row r="135" spans="1:41" s="16" customFormat="1" x14ac:dyDescent="0.35">
      <c r="A135" s="17"/>
      <c r="B135" s="22">
        <v>2</v>
      </c>
      <c r="C135" s="32">
        <f t="shared" si="63"/>
        <v>0</v>
      </c>
      <c r="D135" s="32">
        <f t="shared" si="63"/>
        <v>0</v>
      </c>
      <c r="E135" s="32">
        <f t="shared" si="64"/>
        <v>0</v>
      </c>
      <c r="F135" s="32">
        <f t="shared" si="63"/>
        <v>0</v>
      </c>
      <c r="G135" s="32">
        <f t="shared" si="63"/>
        <v>0</v>
      </c>
      <c r="H135" s="32">
        <f t="shared" si="63"/>
        <v>0</v>
      </c>
      <c r="I135" s="32">
        <f t="shared" si="63"/>
        <v>1</v>
      </c>
      <c r="J135" s="60"/>
      <c r="K135" s="60">
        <f t="shared" ref="K135:K181" si="65">MOD(FLOOR($B135-1,E$7)/E$7,E$7)</f>
        <v>0</v>
      </c>
      <c r="L135" s="60"/>
      <c r="M135" s="60"/>
      <c r="N135" s="60"/>
      <c r="O135" s="60"/>
      <c r="P135" s="60"/>
      <c r="Q135" s="60"/>
      <c r="R135" s="60"/>
      <c r="S135" s="41"/>
      <c r="T135" s="41"/>
      <c r="U135" s="41"/>
      <c r="V135" s="41"/>
      <c r="W135" s="56"/>
      <c r="X135" s="56"/>
      <c r="Y135" s="56"/>
      <c r="Z135" s="56"/>
      <c r="AA135" s="56"/>
      <c r="AB135" s="56"/>
      <c r="AC135" s="56"/>
      <c r="AD135" s="41"/>
      <c r="AE135" s="41"/>
      <c r="AF135" s="41"/>
      <c r="AG135" s="41"/>
      <c r="AH135" s="41"/>
      <c r="AI135" s="41"/>
      <c r="AJ135" s="41"/>
      <c r="AK135" s="41"/>
      <c r="AL135" s="41"/>
      <c r="AM135" s="41"/>
      <c r="AN135" s="41"/>
      <c r="AO135" s="41"/>
    </row>
    <row r="136" spans="1:41" s="16" customFormat="1" x14ac:dyDescent="0.35">
      <c r="A136" s="17"/>
      <c r="B136" s="22">
        <v>3</v>
      </c>
      <c r="C136" s="32">
        <f t="shared" si="63"/>
        <v>0</v>
      </c>
      <c r="D136" s="32">
        <f t="shared" si="63"/>
        <v>0</v>
      </c>
      <c r="E136" s="32">
        <f t="shared" si="64"/>
        <v>0</v>
      </c>
      <c r="F136" s="32">
        <f t="shared" si="63"/>
        <v>0</v>
      </c>
      <c r="G136" s="32">
        <f t="shared" si="63"/>
        <v>0</v>
      </c>
      <c r="H136" s="32">
        <f t="shared" si="63"/>
        <v>0</v>
      </c>
      <c r="I136" s="32">
        <f t="shared" si="63"/>
        <v>2</v>
      </c>
      <c r="J136" s="60"/>
      <c r="K136" s="60">
        <f t="shared" si="65"/>
        <v>0</v>
      </c>
      <c r="L136" s="60"/>
      <c r="M136" s="60"/>
      <c r="N136" s="60"/>
      <c r="O136" s="60"/>
      <c r="P136" s="60"/>
      <c r="Q136" s="60"/>
      <c r="R136" s="60"/>
      <c r="S136" s="41"/>
      <c r="T136" s="41"/>
      <c r="U136" s="41"/>
      <c r="V136" s="41"/>
      <c r="W136" s="56"/>
      <c r="X136" s="56"/>
      <c r="Y136" s="56"/>
      <c r="Z136" s="56"/>
      <c r="AA136" s="56"/>
      <c r="AB136" s="56"/>
      <c r="AC136" s="56"/>
      <c r="AD136" s="41"/>
      <c r="AE136" s="41"/>
      <c r="AF136" s="41"/>
      <c r="AG136" s="41"/>
      <c r="AH136" s="41"/>
      <c r="AI136" s="41"/>
      <c r="AJ136" s="41"/>
      <c r="AK136" s="41"/>
      <c r="AL136" s="41"/>
      <c r="AM136" s="41"/>
      <c r="AN136" s="41"/>
      <c r="AO136" s="41"/>
    </row>
    <row r="137" spans="1:41" s="16" customFormat="1" x14ac:dyDescent="0.35">
      <c r="A137" s="17"/>
      <c r="B137" s="22">
        <v>4</v>
      </c>
      <c r="C137" s="32">
        <f t="shared" si="63"/>
        <v>0</v>
      </c>
      <c r="D137" s="32">
        <f t="shared" si="63"/>
        <v>0</v>
      </c>
      <c r="E137" s="32">
        <f t="shared" si="64"/>
        <v>0</v>
      </c>
      <c r="F137" s="32">
        <f t="shared" si="63"/>
        <v>0</v>
      </c>
      <c r="G137" s="32">
        <f t="shared" si="63"/>
        <v>0</v>
      </c>
      <c r="H137" s="32">
        <f t="shared" si="63"/>
        <v>0</v>
      </c>
      <c r="I137" s="32">
        <f t="shared" si="63"/>
        <v>3</v>
      </c>
      <c r="J137" s="60"/>
      <c r="K137" s="60">
        <f t="shared" si="65"/>
        <v>0</v>
      </c>
      <c r="L137" s="60"/>
      <c r="M137" s="60"/>
      <c r="N137" s="60"/>
      <c r="O137" s="60"/>
      <c r="P137" s="60"/>
      <c r="Q137" s="60"/>
      <c r="R137" s="60"/>
      <c r="S137" s="41"/>
      <c r="T137" s="41"/>
      <c r="U137" s="41"/>
      <c r="V137" s="41"/>
      <c r="W137" s="56"/>
      <c r="X137" s="56"/>
      <c r="Y137" s="56"/>
      <c r="Z137" s="56"/>
      <c r="AA137" s="56"/>
      <c r="AB137" s="56"/>
      <c r="AC137" s="56"/>
      <c r="AD137" s="41"/>
      <c r="AE137" s="41"/>
      <c r="AF137" s="41"/>
      <c r="AG137" s="41"/>
      <c r="AH137" s="41"/>
      <c r="AI137" s="41"/>
      <c r="AJ137" s="41"/>
      <c r="AK137" s="41"/>
      <c r="AL137" s="41"/>
      <c r="AM137" s="41"/>
      <c r="AN137" s="41"/>
      <c r="AO137" s="41"/>
    </row>
    <row r="138" spans="1:41" s="16" customFormat="1" x14ac:dyDescent="0.35">
      <c r="A138" s="17"/>
      <c r="B138" s="22">
        <v>5</v>
      </c>
      <c r="C138" s="32">
        <f t="shared" si="63"/>
        <v>0</v>
      </c>
      <c r="D138" s="32">
        <f t="shared" si="63"/>
        <v>0</v>
      </c>
      <c r="E138" s="32">
        <f t="shared" si="64"/>
        <v>0</v>
      </c>
      <c r="F138" s="32">
        <f t="shared" si="63"/>
        <v>0</v>
      </c>
      <c r="G138" s="32">
        <f t="shared" si="63"/>
        <v>0</v>
      </c>
      <c r="H138" s="32">
        <f t="shared" si="63"/>
        <v>0</v>
      </c>
      <c r="I138" s="32">
        <f t="shared" si="63"/>
        <v>4</v>
      </c>
      <c r="J138" s="60"/>
      <c r="K138" s="60">
        <f t="shared" si="65"/>
        <v>0</v>
      </c>
      <c r="L138" s="60"/>
      <c r="M138" s="60"/>
      <c r="N138" s="60"/>
      <c r="O138" s="60"/>
      <c r="P138" s="60"/>
      <c r="Q138" s="60"/>
      <c r="R138" s="60"/>
      <c r="S138" s="41"/>
      <c r="T138" s="41"/>
      <c r="U138" s="41"/>
      <c r="V138" s="41"/>
      <c r="W138" s="56"/>
      <c r="X138" s="56"/>
      <c r="Y138" s="56"/>
      <c r="Z138" s="56"/>
      <c r="AA138" s="56"/>
      <c r="AB138" s="56"/>
      <c r="AC138" s="56"/>
      <c r="AD138" s="41"/>
      <c r="AE138" s="41"/>
      <c r="AF138" s="41"/>
      <c r="AG138" s="41"/>
      <c r="AH138" s="41"/>
      <c r="AI138" s="41"/>
      <c r="AJ138" s="41"/>
      <c r="AK138" s="41"/>
      <c r="AL138" s="41"/>
      <c r="AM138" s="41"/>
      <c r="AN138" s="41"/>
      <c r="AO138" s="41"/>
    </row>
    <row r="139" spans="1:41" s="16" customFormat="1" x14ac:dyDescent="0.35">
      <c r="A139" s="17"/>
      <c r="B139" s="22">
        <v>6</v>
      </c>
      <c r="C139" s="32">
        <f t="shared" si="63"/>
        <v>0</v>
      </c>
      <c r="D139" s="32">
        <f t="shared" si="63"/>
        <v>0</v>
      </c>
      <c r="E139" s="32">
        <f t="shared" si="64"/>
        <v>0</v>
      </c>
      <c r="F139" s="32">
        <f t="shared" si="63"/>
        <v>0</v>
      </c>
      <c r="G139" s="32">
        <f t="shared" si="63"/>
        <v>0</v>
      </c>
      <c r="H139" s="32">
        <f t="shared" si="63"/>
        <v>0</v>
      </c>
      <c r="I139" s="32">
        <f t="shared" si="63"/>
        <v>5</v>
      </c>
      <c r="J139" s="60"/>
      <c r="K139" s="60">
        <f t="shared" si="65"/>
        <v>0</v>
      </c>
      <c r="L139" s="60"/>
      <c r="M139" s="60"/>
      <c r="N139" s="60"/>
      <c r="O139" s="60"/>
      <c r="P139" s="60"/>
      <c r="Q139" s="60"/>
      <c r="R139" s="60"/>
      <c r="S139" s="41"/>
      <c r="T139" s="41"/>
      <c r="U139" s="41"/>
      <c r="V139" s="41"/>
      <c r="W139" s="56"/>
      <c r="X139" s="56"/>
      <c r="Y139" s="56"/>
      <c r="Z139" s="56"/>
      <c r="AA139" s="56"/>
      <c r="AB139" s="56"/>
      <c r="AC139" s="56"/>
      <c r="AD139" s="41"/>
      <c r="AE139" s="41"/>
      <c r="AF139" s="41"/>
      <c r="AG139" s="41"/>
      <c r="AH139" s="41"/>
      <c r="AI139" s="41"/>
      <c r="AJ139" s="41"/>
      <c r="AK139" s="41"/>
      <c r="AL139" s="41"/>
      <c r="AM139" s="41"/>
      <c r="AN139" s="41"/>
      <c r="AO139" s="41"/>
    </row>
    <row r="140" spans="1:41" s="16" customFormat="1" x14ac:dyDescent="0.35">
      <c r="A140" s="17"/>
      <c r="B140" s="22">
        <v>7</v>
      </c>
      <c r="C140" s="32">
        <f t="shared" si="63"/>
        <v>0</v>
      </c>
      <c r="D140" s="32">
        <f t="shared" si="63"/>
        <v>0</v>
      </c>
      <c r="E140" s="32">
        <f t="shared" si="64"/>
        <v>0</v>
      </c>
      <c r="F140" s="32">
        <f t="shared" si="63"/>
        <v>0</v>
      </c>
      <c r="G140" s="32">
        <f t="shared" si="63"/>
        <v>0</v>
      </c>
      <c r="H140" s="32">
        <f t="shared" si="63"/>
        <v>0</v>
      </c>
      <c r="I140" s="32">
        <f t="shared" si="63"/>
        <v>6</v>
      </c>
      <c r="J140" s="60"/>
      <c r="K140" s="60">
        <f t="shared" si="65"/>
        <v>0</v>
      </c>
      <c r="L140" s="60"/>
      <c r="M140" s="60"/>
      <c r="N140" s="60"/>
      <c r="O140" s="60"/>
      <c r="P140" s="60"/>
      <c r="Q140" s="60"/>
      <c r="R140" s="60"/>
      <c r="S140" s="41"/>
      <c r="T140" s="41"/>
      <c r="U140" s="41"/>
      <c r="V140" s="41"/>
      <c r="W140" s="56"/>
      <c r="X140" s="56"/>
      <c r="Y140" s="56"/>
      <c r="Z140" s="56"/>
      <c r="AA140" s="56"/>
      <c r="AB140" s="56"/>
      <c r="AC140" s="56"/>
      <c r="AD140" s="41"/>
      <c r="AE140" s="41"/>
      <c r="AF140" s="41"/>
      <c r="AG140" s="41"/>
      <c r="AH140" s="41"/>
      <c r="AI140" s="41"/>
      <c r="AJ140" s="41"/>
      <c r="AK140" s="41"/>
      <c r="AL140" s="41"/>
      <c r="AM140" s="41"/>
      <c r="AN140" s="41"/>
      <c r="AO140" s="41"/>
    </row>
    <row r="141" spans="1:41" s="16" customFormat="1" x14ac:dyDescent="0.35">
      <c r="A141" s="17"/>
      <c r="B141" s="22">
        <v>8</v>
      </c>
      <c r="C141" s="32">
        <f t="shared" si="63"/>
        <v>0</v>
      </c>
      <c r="D141" s="32">
        <f t="shared" si="63"/>
        <v>0</v>
      </c>
      <c r="E141" s="32">
        <f t="shared" si="64"/>
        <v>0</v>
      </c>
      <c r="F141" s="32">
        <f t="shared" si="63"/>
        <v>0</v>
      </c>
      <c r="G141" s="32">
        <f t="shared" si="63"/>
        <v>0</v>
      </c>
      <c r="H141" s="32">
        <f t="shared" si="63"/>
        <v>0</v>
      </c>
      <c r="I141" s="32">
        <f t="shared" si="63"/>
        <v>7</v>
      </c>
      <c r="J141" s="60"/>
      <c r="K141" s="60">
        <f t="shared" si="65"/>
        <v>0</v>
      </c>
      <c r="L141" s="60"/>
      <c r="M141" s="60"/>
      <c r="N141" s="60"/>
      <c r="O141" s="60"/>
      <c r="P141" s="60"/>
      <c r="Q141" s="60"/>
      <c r="R141" s="60"/>
      <c r="S141" s="41"/>
      <c r="T141" s="41"/>
      <c r="U141" s="41"/>
      <c r="V141" s="41"/>
      <c r="W141" s="56"/>
      <c r="X141" s="56"/>
      <c r="Y141" s="56"/>
      <c r="Z141" s="56"/>
      <c r="AA141" s="56"/>
      <c r="AB141" s="56"/>
      <c r="AC141" s="56"/>
      <c r="AD141" s="41"/>
      <c r="AE141" s="41"/>
      <c r="AF141" s="41"/>
      <c r="AG141" s="41"/>
      <c r="AH141" s="41"/>
      <c r="AI141" s="41"/>
      <c r="AJ141" s="41"/>
      <c r="AK141" s="41"/>
      <c r="AL141" s="41"/>
      <c r="AM141" s="41"/>
      <c r="AN141" s="41"/>
      <c r="AO141" s="41"/>
    </row>
    <row r="142" spans="1:41" s="16" customFormat="1" x14ac:dyDescent="0.35">
      <c r="A142" s="17"/>
      <c r="B142" s="22">
        <v>9</v>
      </c>
      <c r="C142" s="32">
        <f t="shared" si="63"/>
        <v>0</v>
      </c>
      <c r="D142" s="32">
        <f t="shared" si="63"/>
        <v>0</v>
      </c>
      <c r="E142" s="32">
        <f t="shared" si="64"/>
        <v>0</v>
      </c>
      <c r="F142" s="32">
        <f t="shared" si="63"/>
        <v>1</v>
      </c>
      <c r="G142" s="32">
        <f t="shared" si="63"/>
        <v>0</v>
      </c>
      <c r="H142" s="32">
        <f t="shared" si="63"/>
        <v>0</v>
      </c>
      <c r="I142" s="32">
        <f t="shared" si="63"/>
        <v>0</v>
      </c>
      <c r="J142" s="60"/>
      <c r="K142" s="60">
        <f t="shared" si="65"/>
        <v>0</v>
      </c>
      <c r="L142" s="60"/>
      <c r="M142" s="60"/>
      <c r="N142" s="60"/>
      <c r="O142" s="60"/>
      <c r="P142" s="60"/>
      <c r="Q142" s="60"/>
      <c r="R142" s="60"/>
      <c r="S142" s="41"/>
      <c r="T142" s="41"/>
      <c r="U142" s="41"/>
      <c r="V142" s="41"/>
      <c r="W142" s="56"/>
      <c r="X142" s="56"/>
      <c r="Y142" s="56"/>
      <c r="Z142" s="56"/>
      <c r="AA142" s="56"/>
      <c r="AB142" s="56"/>
      <c r="AC142" s="56"/>
      <c r="AD142" s="41"/>
      <c r="AE142" s="41"/>
      <c r="AF142" s="41"/>
      <c r="AG142" s="41"/>
      <c r="AH142" s="41"/>
      <c r="AI142" s="41"/>
      <c r="AJ142" s="41"/>
      <c r="AK142" s="41"/>
      <c r="AL142" s="41"/>
      <c r="AM142" s="41"/>
      <c r="AN142" s="41"/>
      <c r="AO142" s="41"/>
    </row>
    <row r="143" spans="1:41" s="16" customFormat="1" x14ac:dyDescent="0.35">
      <c r="A143" s="17"/>
      <c r="B143" s="22">
        <v>10</v>
      </c>
      <c r="C143" s="32">
        <f t="shared" si="63"/>
        <v>0</v>
      </c>
      <c r="D143" s="32">
        <f t="shared" si="63"/>
        <v>0</v>
      </c>
      <c r="E143" s="32">
        <f t="shared" si="64"/>
        <v>0</v>
      </c>
      <c r="F143" s="32">
        <f t="shared" si="63"/>
        <v>1</v>
      </c>
      <c r="G143" s="32">
        <f t="shared" si="63"/>
        <v>0</v>
      </c>
      <c r="H143" s="32">
        <f t="shared" si="63"/>
        <v>0</v>
      </c>
      <c r="I143" s="32">
        <f t="shared" si="63"/>
        <v>1</v>
      </c>
      <c r="J143" s="60"/>
      <c r="K143" s="60">
        <f t="shared" si="65"/>
        <v>0</v>
      </c>
      <c r="L143" s="60"/>
      <c r="M143" s="60"/>
      <c r="N143" s="60"/>
      <c r="O143" s="60"/>
      <c r="P143" s="60"/>
      <c r="Q143" s="60"/>
      <c r="R143" s="60"/>
      <c r="S143" s="41"/>
      <c r="T143" s="41"/>
      <c r="U143" s="41"/>
      <c r="V143" s="41"/>
      <c r="W143" s="56"/>
      <c r="X143" s="56"/>
      <c r="Y143" s="56"/>
      <c r="Z143" s="56"/>
      <c r="AA143" s="56"/>
      <c r="AB143" s="56"/>
      <c r="AC143" s="56"/>
      <c r="AD143" s="41"/>
      <c r="AE143" s="41"/>
      <c r="AF143" s="41"/>
      <c r="AG143" s="41"/>
      <c r="AH143" s="41"/>
      <c r="AI143" s="41"/>
      <c r="AJ143" s="41"/>
      <c r="AK143" s="41"/>
      <c r="AL143" s="41"/>
      <c r="AM143" s="41"/>
      <c r="AN143" s="41"/>
      <c r="AO143" s="41"/>
    </row>
    <row r="144" spans="1:41" s="16" customFormat="1" x14ac:dyDescent="0.35">
      <c r="A144" s="17"/>
      <c r="B144" s="22">
        <v>11</v>
      </c>
      <c r="C144" s="32">
        <f t="shared" ref="C144:I153" si="66">MOD(FLOOR($B144-1,C$7)/C$7,C$6)</f>
        <v>0</v>
      </c>
      <c r="D144" s="32">
        <f t="shared" si="66"/>
        <v>0</v>
      </c>
      <c r="E144" s="32">
        <f t="shared" si="64"/>
        <v>0</v>
      </c>
      <c r="F144" s="32">
        <f t="shared" si="66"/>
        <v>1</v>
      </c>
      <c r="G144" s="32">
        <f t="shared" si="66"/>
        <v>0</v>
      </c>
      <c r="H144" s="32">
        <f t="shared" si="66"/>
        <v>0</v>
      </c>
      <c r="I144" s="32">
        <f t="shared" si="66"/>
        <v>2</v>
      </c>
      <c r="J144" s="60"/>
      <c r="K144" s="60">
        <f t="shared" si="65"/>
        <v>0</v>
      </c>
      <c r="L144" s="60"/>
      <c r="M144" s="60"/>
      <c r="N144" s="60"/>
      <c r="O144" s="60"/>
      <c r="P144" s="60"/>
      <c r="Q144" s="60"/>
      <c r="R144" s="60"/>
      <c r="S144" s="41"/>
      <c r="T144" s="41"/>
      <c r="U144" s="41"/>
      <c r="V144" s="41"/>
      <c r="W144" s="56"/>
      <c r="X144" s="56"/>
      <c r="Y144" s="56"/>
      <c r="Z144" s="56"/>
      <c r="AA144" s="56"/>
      <c r="AB144" s="56"/>
      <c r="AC144" s="56"/>
      <c r="AD144" s="41"/>
      <c r="AE144" s="41"/>
      <c r="AF144" s="41"/>
      <c r="AG144" s="41"/>
      <c r="AH144" s="41"/>
      <c r="AI144" s="41"/>
      <c r="AJ144" s="41"/>
      <c r="AK144" s="41"/>
      <c r="AL144" s="41"/>
      <c r="AM144" s="41"/>
      <c r="AN144" s="41"/>
      <c r="AO144" s="41"/>
    </row>
    <row r="145" spans="1:41" s="16" customFormat="1" x14ac:dyDescent="0.35">
      <c r="A145" s="17"/>
      <c r="B145" s="22">
        <v>12</v>
      </c>
      <c r="C145" s="32">
        <f t="shared" si="66"/>
        <v>0</v>
      </c>
      <c r="D145" s="32">
        <f t="shared" si="66"/>
        <v>0</v>
      </c>
      <c r="E145" s="32">
        <f t="shared" si="64"/>
        <v>0</v>
      </c>
      <c r="F145" s="32">
        <f t="shared" si="66"/>
        <v>1</v>
      </c>
      <c r="G145" s="32">
        <f t="shared" si="66"/>
        <v>0</v>
      </c>
      <c r="H145" s="32">
        <f t="shared" si="66"/>
        <v>0</v>
      </c>
      <c r="I145" s="32">
        <f t="shared" si="66"/>
        <v>3</v>
      </c>
      <c r="J145" s="60"/>
      <c r="K145" s="60">
        <f t="shared" si="65"/>
        <v>0</v>
      </c>
      <c r="L145" s="60"/>
      <c r="M145" s="60"/>
      <c r="N145" s="60"/>
      <c r="O145" s="60"/>
      <c r="P145" s="60"/>
      <c r="Q145" s="60"/>
      <c r="R145" s="60"/>
      <c r="S145" s="41"/>
      <c r="T145" s="41"/>
      <c r="U145" s="41"/>
      <c r="V145" s="41"/>
      <c r="W145" s="56"/>
      <c r="X145" s="56"/>
      <c r="Y145" s="56"/>
      <c r="Z145" s="56"/>
      <c r="AA145" s="56"/>
      <c r="AB145" s="56"/>
      <c r="AC145" s="56"/>
      <c r="AD145" s="41"/>
      <c r="AE145" s="41"/>
      <c r="AF145" s="41"/>
      <c r="AG145" s="41"/>
      <c r="AH145" s="41"/>
      <c r="AI145" s="41"/>
      <c r="AJ145" s="41"/>
      <c r="AK145" s="41"/>
      <c r="AL145" s="41"/>
      <c r="AM145" s="41"/>
      <c r="AN145" s="41"/>
      <c r="AO145" s="41"/>
    </row>
    <row r="146" spans="1:41" s="16" customFormat="1" x14ac:dyDescent="0.35">
      <c r="A146" s="17"/>
      <c r="B146" s="22">
        <v>13</v>
      </c>
      <c r="C146" s="32">
        <f t="shared" si="66"/>
        <v>0</v>
      </c>
      <c r="D146" s="32">
        <f t="shared" si="66"/>
        <v>0</v>
      </c>
      <c r="E146" s="32">
        <f t="shared" si="64"/>
        <v>0</v>
      </c>
      <c r="F146" s="32">
        <f t="shared" si="66"/>
        <v>1</v>
      </c>
      <c r="G146" s="32">
        <f t="shared" si="66"/>
        <v>0</v>
      </c>
      <c r="H146" s="32">
        <f t="shared" si="66"/>
        <v>0</v>
      </c>
      <c r="I146" s="32">
        <f t="shared" si="66"/>
        <v>4</v>
      </c>
      <c r="J146" s="60"/>
      <c r="K146" s="60">
        <f t="shared" si="65"/>
        <v>0</v>
      </c>
      <c r="L146" s="60"/>
      <c r="M146" s="60"/>
      <c r="N146" s="60"/>
      <c r="O146" s="60"/>
      <c r="P146" s="60"/>
      <c r="Q146" s="60"/>
      <c r="R146" s="60"/>
      <c r="S146" s="41"/>
      <c r="T146" s="41"/>
      <c r="U146" s="41"/>
      <c r="V146" s="41"/>
      <c r="W146" s="56"/>
      <c r="X146" s="56"/>
      <c r="Y146" s="56"/>
      <c r="Z146" s="56"/>
      <c r="AA146" s="56"/>
      <c r="AB146" s="56"/>
      <c r="AC146" s="56"/>
      <c r="AD146" s="41"/>
      <c r="AE146" s="41"/>
      <c r="AF146" s="41"/>
      <c r="AG146" s="41"/>
      <c r="AH146" s="41"/>
      <c r="AI146" s="41"/>
      <c r="AJ146" s="41"/>
      <c r="AK146" s="41"/>
      <c r="AL146" s="41"/>
      <c r="AM146" s="41"/>
      <c r="AN146" s="41"/>
      <c r="AO146" s="41"/>
    </row>
    <row r="147" spans="1:41" s="16" customFormat="1" x14ac:dyDescent="0.35">
      <c r="A147" s="17"/>
      <c r="B147" s="22">
        <v>14</v>
      </c>
      <c r="C147" s="32">
        <f t="shared" si="66"/>
        <v>0</v>
      </c>
      <c r="D147" s="32">
        <f t="shared" si="66"/>
        <v>0</v>
      </c>
      <c r="E147" s="32">
        <f t="shared" si="64"/>
        <v>0</v>
      </c>
      <c r="F147" s="32">
        <f t="shared" si="66"/>
        <v>1</v>
      </c>
      <c r="G147" s="32">
        <f t="shared" si="66"/>
        <v>0</v>
      </c>
      <c r="H147" s="32">
        <f t="shared" si="66"/>
        <v>0</v>
      </c>
      <c r="I147" s="32">
        <f t="shared" si="66"/>
        <v>5</v>
      </c>
      <c r="J147" s="60"/>
      <c r="K147" s="60">
        <f t="shared" si="65"/>
        <v>0</v>
      </c>
      <c r="L147" s="60"/>
      <c r="M147" s="60"/>
      <c r="N147" s="60"/>
      <c r="O147" s="60"/>
      <c r="P147" s="60"/>
      <c r="Q147" s="60"/>
      <c r="R147" s="60"/>
      <c r="S147" s="41"/>
      <c r="T147" s="41"/>
      <c r="U147" s="41"/>
      <c r="V147" s="41"/>
      <c r="W147" s="56"/>
      <c r="X147" s="56"/>
      <c r="Y147" s="56"/>
      <c r="Z147" s="56"/>
      <c r="AA147" s="56"/>
      <c r="AB147" s="56"/>
      <c r="AC147" s="56"/>
      <c r="AD147" s="41"/>
      <c r="AE147" s="41"/>
      <c r="AF147" s="41"/>
      <c r="AG147" s="41"/>
      <c r="AH147" s="41"/>
      <c r="AI147" s="41"/>
      <c r="AJ147" s="41"/>
      <c r="AK147" s="41"/>
      <c r="AL147" s="41"/>
      <c r="AM147" s="41"/>
      <c r="AN147" s="41"/>
      <c r="AO147" s="41"/>
    </row>
    <row r="148" spans="1:41" s="16" customFormat="1" x14ac:dyDescent="0.35">
      <c r="A148" s="17"/>
      <c r="B148" s="22">
        <v>15</v>
      </c>
      <c r="C148" s="32">
        <f t="shared" si="66"/>
        <v>0</v>
      </c>
      <c r="D148" s="32">
        <f t="shared" si="66"/>
        <v>0</v>
      </c>
      <c r="E148" s="32">
        <f t="shared" si="64"/>
        <v>0</v>
      </c>
      <c r="F148" s="32">
        <f t="shared" si="66"/>
        <v>1</v>
      </c>
      <c r="G148" s="32">
        <f t="shared" si="66"/>
        <v>0</v>
      </c>
      <c r="H148" s="32">
        <f t="shared" si="66"/>
        <v>0</v>
      </c>
      <c r="I148" s="32">
        <f t="shared" si="66"/>
        <v>6</v>
      </c>
      <c r="J148" s="60"/>
      <c r="K148" s="60">
        <f t="shared" si="65"/>
        <v>0</v>
      </c>
      <c r="L148" s="60"/>
      <c r="M148" s="60"/>
      <c r="N148" s="60"/>
      <c r="O148" s="60"/>
      <c r="P148" s="60"/>
      <c r="Q148" s="60"/>
      <c r="R148" s="60"/>
      <c r="S148" s="41"/>
      <c r="T148" s="41"/>
      <c r="U148" s="41"/>
      <c r="V148" s="41"/>
      <c r="W148" s="56"/>
      <c r="X148" s="56"/>
      <c r="Y148" s="56"/>
      <c r="Z148" s="56"/>
      <c r="AA148" s="56"/>
      <c r="AB148" s="56"/>
      <c r="AC148" s="56"/>
      <c r="AD148" s="41"/>
      <c r="AE148" s="41"/>
      <c r="AF148" s="41"/>
      <c r="AG148" s="41"/>
      <c r="AH148" s="41"/>
      <c r="AI148" s="41"/>
      <c r="AJ148" s="41"/>
      <c r="AK148" s="41"/>
      <c r="AL148" s="41"/>
      <c r="AM148" s="41"/>
      <c r="AN148" s="41"/>
      <c r="AO148" s="41"/>
    </row>
    <row r="149" spans="1:41" s="16" customFormat="1" x14ac:dyDescent="0.35">
      <c r="A149" s="17"/>
      <c r="B149" s="22">
        <v>16</v>
      </c>
      <c r="C149" s="32">
        <f t="shared" si="66"/>
        <v>0</v>
      </c>
      <c r="D149" s="32">
        <f t="shared" si="66"/>
        <v>0</v>
      </c>
      <c r="E149" s="32">
        <f t="shared" si="64"/>
        <v>0</v>
      </c>
      <c r="F149" s="32">
        <f t="shared" si="66"/>
        <v>1</v>
      </c>
      <c r="G149" s="32">
        <f t="shared" si="66"/>
        <v>0</v>
      </c>
      <c r="H149" s="32">
        <f t="shared" si="66"/>
        <v>0</v>
      </c>
      <c r="I149" s="32">
        <f t="shared" si="66"/>
        <v>7</v>
      </c>
      <c r="J149" s="60"/>
      <c r="K149" s="60">
        <f t="shared" si="65"/>
        <v>0</v>
      </c>
      <c r="L149" s="60"/>
      <c r="M149" s="60"/>
      <c r="N149" s="60"/>
      <c r="O149" s="60"/>
      <c r="P149" s="60"/>
      <c r="Q149" s="60"/>
      <c r="R149" s="60"/>
      <c r="S149" s="41"/>
      <c r="T149" s="41"/>
      <c r="U149" s="41"/>
      <c r="V149" s="41"/>
      <c r="W149" s="56"/>
      <c r="X149" s="56"/>
      <c r="Y149" s="56"/>
      <c r="Z149" s="56"/>
      <c r="AA149" s="56"/>
      <c r="AB149" s="56"/>
      <c r="AC149" s="56"/>
      <c r="AD149" s="41"/>
      <c r="AE149" s="41"/>
      <c r="AF149" s="41"/>
      <c r="AG149" s="41"/>
      <c r="AH149" s="41"/>
      <c r="AI149" s="41"/>
      <c r="AJ149" s="41"/>
      <c r="AK149" s="41"/>
      <c r="AL149" s="41"/>
      <c r="AM149" s="41"/>
      <c r="AN149" s="41"/>
      <c r="AO149" s="41"/>
    </row>
    <row r="150" spans="1:41" s="16" customFormat="1" x14ac:dyDescent="0.35">
      <c r="A150" s="17"/>
      <c r="B150" s="22">
        <v>17</v>
      </c>
      <c r="C150" s="32">
        <f t="shared" si="66"/>
        <v>0</v>
      </c>
      <c r="D150" s="32">
        <f t="shared" si="66"/>
        <v>1</v>
      </c>
      <c r="E150" s="32">
        <f t="shared" si="64"/>
        <v>0</v>
      </c>
      <c r="F150" s="32">
        <f t="shared" si="66"/>
        <v>0</v>
      </c>
      <c r="G150" s="32">
        <f t="shared" si="66"/>
        <v>0</v>
      </c>
      <c r="H150" s="32">
        <f t="shared" si="66"/>
        <v>0</v>
      </c>
      <c r="I150" s="32">
        <f t="shared" si="66"/>
        <v>0</v>
      </c>
      <c r="J150" s="60"/>
      <c r="K150" s="60">
        <f t="shared" si="65"/>
        <v>0</v>
      </c>
      <c r="L150" s="60"/>
      <c r="M150" s="60"/>
      <c r="N150" s="60"/>
      <c r="O150" s="60"/>
      <c r="P150" s="60"/>
      <c r="Q150" s="60"/>
      <c r="R150" s="60"/>
      <c r="S150" s="41"/>
      <c r="T150" s="41"/>
      <c r="U150" s="41"/>
      <c r="V150" s="41"/>
      <c r="W150" s="56"/>
      <c r="X150" s="56"/>
      <c r="Y150" s="56"/>
      <c r="Z150" s="56"/>
      <c r="AA150" s="56"/>
      <c r="AB150" s="56"/>
      <c r="AC150" s="56"/>
      <c r="AD150" s="41"/>
      <c r="AE150" s="41"/>
      <c r="AF150" s="41"/>
      <c r="AG150" s="41"/>
      <c r="AH150" s="41"/>
      <c r="AI150" s="41"/>
      <c r="AJ150" s="41"/>
      <c r="AK150" s="41"/>
      <c r="AL150" s="41"/>
      <c r="AM150" s="41"/>
      <c r="AN150" s="41"/>
      <c r="AO150" s="41"/>
    </row>
    <row r="151" spans="1:41" s="16" customFormat="1" x14ac:dyDescent="0.35">
      <c r="A151" s="17"/>
      <c r="B151" s="22">
        <v>18</v>
      </c>
      <c r="C151" s="32">
        <f t="shared" si="66"/>
        <v>0</v>
      </c>
      <c r="D151" s="32">
        <f t="shared" si="66"/>
        <v>1</v>
      </c>
      <c r="E151" s="32">
        <f t="shared" si="64"/>
        <v>0</v>
      </c>
      <c r="F151" s="32">
        <f t="shared" si="66"/>
        <v>0</v>
      </c>
      <c r="G151" s="32">
        <f t="shared" si="66"/>
        <v>0</v>
      </c>
      <c r="H151" s="32">
        <f t="shared" si="66"/>
        <v>0</v>
      </c>
      <c r="I151" s="32">
        <f t="shared" si="66"/>
        <v>1</v>
      </c>
      <c r="J151" s="60"/>
      <c r="K151" s="60">
        <f t="shared" si="65"/>
        <v>0</v>
      </c>
      <c r="L151" s="60"/>
      <c r="M151" s="60"/>
      <c r="N151" s="60"/>
      <c r="O151" s="60"/>
      <c r="P151" s="60"/>
      <c r="Q151" s="60"/>
      <c r="R151" s="60"/>
      <c r="S151" s="41"/>
      <c r="T151" s="41"/>
      <c r="U151" s="41"/>
      <c r="V151" s="41"/>
      <c r="W151" s="56"/>
      <c r="X151" s="56"/>
      <c r="Y151" s="56"/>
      <c r="Z151" s="56"/>
      <c r="AA151" s="56"/>
      <c r="AB151" s="56"/>
      <c r="AC151" s="56"/>
      <c r="AD151" s="41"/>
      <c r="AE151" s="41"/>
      <c r="AF151" s="41"/>
      <c r="AG151" s="41"/>
      <c r="AH151" s="41"/>
      <c r="AI151" s="41"/>
      <c r="AJ151" s="41"/>
      <c r="AK151" s="41"/>
      <c r="AL151" s="41"/>
      <c r="AM151" s="41"/>
      <c r="AN151" s="41"/>
      <c r="AO151" s="41"/>
    </row>
    <row r="152" spans="1:41" s="16" customFormat="1" x14ac:dyDescent="0.35">
      <c r="A152" s="17"/>
      <c r="B152" s="22">
        <v>19</v>
      </c>
      <c r="C152" s="32">
        <f t="shared" si="66"/>
        <v>0</v>
      </c>
      <c r="D152" s="32">
        <f t="shared" si="66"/>
        <v>1</v>
      </c>
      <c r="E152" s="32">
        <f t="shared" si="64"/>
        <v>0</v>
      </c>
      <c r="F152" s="32">
        <f t="shared" si="66"/>
        <v>0</v>
      </c>
      <c r="G152" s="32">
        <f t="shared" si="66"/>
        <v>0</v>
      </c>
      <c r="H152" s="32">
        <f t="shared" si="66"/>
        <v>0</v>
      </c>
      <c r="I152" s="32">
        <f t="shared" si="66"/>
        <v>2</v>
      </c>
      <c r="J152" s="60"/>
      <c r="K152" s="60">
        <f t="shared" si="65"/>
        <v>0</v>
      </c>
      <c r="L152" s="60"/>
      <c r="M152" s="60"/>
      <c r="N152" s="60"/>
      <c r="O152" s="60"/>
      <c r="P152" s="60"/>
      <c r="Q152" s="60"/>
      <c r="R152" s="60"/>
      <c r="S152" s="41"/>
      <c r="T152" s="41"/>
      <c r="U152" s="41"/>
      <c r="V152" s="41"/>
      <c r="W152" s="56"/>
      <c r="X152" s="56"/>
      <c r="Y152" s="56"/>
      <c r="Z152" s="56"/>
      <c r="AA152" s="56"/>
      <c r="AB152" s="56"/>
      <c r="AC152" s="56"/>
      <c r="AD152" s="41"/>
      <c r="AE152" s="41"/>
      <c r="AF152" s="41"/>
      <c r="AG152" s="41"/>
      <c r="AH152" s="41"/>
      <c r="AI152" s="41"/>
      <c r="AJ152" s="41"/>
      <c r="AK152" s="41"/>
      <c r="AL152" s="41"/>
      <c r="AM152" s="41"/>
      <c r="AN152" s="41"/>
      <c r="AO152" s="41"/>
    </row>
    <row r="153" spans="1:41" s="16" customFormat="1" x14ac:dyDescent="0.35">
      <c r="A153" s="17"/>
      <c r="B153" s="22">
        <v>20</v>
      </c>
      <c r="C153" s="32">
        <f t="shared" si="66"/>
        <v>0</v>
      </c>
      <c r="D153" s="32">
        <f t="shared" si="66"/>
        <v>1</v>
      </c>
      <c r="E153" s="32">
        <f t="shared" si="64"/>
        <v>0</v>
      </c>
      <c r="F153" s="32">
        <f t="shared" si="66"/>
        <v>0</v>
      </c>
      <c r="G153" s="32">
        <f t="shared" si="66"/>
        <v>0</v>
      </c>
      <c r="H153" s="32">
        <f t="shared" si="66"/>
        <v>0</v>
      </c>
      <c r="I153" s="32">
        <f t="shared" si="66"/>
        <v>3</v>
      </c>
      <c r="J153" s="60"/>
      <c r="K153" s="60">
        <f t="shared" si="65"/>
        <v>0</v>
      </c>
      <c r="L153" s="60"/>
      <c r="M153" s="60"/>
      <c r="N153" s="60"/>
      <c r="O153" s="60"/>
      <c r="P153" s="60"/>
      <c r="Q153" s="60"/>
      <c r="R153" s="60"/>
      <c r="S153" s="41"/>
      <c r="T153" s="41"/>
      <c r="U153" s="41"/>
      <c r="V153" s="41"/>
      <c r="W153" s="56"/>
      <c r="X153" s="56"/>
      <c r="Y153" s="56"/>
      <c r="Z153" s="56"/>
      <c r="AA153" s="56"/>
      <c r="AB153" s="56"/>
      <c r="AC153" s="56"/>
      <c r="AD153" s="41"/>
      <c r="AE153" s="41"/>
      <c r="AF153" s="41"/>
      <c r="AG153" s="41"/>
      <c r="AH153" s="41"/>
      <c r="AI153" s="41"/>
      <c r="AJ153" s="41"/>
      <c r="AK153" s="41"/>
      <c r="AL153" s="41"/>
      <c r="AM153" s="41"/>
      <c r="AN153" s="41"/>
      <c r="AO153" s="41"/>
    </row>
    <row r="154" spans="1:41" s="16" customFormat="1" x14ac:dyDescent="0.35">
      <c r="A154" s="17"/>
      <c r="B154" s="22">
        <v>21</v>
      </c>
      <c r="C154" s="32">
        <f t="shared" ref="C154:I163" si="67">MOD(FLOOR($B154-1,C$7)/C$7,C$6)</f>
        <v>0</v>
      </c>
      <c r="D154" s="32">
        <f t="shared" si="67"/>
        <v>1</v>
      </c>
      <c r="E154" s="32">
        <f t="shared" si="64"/>
        <v>0</v>
      </c>
      <c r="F154" s="32">
        <f t="shared" si="67"/>
        <v>0</v>
      </c>
      <c r="G154" s="32">
        <f t="shared" si="67"/>
        <v>0</v>
      </c>
      <c r="H154" s="32">
        <f t="shared" si="67"/>
        <v>0</v>
      </c>
      <c r="I154" s="32">
        <f t="shared" si="67"/>
        <v>4</v>
      </c>
      <c r="J154" s="60"/>
      <c r="K154" s="60">
        <f t="shared" si="65"/>
        <v>0</v>
      </c>
      <c r="L154" s="60"/>
      <c r="M154" s="60"/>
      <c r="N154" s="60"/>
      <c r="O154" s="60"/>
      <c r="P154" s="60"/>
      <c r="Q154" s="60"/>
      <c r="R154" s="60"/>
      <c r="S154" s="41"/>
      <c r="T154" s="41"/>
      <c r="U154" s="41"/>
      <c r="V154" s="41"/>
      <c r="W154" s="56"/>
      <c r="X154" s="56"/>
      <c r="Y154" s="56"/>
      <c r="Z154" s="56"/>
      <c r="AA154" s="56"/>
      <c r="AB154" s="56"/>
      <c r="AC154" s="56"/>
      <c r="AD154" s="41"/>
      <c r="AE154" s="41"/>
      <c r="AF154" s="41"/>
      <c r="AG154" s="41"/>
      <c r="AH154" s="41"/>
      <c r="AI154" s="41"/>
      <c r="AJ154" s="41"/>
      <c r="AK154" s="41"/>
      <c r="AL154" s="41"/>
      <c r="AM154" s="41"/>
      <c r="AN154" s="41"/>
      <c r="AO154" s="41"/>
    </row>
    <row r="155" spans="1:41" s="16" customFormat="1" x14ac:dyDescent="0.35">
      <c r="A155" s="17"/>
      <c r="B155" s="22">
        <v>22</v>
      </c>
      <c r="C155" s="32">
        <f t="shared" si="67"/>
        <v>0</v>
      </c>
      <c r="D155" s="32">
        <f t="shared" si="67"/>
        <v>1</v>
      </c>
      <c r="E155" s="32">
        <f t="shared" si="64"/>
        <v>0</v>
      </c>
      <c r="F155" s="32">
        <f t="shared" si="67"/>
        <v>0</v>
      </c>
      <c r="G155" s="32">
        <f t="shared" si="67"/>
        <v>0</v>
      </c>
      <c r="H155" s="32">
        <f t="shared" si="67"/>
        <v>0</v>
      </c>
      <c r="I155" s="32">
        <f t="shared" si="67"/>
        <v>5</v>
      </c>
      <c r="J155" s="60"/>
      <c r="K155" s="60">
        <f t="shared" si="65"/>
        <v>0</v>
      </c>
      <c r="L155" s="60"/>
      <c r="M155" s="60"/>
      <c r="N155" s="60"/>
      <c r="O155" s="60"/>
      <c r="P155" s="60"/>
      <c r="Q155" s="60"/>
      <c r="R155" s="60"/>
      <c r="S155" s="41"/>
      <c r="T155" s="41"/>
      <c r="U155" s="41"/>
      <c r="V155" s="41"/>
      <c r="W155" s="56"/>
      <c r="X155" s="56"/>
      <c r="Y155" s="56"/>
      <c r="Z155" s="56"/>
      <c r="AA155" s="56"/>
      <c r="AB155" s="56"/>
      <c r="AC155" s="56"/>
      <c r="AD155" s="41"/>
      <c r="AE155" s="41"/>
      <c r="AF155" s="41"/>
      <c r="AG155" s="41"/>
      <c r="AH155" s="41"/>
      <c r="AI155" s="41"/>
      <c r="AJ155" s="41"/>
      <c r="AK155" s="41"/>
      <c r="AL155" s="41"/>
      <c r="AM155" s="41"/>
      <c r="AN155" s="41"/>
      <c r="AO155" s="41"/>
    </row>
    <row r="156" spans="1:41" s="16" customFormat="1" x14ac:dyDescent="0.35">
      <c r="A156" s="17"/>
      <c r="B156" s="22">
        <v>23</v>
      </c>
      <c r="C156" s="32">
        <f t="shared" si="67"/>
        <v>0</v>
      </c>
      <c r="D156" s="32">
        <f t="shared" si="67"/>
        <v>1</v>
      </c>
      <c r="E156" s="32">
        <f t="shared" si="64"/>
        <v>0</v>
      </c>
      <c r="F156" s="32">
        <f t="shared" si="67"/>
        <v>0</v>
      </c>
      <c r="G156" s="32">
        <f t="shared" si="67"/>
        <v>0</v>
      </c>
      <c r="H156" s="32">
        <f t="shared" si="67"/>
        <v>0</v>
      </c>
      <c r="I156" s="32">
        <f t="shared" si="67"/>
        <v>6</v>
      </c>
      <c r="J156" s="60"/>
      <c r="K156" s="60">
        <f t="shared" si="65"/>
        <v>0</v>
      </c>
      <c r="L156" s="60"/>
      <c r="M156" s="60"/>
      <c r="N156" s="60"/>
      <c r="O156" s="60"/>
      <c r="P156" s="60"/>
      <c r="Q156" s="60"/>
      <c r="R156" s="60"/>
      <c r="S156" s="41"/>
      <c r="T156" s="41"/>
      <c r="U156" s="41"/>
      <c r="V156" s="41"/>
      <c r="W156" s="56"/>
      <c r="X156" s="56"/>
      <c r="Y156" s="56"/>
      <c r="Z156" s="56"/>
      <c r="AA156" s="56"/>
      <c r="AB156" s="56"/>
      <c r="AC156" s="56"/>
      <c r="AD156" s="41"/>
      <c r="AE156" s="41"/>
      <c r="AF156" s="41"/>
      <c r="AG156" s="41"/>
      <c r="AH156" s="41"/>
      <c r="AI156" s="41"/>
      <c r="AJ156" s="41"/>
      <c r="AK156" s="41"/>
      <c r="AL156" s="41"/>
      <c r="AM156" s="41"/>
      <c r="AN156" s="41"/>
      <c r="AO156" s="41"/>
    </row>
    <row r="157" spans="1:41" s="16" customFormat="1" x14ac:dyDescent="0.35">
      <c r="A157" s="17"/>
      <c r="B157" s="22">
        <v>24</v>
      </c>
      <c r="C157" s="32">
        <f t="shared" si="67"/>
        <v>0</v>
      </c>
      <c r="D157" s="32">
        <f t="shared" si="67"/>
        <v>1</v>
      </c>
      <c r="E157" s="32">
        <f t="shared" si="64"/>
        <v>0</v>
      </c>
      <c r="F157" s="32">
        <f t="shared" si="67"/>
        <v>0</v>
      </c>
      <c r="G157" s="32">
        <f t="shared" si="67"/>
        <v>0</v>
      </c>
      <c r="H157" s="32">
        <f t="shared" si="67"/>
        <v>0</v>
      </c>
      <c r="I157" s="32">
        <f t="shared" si="67"/>
        <v>7</v>
      </c>
      <c r="J157" s="60"/>
      <c r="K157" s="60">
        <f t="shared" si="65"/>
        <v>0</v>
      </c>
      <c r="L157" s="60"/>
      <c r="M157" s="60"/>
      <c r="N157" s="60"/>
      <c r="O157" s="60"/>
      <c r="P157" s="60"/>
      <c r="Q157" s="60"/>
      <c r="R157" s="60"/>
      <c r="S157" s="41"/>
      <c r="T157" s="41"/>
      <c r="U157" s="41"/>
      <c r="V157" s="41"/>
      <c r="W157" s="56"/>
      <c r="X157" s="56"/>
      <c r="Y157" s="56"/>
      <c r="Z157" s="56"/>
      <c r="AA157" s="56"/>
      <c r="AB157" s="56"/>
      <c r="AC157" s="56"/>
      <c r="AD157" s="41"/>
      <c r="AE157" s="41"/>
      <c r="AF157" s="41"/>
      <c r="AG157" s="41"/>
      <c r="AH157" s="41"/>
      <c r="AI157" s="41"/>
      <c r="AJ157" s="41"/>
      <c r="AK157" s="41"/>
      <c r="AL157" s="41"/>
      <c r="AM157" s="41"/>
      <c r="AN157" s="41"/>
      <c r="AO157" s="41"/>
    </row>
    <row r="158" spans="1:41" s="16" customFormat="1" x14ac:dyDescent="0.35">
      <c r="A158" s="17"/>
      <c r="B158" s="22">
        <v>25</v>
      </c>
      <c r="C158" s="32">
        <f t="shared" si="67"/>
        <v>0</v>
      </c>
      <c r="D158" s="32">
        <f t="shared" si="67"/>
        <v>1</v>
      </c>
      <c r="E158" s="32">
        <f t="shared" si="64"/>
        <v>0</v>
      </c>
      <c r="F158" s="32">
        <f t="shared" si="67"/>
        <v>1</v>
      </c>
      <c r="G158" s="32">
        <f t="shared" si="67"/>
        <v>0</v>
      </c>
      <c r="H158" s="32">
        <f t="shared" si="67"/>
        <v>0</v>
      </c>
      <c r="I158" s="32">
        <f t="shared" si="67"/>
        <v>0</v>
      </c>
      <c r="J158" s="60"/>
      <c r="K158" s="60">
        <f t="shared" si="65"/>
        <v>0</v>
      </c>
      <c r="L158" s="60"/>
      <c r="M158" s="60"/>
      <c r="N158" s="60"/>
      <c r="O158" s="60"/>
      <c r="P158" s="60"/>
      <c r="Q158" s="60"/>
      <c r="R158" s="60"/>
      <c r="S158" s="41"/>
      <c r="T158" s="41"/>
      <c r="U158" s="41"/>
      <c r="V158" s="41"/>
      <c r="W158" s="56"/>
      <c r="X158" s="56"/>
      <c r="Y158" s="56"/>
      <c r="Z158" s="56"/>
      <c r="AA158" s="56"/>
      <c r="AB158" s="56"/>
      <c r="AC158" s="56"/>
      <c r="AD158" s="41"/>
      <c r="AE158" s="41"/>
      <c r="AF158" s="41"/>
      <c r="AG158" s="41"/>
      <c r="AH158" s="41"/>
      <c r="AI158" s="41"/>
      <c r="AJ158" s="41"/>
      <c r="AK158" s="41"/>
      <c r="AL158" s="41"/>
      <c r="AM158" s="41"/>
      <c r="AN158" s="41"/>
      <c r="AO158" s="41"/>
    </row>
    <row r="159" spans="1:41" s="16" customFormat="1" x14ac:dyDescent="0.35">
      <c r="A159" s="17"/>
      <c r="B159" s="22">
        <v>26</v>
      </c>
      <c r="C159" s="32">
        <f t="shared" si="67"/>
        <v>0</v>
      </c>
      <c r="D159" s="32">
        <f t="shared" si="67"/>
        <v>1</v>
      </c>
      <c r="E159" s="32">
        <f t="shared" si="64"/>
        <v>0</v>
      </c>
      <c r="F159" s="32">
        <f t="shared" si="67"/>
        <v>1</v>
      </c>
      <c r="G159" s="32">
        <f t="shared" si="67"/>
        <v>0</v>
      </c>
      <c r="H159" s="32">
        <f t="shared" si="67"/>
        <v>0</v>
      </c>
      <c r="I159" s="32">
        <f t="shared" si="67"/>
        <v>1</v>
      </c>
      <c r="J159" s="60"/>
      <c r="K159" s="60">
        <f t="shared" si="65"/>
        <v>0</v>
      </c>
      <c r="L159" s="60"/>
      <c r="M159" s="60"/>
      <c r="N159" s="60"/>
      <c r="O159" s="60"/>
      <c r="P159" s="60"/>
      <c r="Q159" s="60"/>
      <c r="R159" s="60"/>
      <c r="S159" s="41"/>
      <c r="T159" s="41"/>
      <c r="U159" s="41"/>
      <c r="V159" s="41"/>
      <c r="W159" s="56"/>
      <c r="X159" s="56"/>
      <c r="Y159" s="56"/>
      <c r="Z159" s="56"/>
      <c r="AA159" s="56"/>
      <c r="AB159" s="56"/>
      <c r="AC159" s="56"/>
      <c r="AD159" s="41"/>
      <c r="AE159" s="41"/>
      <c r="AF159" s="41"/>
      <c r="AG159" s="41"/>
      <c r="AH159" s="41"/>
      <c r="AI159" s="41"/>
      <c r="AJ159" s="41"/>
      <c r="AK159" s="41"/>
      <c r="AL159" s="41"/>
      <c r="AM159" s="41"/>
      <c r="AN159" s="41"/>
      <c r="AO159" s="41"/>
    </row>
    <row r="160" spans="1:41" s="16" customFormat="1" x14ac:dyDescent="0.35">
      <c r="A160" s="17"/>
      <c r="B160" s="22">
        <v>27</v>
      </c>
      <c r="C160" s="32">
        <f t="shared" si="67"/>
        <v>0</v>
      </c>
      <c r="D160" s="32">
        <f t="shared" si="67"/>
        <v>1</v>
      </c>
      <c r="E160" s="32">
        <f t="shared" si="64"/>
        <v>0</v>
      </c>
      <c r="F160" s="32">
        <f t="shared" si="67"/>
        <v>1</v>
      </c>
      <c r="G160" s="32">
        <f t="shared" si="67"/>
        <v>0</v>
      </c>
      <c r="H160" s="32">
        <f t="shared" si="67"/>
        <v>0</v>
      </c>
      <c r="I160" s="32">
        <f t="shared" si="67"/>
        <v>2</v>
      </c>
      <c r="J160" s="60"/>
      <c r="K160" s="60">
        <f t="shared" si="65"/>
        <v>0</v>
      </c>
      <c r="L160" s="60"/>
      <c r="M160" s="60"/>
      <c r="N160" s="60"/>
      <c r="O160" s="60"/>
      <c r="P160" s="60"/>
      <c r="Q160" s="60"/>
      <c r="R160" s="60"/>
      <c r="S160" s="41"/>
      <c r="T160" s="41"/>
      <c r="U160" s="41"/>
      <c r="V160" s="41"/>
      <c r="W160" s="56"/>
      <c r="X160" s="56"/>
      <c r="Y160" s="56"/>
      <c r="Z160" s="56"/>
      <c r="AA160" s="56"/>
      <c r="AB160" s="56"/>
      <c r="AC160" s="56"/>
      <c r="AD160" s="41"/>
      <c r="AE160" s="41"/>
      <c r="AF160" s="41"/>
      <c r="AG160" s="41"/>
      <c r="AH160" s="41"/>
      <c r="AI160" s="41"/>
      <c r="AJ160" s="41"/>
      <c r="AK160" s="41"/>
      <c r="AL160" s="41"/>
      <c r="AM160" s="41"/>
      <c r="AN160" s="41"/>
      <c r="AO160" s="41"/>
    </row>
    <row r="161" spans="1:41" s="16" customFormat="1" x14ac:dyDescent="0.35">
      <c r="A161" s="17"/>
      <c r="B161" s="22">
        <v>28</v>
      </c>
      <c r="C161" s="32">
        <f t="shared" si="67"/>
        <v>0</v>
      </c>
      <c r="D161" s="32">
        <f t="shared" si="67"/>
        <v>1</v>
      </c>
      <c r="E161" s="32">
        <f t="shared" si="64"/>
        <v>0</v>
      </c>
      <c r="F161" s="32">
        <f t="shared" si="67"/>
        <v>1</v>
      </c>
      <c r="G161" s="32">
        <f t="shared" si="67"/>
        <v>0</v>
      </c>
      <c r="H161" s="32">
        <f t="shared" si="67"/>
        <v>0</v>
      </c>
      <c r="I161" s="32">
        <f t="shared" si="67"/>
        <v>3</v>
      </c>
      <c r="J161" s="60"/>
      <c r="K161" s="60">
        <f t="shared" si="65"/>
        <v>0</v>
      </c>
      <c r="L161" s="60"/>
      <c r="M161" s="60"/>
      <c r="N161" s="60"/>
      <c r="O161" s="60"/>
      <c r="P161" s="60"/>
      <c r="Q161" s="60"/>
      <c r="R161" s="60"/>
      <c r="S161" s="41"/>
      <c r="T161" s="41"/>
      <c r="U161" s="41"/>
      <c r="V161" s="41"/>
      <c r="W161" s="56"/>
      <c r="X161" s="56"/>
      <c r="Y161" s="56"/>
      <c r="Z161" s="56"/>
      <c r="AA161" s="56"/>
      <c r="AB161" s="56"/>
      <c r="AC161" s="56"/>
      <c r="AD161" s="41"/>
      <c r="AE161" s="41"/>
      <c r="AF161" s="41"/>
      <c r="AG161" s="41"/>
      <c r="AH161" s="41"/>
      <c r="AI161" s="41"/>
      <c r="AJ161" s="41"/>
      <c r="AK161" s="41"/>
      <c r="AL161" s="41"/>
      <c r="AM161" s="41"/>
      <c r="AN161" s="41"/>
      <c r="AO161" s="41"/>
    </row>
    <row r="162" spans="1:41" s="16" customFormat="1" x14ac:dyDescent="0.35">
      <c r="A162" s="17"/>
      <c r="B162" s="22">
        <v>29</v>
      </c>
      <c r="C162" s="32">
        <f t="shared" si="67"/>
        <v>0</v>
      </c>
      <c r="D162" s="32">
        <f t="shared" si="67"/>
        <v>1</v>
      </c>
      <c r="E162" s="32">
        <f t="shared" si="64"/>
        <v>0</v>
      </c>
      <c r="F162" s="32">
        <f t="shared" si="67"/>
        <v>1</v>
      </c>
      <c r="G162" s="32">
        <f t="shared" si="67"/>
        <v>0</v>
      </c>
      <c r="H162" s="32">
        <f t="shared" si="67"/>
        <v>0</v>
      </c>
      <c r="I162" s="32">
        <f t="shared" si="67"/>
        <v>4</v>
      </c>
      <c r="J162" s="60"/>
      <c r="K162" s="60">
        <f t="shared" si="65"/>
        <v>0</v>
      </c>
      <c r="L162" s="60"/>
      <c r="M162" s="60"/>
      <c r="N162" s="60"/>
      <c r="O162" s="60"/>
      <c r="P162" s="60"/>
      <c r="Q162" s="60"/>
      <c r="R162" s="60"/>
      <c r="S162" s="41"/>
      <c r="T162" s="41"/>
      <c r="U162" s="41"/>
      <c r="V162" s="41"/>
      <c r="W162" s="56"/>
      <c r="X162" s="56"/>
      <c r="Y162" s="56"/>
      <c r="Z162" s="56"/>
      <c r="AA162" s="56"/>
      <c r="AB162" s="56"/>
      <c r="AC162" s="56"/>
      <c r="AD162" s="41"/>
      <c r="AE162" s="41"/>
      <c r="AF162" s="41"/>
      <c r="AG162" s="41"/>
      <c r="AH162" s="41"/>
      <c r="AI162" s="41"/>
      <c r="AJ162" s="41"/>
      <c r="AK162" s="41"/>
      <c r="AL162" s="41"/>
      <c r="AM162" s="41"/>
      <c r="AN162" s="41"/>
      <c r="AO162" s="41"/>
    </row>
    <row r="163" spans="1:41" s="16" customFormat="1" x14ac:dyDescent="0.35">
      <c r="A163" s="17"/>
      <c r="B163" s="22">
        <v>30</v>
      </c>
      <c r="C163" s="32">
        <f t="shared" si="67"/>
        <v>0</v>
      </c>
      <c r="D163" s="32">
        <f t="shared" si="67"/>
        <v>1</v>
      </c>
      <c r="E163" s="32">
        <f t="shared" si="64"/>
        <v>0</v>
      </c>
      <c r="F163" s="32">
        <f t="shared" si="67"/>
        <v>1</v>
      </c>
      <c r="G163" s="32">
        <f t="shared" si="67"/>
        <v>0</v>
      </c>
      <c r="H163" s="32">
        <f t="shared" si="67"/>
        <v>0</v>
      </c>
      <c r="I163" s="32">
        <f t="shared" si="67"/>
        <v>5</v>
      </c>
      <c r="J163" s="60"/>
      <c r="K163" s="60">
        <f t="shared" si="65"/>
        <v>0</v>
      </c>
      <c r="L163" s="60"/>
      <c r="M163" s="60"/>
      <c r="N163" s="60"/>
      <c r="O163" s="60"/>
      <c r="P163" s="60"/>
      <c r="Q163" s="60"/>
      <c r="R163" s="60"/>
      <c r="S163" s="41"/>
      <c r="T163" s="41"/>
      <c r="U163" s="41"/>
      <c r="V163" s="41"/>
      <c r="W163" s="56"/>
      <c r="X163" s="56"/>
      <c r="Y163" s="56"/>
      <c r="Z163" s="56"/>
      <c r="AA163" s="56"/>
      <c r="AB163" s="56"/>
      <c r="AC163" s="56"/>
      <c r="AD163" s="41"/>
      <c r="AE163" s="41"/>
      <c r="AF163" s="41"/>
      <c r="AG163" s="41"/>
      <c r="AH163" s="41"/>
      <c r="AI163" s="41"/>
      <c r="AJ163" s="41"/>
      <c r="AK163" s="41"/>
      <c r="AL163" s="41"/>
      <c r="AM163" s="41"/>
      <c r="AN163" s="41"/>
      <c r="AO163" s="41"/>
    </row>
    <row r="164" spans="1:41" s="16" customFormat="1" x14ac:dyDescent="0.35">
      <c r="A164" s="17"/>
      <c r="B164" s="22">
        <v>31</v>
      </c>
      <c r="C164" s="32">
        <f t="shared" ref="C164:I173" si="68">MOD(FLOOR($B164-1,C$7)/C$7,C$6)</f>
        <v>0</v>
      </c>
      <c r="D164" s="32">
        <f t="shared" si="68"/>
        <v>1</v>
      </c>
      <c r="E164" s="32">
        <f t="shared" si="64"/>
        <v>0</v>
      </c>
      <c r="F164" s="32">
        <f t="shared" si="68"/>
        <v>1</v>
      </c>
      <c r="G164" s="32">
        <f t="shared" si="68"/>
        <v>0</v>
      </c>
      <c r="H164" s="32">
        <f t="shared" si="68"/>
        <v>0</v>
      </c>
      <c r="I164" s="32">
        <f t="shared" si="68"/>
        <v>6</v>
      </c>
      <c r="J164" s="60"/>
      <c r="K164" s="60">
        <f t="shared" si="65"/>
        <v>0</v>
      </c>
      <c r="L164" s="60"/>
      <c r="M164" s="60"/>
      <c r="N164" s="60"/>
      <c r="O164" s="60"/>
      <c r="P164" s="60"/>
      <c r="Q164" s="60"/>
      <c r="R164" s="60"/>
      <c r="S164" s="41"/>
      <c r="T164" s="41"/>
      <c r="U164" s="41"/>
      <c r="V164" s="41"/>
      <c r="W164" s="56"/>
      <c r="X164" s="56"/>
      <c r="Y164" s="56"/>
      <c r="Z164" s="56"/>
      <c r="AA164" s="56"/>
      <c r="AB164" s="56"/>
      <c r="AC164" s="56"/>
      <c r="AD164" s="41"/>
      <c r="AE164" s="41"/>
      <c r="AF164" s="41"/>
      <c r="AG164" s="41"/>
      <c r="AH164" s="41"/>
      <c r="AI164" s="41"/>
      <c r="AJ164" s="41"/>
      <c r="AK164" s="41"/>
      <c r="AL164" s="41"/>
      <c r="AM164" s="41"/>
      <c r="AN164" s="41"/>
      <c r="AO164" s="41"/>
    </row>
    <row r="165" spans="1:41" s="16" customFormat="1" x14ac:dyDescent="0.35">
      <c r="A165" s="17"/>
      <c r="B165" s="22">
        <v>32</v>
      </c>
      <c r="C165" s="32">
        <f t="shared" si="68"/>
        <v>0</v>
      </c>
      <c r="D165" s="32">
        <f t="shared" si="68"/>
        <v>1</v>
      </c>
      <c r="E165" s="32">
        <f t="shared" si="64"/>
        <v>0</v>
      </c>
      <c r="F165" s="32">
        <f t="shared" si="68"/>
        <v>1</v>
      </c>
      <c r="G165" s="32">
        <f t="shared" si="68"/>
        <v>0</v>
      </c>
      <c r="H165" s="32">
        <f t="shared" si="68"/>
        <v>0</v>
      </c>
      <c r="I165" s="32">
        <f t="shared" si="68"/>
        <v>7</v>
      </c>
      <c r="J165" s="60"/>
      <c r="K165" s="60">
        <f t="shared" si="65"/>
        <v>0</v>
      </c>
      <c r="L165" s="60"/>
      <c r="M165" s="60"/>
      <c r="N165" s="60"/>
      <c r="O165" s="60"/>
      <c r="P165" s="60"/>
      <c r="Q165" s="60"/>
      <c r="R165" s="60"/>
      <c r="S165" s="41"/>
      <c r="T165" s="41"/>
      <c r="U165" s="41"/>
      <c r="V165" s="41"/>
      <c r="W165" s="56"/>
      <c r="X165" s="56"/>
      <c r="Y165" s="56"/>
      <c r="Z165" s="56"/>
      <c r="AA165" s="56"/>
      <c r="AB165" s="56"/>
      <c r="AC165" s="56"/>
      <c r="AD165" s="41"/>
      <c r="AE165" s="41"/>
      <c r="AF165" s="41"/>
      <c r="AG165" s="41"/>
      <c r="AH165" s="41"/>
      <c r="AI165" s="41"/>
      <c r="AJ165" s="41"/>
      <c r="AK165" s="41"/>
      <c r="AL165" s="41"/>
      <c r="AM165" s="41"/>
      <c r="AN165" s="41"/>
      <c r="AO165" s="41"/>
    </row>
    <row r="166" spans="1:41" s="16" customFormat="1" x14ac:dyDescent="0.35">
      <c r="A166" s="17"/>
      <c r="B166" s="22">
        <v>33</v>
      </c>
      <c r="C166" s="32">
        <f t="shared" si="68"/>
        <v>0</v>
      </c>
      <c r="D166" s="32">
        <f t="shared" si="68"/>
        <v>2</v>
      </c>
      <c r="E166" s="32">
        <f t="shared" si="64"/>
        <v>0</v>
      </c>
      <c r="F166" s="32">
        <f t="shared" si="68"/>
        <v>0</v>
      </c>
      <c r="G166" s="32">
        <f t="shared" si="68"/>
        <v>0</v>
      </c>
      <c r="H166" s="32">
        <f t="shared" si="68"/>
        <v>0</v>
      </c>
      <c r="I166" s="32">
        <f t="shared" si="68"/>
        <v>0</v>
      </c>
      <c r="J166" s="60"/>
      <c r="K166" s="60">
        <f t="shared" si="65"/>
        <v>0</v>
      </c>
      <c r="L166" s="60"/>
      <c r="M166" s="60"/>
      <c r="N166" s="60"/>
      <c r="O166" s="60"/>
      <c r="P166" s="60"/>
      <c r="Q166" s="60"/>
      <c r="R166" s="60"/>
      <c r="S166" s="41"/>
      <c r="T166" s="41"/>
      <c r="U166" s="41"/>
      <c r="V166" s="41"/>
      <c r="W166" s="56"/>
      <c r="X166" s="56"/>
      <c r="Y166" s="56"/>
      <c r="Z166" s="56"/>
      <c r="AA166" s="56"/>
      <c r="AB166" s="56"/>
      <c r="AC166" s="56"/>
      <c r="AD166" s="41"/>
      <c r="AE166" s="41"/>
      <c r="AF166" s="41"/>
      <c r="AG166" s="41"/>
      <c r="AH166" s="41"/>
      <c r="AI166" s="41"/>
      <c r="AJ166" s="41"/>
      <c r="AK166" s="41"/>
      <c r="AL166" s="41"/>
      <c r="AM166" s="41"/>
      <c r="AN166" s="41"/>
      <c r="AO166" s="41"/>
    </row>
    <row r="167" spans="1:41" s="16" customFormat="1" x14ac:dyDescent="0.35">
      <c r="A167" s="17"/>
      <c r="B167" s="22">
        <v>34</v>
      </c>
      <c r="C167" s="32">
        <f t="shared" si="68"/>
        <v>0</v>
      </c>
      <c r="D167" s="32">
        <f t="shared" si="68"/>
        <v>2</v>
      </c>
      <c r="E167" s="32">
        <f t="shared" si="64"/>
        <v>0</v>
      </c>
      <c r="F167" s="32">
        <f t="shared" si="68"/>
        <v>0</v>
      </c>
      <c r="G167" s="32">
        <f t="shared" si="68"/>
        <v>0</v>
      </c>
      <c r="H167" s="32">
        <f t="shared" si="68"/>
        <v>0</v>
      </c>
      <c r="I167" s="32">
        <f t="shared" si="68"/>
        <v>1</v>
      </c>
      <c r="J167" s="60"/>
      <c r="K167" s="60">
        <f t="shared" si="65"/>
        <v>0</v>
      </c>
      <c r="L167" s="60"/>
      <c r="M167" s="60"/>
      <c r="N167" s="60"/>
      <c r="O167" s="60"/>
      <c r="P167" s="60"/>
      <c r="Q167" s="60"/>
      <c r="R167" s="60"/>
      <c r="S167" s="41"/>
      <c r="T167" s="41"/>
      <c r="U167" s="41"/>
      <c r="V167" s="41"/>
      <c r="W167" s="56"/>
      <c r="X167" s="56"/>
      <c r="Y167" s="56"/>
      <c r="Z167" s="56"/>
      <c r="AA167" s="56"/>
      <c r="AB167" s="56"/>
      <c r="AC167" s="56"/>
      <c r="AD167" s="41"/>
      <c r="AE167" s="41"/>
      <c r="AF167" s="41"/>
      <c r="AG167" s="41"/>
      <c r="AH167" s="41"/>
      <c r="AI167" s="41"/>
      <c r="AJ167" s="41"/>
      <c r="AK167" s="41"/>
      <c r="AL167" s="41"/>
      <c r="AM167" s="41"/>
      <c r="AN167" s="41"/>
      <c r="AO167" s="41"/>
    </row>
    <row r="168" spans="1:41" s="16" customFormat="1" x14ac:dyDescent="0.35">
      <c r="A168" s="17"/>
      <c r="B168" s="22">
        <v>35</v>
      </c>
      <c r="C168" s="32">
        <f t="shared" si="68"/>
        <v>0</v>
      </c>
      <c r="D168" s="32">
        <f t="shared" si="68"/>
        <v>2</v>
      </c>
      <c r="E168" s="32">
        <f t="shared" si="64"/>
        <v>0</v>
      </c>
      <c r="F168" s="32">
        <f t="shared" si="68"/>
        <v>0</v>
      </c>
      <c r="G168" s="32">
        <f t="shared" si="68"/>
        <v>0</v>
      </c>
      <c r="H168" s="32">
        <f t="shared" si="68"/>
        <v>0</v>
      </c>
      <c r="I168" s="32">
        <f t="shared" si="68"/>
        <v>2</v>
      </c>
      <c r="J168" s="60"/>
      <c r="K168" s="60">
        <f t="shared" si="65"/>
        <v>0</v>
      </c>
      <c r="L168" s="60"/>
      <c r="M168" s="60"/>
      <c r="N168" s="60"/>
      <c r="O168" s="60"/>
      <c r="P168" s="60"/>
      <c r="Q168" s="60"/>
      <c r="R168" s="60"/>
      <c r="S168" s="41"/>
      <c r="T168" s="41"/>
      <c r="U168" s="41"/>
      <c r="V168" s="41"/>
      <c r="W168" s="56"/>
      <c r="X168" s="56"/>
      <c r="Y168" s="56"/>
      <c r="Z168" s="56"/>
      <c r="AA168" s="56"/>
      <c r="AB168" s="56"/>
      <c r="AC168" s="56"/>
      <c r="AD168" s="41"/>
      <c r="AE168" s="41"/>
      <c r="AF168" s="41"/>
      <c r="AG168" s="41"/>
      <c r="AH168" s="41"/>
      <c r="AI168" s="41"/>
      <c r="AJ168" s="41"/>
      <c r="AK168" s="41"/>
      <c r="AL168" s="41"/>
      <c r="AM168" s="41"/>
      <c r="AN168" s="41"/>
      <c r="AO168" s="41"/>
    </row>
    <row r="169" spans="1:41" s="16" customFormat="1" x14ac:dyDescent="0.35">
      <c r="A169" s="17"/>
      <c r="B169" s="22">
        <v>36</v>
      </c>
      <c r="C169" s="32">
        <f t="shared" si="68"/>
        <v>0</v>
      </c>
      <c r="D169" s="32">
        <f t="shared" si="68"/>
        <v>2</v>
      </c>
      <c r="E169" s="32">
        <f t="shared" si="64"/>
        <v>0</v>
      </c>
      <c r="F169" s="32">
        <f t="shared" si="68"/>
        <v>0</v>
      </c>
      <c r="G169" s="32">
        <f t="shared" si="68"/>
        <v>0</v>
      </c>
      <c r="H169" s="32">
        <f t="shared" si="68"/>
        <v>0</v>
      </c>
      <c r="I169" s="32">
        <f t="shared" si="68"/>
        <v>3</v>
      </c>
      <c r="J169" s="60"/>
      <c r="K169" s="60">
        <f t="shared" si="65"/>
        <v>0</v>
      </c>
      <c r="L169" s="60"/>
      <c r="M169" s="60"/>
      <c r="N169" s="60"/>
      <c r="O169" s="60"/>
      <c r="P169" s="60"/>
      <c r="Q169" s="60"/>
      <c r="R169" s="60"/>
      <c r="S169" s="41"/>
      <c r="T169" s="41"/>
      <c r="U169" s="41"/>
      <c r="V169" s="41"/>
      <c r="W169" s="56"/>
      <c r="X169" s="56"/>
      <c r="Y169" s="56"/>
      <c r="Z169" s="56"/>
      <c r="AA169" s="56"/>
      <c r="AB169" s="56"/>
      <c r="AC169" s="56"/>
      <c r="AD169" s="41"/>
      <c r="AE169" s="41"/>
      <c r="AF169" s="41"/>
      <c r="AG169" s="41"/>
      <c r="AH169" s="41"/>
      <c r="AI169" s="41"/>
      <c r="AJ169" s="41"/>
      <c r="AK169" s="41"/>
      <c r="AL169" s="41"/>
      <c r="AM169" s="41"/>
      <c r="AN169" s="41"/>
      <c r="AO169" s="41"/>
    </row>
    <row r="170" spans="1:41" s="16" customFormat="1" x14ac:dyDescent="0.35">
      <c r="A170" s="17"/>
      <c r="B170" s="22">
        <v>37</v>
      </c>
      <c r="C170" s="32">
        <f t="shared" si="68"/>
        <v>0</v>
      </c>
      <c r="D170" s="32">
        <f t="shared" si="68"/>
        <v>2</v>
      </c>
      <c r="E170" s="32">
        <f t="shared" si="64"/>
        <v>0</v>
      </c>
      <c r="F170" s="32">
        <f t="shared" si="68"/>
        <v>0</v>
      </c>
      <c r="G170" s="32">
        <f t="shared" si="68"/>
        <v>0</v>
      </c>
      <c r="H170" s="32">
        <f t="shared" si="68"/>
        <v>0</v>
      </c>
      <c r="I170" s="32">
        <f t="shared" si="68"/>
        <v>4</v>
      </c>
      <c r="J170" s="60"/>
      <c r="K170" s="60">
        <f t="shared" si="65"/>
        <v>0</v>
      </c>
      <c r="L170" s="60"/>
      <c r="M170" s="60"/>
      <c r="N170" s="60"/>
      <c r="O170" s="60"/>
      <c r="P170" s="60"/>
      <c r="Q170" s="60"/>
      <c r="R170" s="60"/>
      <c r="S170" s="41"/>
      <c r="T170" s="41"/>
      <c r="U170" s="41"/>
      <c r="V170" s="41"/>
      <c r="W170" s="56"/>
      <c r="X170" s="56"/>
      <c r="Y170" s="56"/>
      <c r="Z170" s="56"/>
      <c r="AA170" s="56"/>
      <c r="AB170" s="56"/>
      <c r="AC170" s="56"/>
      <c r="AD170" s="41"/>
      <c r="AE170" s="41"/>
      <c r="AF170" s="41"/>
      <c r="AG170" s="41"/>
      <c r="AH170" s="41"/>
      <c r="AI170" s="41"/>
      <c r="AJ170" s="41"/>
      <c r="AK170" s="41"/>
      <c r="AL170" s="41"/>
      <c r="AM170" s="41"/>
      <c r="AN170" s="41"/>
      <c r="AO170" s="41"/>
    </row>
    <row r="171" spans="1:41" s="16" customFormat="1" x14ac:dyDescent="0.35">
      <c r="A171" s="17"/>
      <c r="B171" s="22">
        <v>38</v>
      </c>
      <c r="C171" s="32">
        <f t="shared" si="68"/>
        <v>0</v>
      </c>
      <c r="D171" s="32">
        <f t="shared" si="68"/>
        <v>2</v>
      </c>
      <c r="E171" s="32">
        <f t="shared" si="64"/>
        <v>0</v>
      </c>
      <c r="F171" s="32">
        <f t="shared" si="68"/>
        <v>0</v>
      </c>
      <c r="G171" s="32">
        <f t="shared" si="68"/>
        <v>0</v>
      </c>
      <c r="H171" s="32">
        <f t="shared" si="68"/>
        <v>0</v>
      </c>
      <c r="I171" s="32">
        <f t="shared" si="68"/>
        <v>5</v>
      </c>
      <c r="J171" s="60"/>
      <c r="K171" s="60">
        <f t="shared" si="65"/>
        <v>0</v>
      </c>
      <c r="L171" s="60"/>
      <c r="M171" s="60"/>
      <c r="N171" s="60"/>
      <c r="O171" s="60"/>
      <c r="P171" s="60"/>
      <c r="Q171" s="60"/>
      <c r="R171" s="60"/>
      <c r="S171" s="41"/>
      <c r="T171" s="41"/>
      <c r="U171" s="41"/>
      <c r="V171" s="41"/>
      <c r="W171" s="56"/>
      <c r="X171" s="56"/>
      <c r="Y171" s="56"/>
      <c r="Z171" s="56"/>
      <c r="AA171" s="56"/>
      <c r="AB171" s="56"/>
      <c r="AC171" s="56"/>
      <c r="AD171" s="41"/>
      <c r="AE171" s="41"/>
      <c r="AF171" s="41"/>
      <c r="AG171" s="41"/>
      <c r="AH171" s="41"/>
      <c r="AI171" s="41"/>
      <c r="AJ171" s="41"/>
      <c r="AK171" s="41"/>
      <c r="AL171" s="41"/>
      <c r="AM171" s="41"/>
      <c r="AN171" s="41"/>
      <c r="AO171" s="41"/>
    </row>
    <row r="172" spans="1:41" s="16" customFormat="1" x14ac:dyDescent="0.35">
      <c r="A172" s="17"/>
      <c r="B172" s="22">
        <v>39</v>
      </c>
      <c r="C172" s="32">
        <f t="shared" si="68"/>
        <v>0</v>
      </c>
      <c r="D172" s="32">
        <f t="shared" si="68"/>
        <v>2</v>
      </c>
      <c r="E172" s="32">
        <f t="shared" si="64"/>
        <v>0</v>
      </c>
      <c r="F172" s="32">
        <f t="shared" si="68"/>
        <v>0</v>
      </c>
      <c r="G172" s="32">
        <f t="shared" si="68"/>
        <v>0</v>
      </c>
      <c r="H172" s="32">
        <f t="shared" si="68"/>
        <v>0</v>
      </c>
      <c r="I172" s="32">
        <f t="shared" si="68"/>
        <v>6</v>
      </c>
      <c r="J172" s="60"/>
      <c r="K172" s="60">
        <f t="shared" si="65"/>
        <v>0</v>
      </c>
      <c r="L172" s="60"/>
      <c r="M172" s="60"/>
      <c r="N172" s="60"/>
      <c r="O172" s="60"/>
      <c r="P172" s="60"/>
      <c r="Q172" s="60"/>
      <c r="R172" s="60"/>
      <c r="S172" s="41"/>
      <c r="T172" s="41"/>
      <c r="U172" s="41"/>
      <c r="V172" s="41"/>
      <c r="W172" s="56"/>
      <c r="X172" s="56"/>
      <c r="Y172" s="56"/>
      <c r="Z172" s="56"/>
      <c r="AA172" s="56"/>
      <c r="AB172" s="56"/>
      <c r="AC172" s="56"/>
      <c r="AD172" s="41"/>
      <c r="AE172" s="41"/>
      <c r="AF172" s="41"/>
      <c r="AG172" s="41"/>
      <c r="AH172" s="41"/>
      <c r="AI172" s="41"/>
      <c r="AJ172" s="41"/>
      <c r="AK172" s="41"/>
      <c r="AL172" s="41"/>
      <c r="AM172" s="41"/>
      <c r="AN172" s="41"/>
      <c r="AO172" s="41"/>
    </row>
    <row r="173" spans="1:41" s="16" customFormat="1" x14ac:dyDescent="0.35">
      <c r="A173" s="17"/>
      <c r="B173" s="22">
        <v>40</v>
      </c>
      <c r="C173" s="32">
        <f t="shared" si="68"/>
        <v>0</v>
      </c>
      <c r="D173" s="32">
        <f t="shared" si="68"/>
        <v>2</v>
      </c>
      <c r="E173" s="32">
        <f t="shared" si="64"/>
        <v>0</v>
      </c>
      <c r="F173" s="32">
        <f t="shared" si="68"/>
        <v>0</v>
      </c>
      <c r="G173" s="32">
        <f t="shared" si="68"/>
        <v>0</v>
      </c>
      <c r="H173" s="32">
        <f t="shared" si="68"/>
        <v>0</v>
      </c>
      <c r="I173" s="32">
        <f t="shared" si="68"/>
        <v>7</v>
      </c>
      <c r="J173" s="60"/>
      <c r="K173" s="60">
        <f t="shared" si="65"/>
        <v>0</v>
      </c>
      <c r="L173" s="60"/>
      <c r="M173" s="60"/>
      <c r="N173" s="60"/>
      <c r="O173" s="60"/>
      <c r="P173" s="60"/>
      <c r="Q173" s="60"/>
      <c r="R173" s="60"/>
      <c r="S173" s="41"/>
      <c r="T173" s="41"/>
      <c r="U173" s="41"/>
      <c r="V173" s="41"/>
      <c r="W173" s="56"/>
      <c r="X173" s="56"/>
      <c r="Y173" s="56"/>
      <c r="Z173" s="56"/>
      <c r="AA173" s="56"/>
      <c r="AB173" s="56"/>
      <c r="AC173" s="56"/>
      <c r="AD173" s="41"/>
      <c r="AE173" s="41"/>
      <c r="AF173" s="41"/>
      <c r="AG173" s="41"/>
      <c r="AH173" s="41"/>
      <c r="AI173" s="41"/>
      <c r="AJ173" s="41"/>
      <c r="AK173" s="41"/>
      <c r="AL173" s="41"/>
      <c r="AM173" s="41"/>
      <c r="AN173" s="41"/>
      <c r="AO173" s="41"/>
    </row>
    <row r="174" spans="1:41" s="16" customFormat="1" x14ac:dyDescent="0.35">
      <c r="A174" s="17"/>
      <c r="B174" s="22">
        <v>41</v>
      </c>
      <c r="C174" s="32">
        <f t="shared" ref="C174:I181" si="69">MOD(FLOOR($B174-1,C$7)/C$7,C$6)</f>
        <v>0</v>
      </c>
      <c r="D174" s="32">
        <f t="shared" si="69"/>
        <v>2</v>
      </c>
      <c r="E174" s="32">
        <f t="shared" si="64"/>
        <v>0</v>
      </c>
      <c r="F174" s="32">
        <f t="shared" si="69"/>
        <v>1</v>
      </c>
      <c r="G174" s="32">
        <f t="shared" si="69"/>
        <v>0</v>
      </c>
      <c r="H174" s="32">
        <f t="shared" si="69"/>
        <v>0</v>
      </c>
      <c r="I174" s="32">
        <f t="shared" si="69"/>
        <v>0</v>
      </c>
      <c r="J174" s="60"/>
      <c r="K174" s="60">
        <f t="shared" si="65"/>
        <v>0</v>
      </c>
      <c r="L174" s="60"/>
      <c r="M174" s="60"/>
      <c r="N174" s="60"/>
      <c r="O174" s="60"/>
      <c r="P174" s="60"/>
      <c r="Q174" s="60"/>
      <c r="R174" s="60"/>
      <c r="S174" s="41"/>
      <c r="T174" s="41"/>
      <c r="U174" s="41"/>
      <c r="V174" s="41"/>
      <c r="W174" s="56"/>
      <c r="X174" s="56"/>
      <c r="Y174" s="56"/>
      <c r="Z174" s="56"/>
      <c r="AA174" s="56"/>
      <c r="AB174" s="56"/>
      <c r="AC174" s="56"/>
      <c r="AD174" s="41"/>
      <c r="AE174" s="41"/>
      <c r="AF174" s="41"/>
      <c r="AG174" s="41"/>
      <c r="AH174" s="41"/>
      <c r="AI174" s="41"/>
      <c r="AJ174" s="41"/>
      <c r="AK174" s="41"/>
      <c r="AL174" s="41"/>
      <c r="AM174" s="41"/>
      <c r="AN174" s="41"/>
      <c r="AO174" s="41"/>
    </row>
    <row r="175" spans="1:41" s="16" customFormat="1" x14ac:dyDescent="0.35">
      <c r="A175" s="17"/>
      <c r="B175" s="22">
        <v>42</v>
      </c>
      <c r="C175" s="32">
        <f t="shared" si="69"/>
        <v>0</v>
      </c>
      <c r="D175" s="32">
        <f t="shared" si="69"/>
        <v>2</v>
      </c>
      <c r="E175" s="32">
        <f t="shared" si="64"/>
        <v>0</v>
      </c>
      <c r="F175" s="32">
        <f t="shared" si="69"/>
        <v>1</v>
      </c>
      <c r="G175" s="32">
        <f t="shared" si="69"/>
        <v>0</v>
      </c>
      <c r="H175" s="32">
        <f t="shared" si="69"/>
        <v>0</v>
      </c>
      <c r="I175" s="32">
        <f t="shared" si="69"/>
        <v>1</v>
      </c>
      <c r="J175" s="60"/>
      <c r="K175" s="60">
        <f t="shared" si="65"/>
        <v>0</v>
      </c>
      <c r="L175" s="60"/>
      <c r="M175" s="60"/>
      <c r="N175" s="60"/>
      <c r="O175" s="60"/>
      <c r="P175" s="60"/>
      <c r="Q175" s="60"/>
      <c r="R175" s="60"/>
      <c r="S175" s="41"/>
      <c r="T175" s="41"/>
      <c r="U175" s="41"/>
      <c r="V175" s="41"/>
      <c r="W175" s="56"/>
      <c r="X175" s="56"/>
      <c r="Y175" s="56"/>
      <c r="Z175" s="56"/>
      <c r="AA175" s="56"/>
      <c r="AB175" s="56"/>
      <c r="AC175" s="56"/>
      <c r="AD175" s="41"/>
      <c r="AE175" s="41"/>
      <c r="AF175" s="41"/>
      <c r="AG175" s="41"/>
      <c r="AH175" s="41"/>
      <c r="AI175" s="41"/>
      <c r="AJ175" s="41"/>
      <c r="AK175" s="41"/>
      <c r="AL175" s="41"/>
      <c r="AM175" s="41"/>
      <c r="AN175" s="41"/>
      <c r="AO175" s="41"/>
    </row>
    <row r="176" spans="1:41" s="16" customFormat="1" x14ac:dyDescent="0.35">
      <c r="A176" s="17"/>
      <c r="B176" s="22">
        <v>43</v>
      </c>
      <c r="C176" s="32">
        <f t="shared" si="69"/>
        <v>0</v>
      </c>
      <c r="D176" s="32">
        <f t="shared" si="69"/>
        <v>2</v>
      </c>
      <c r="E176" s="32">
        <f t="shared" si="64"/>
        <v>0</v>
      </c>
      <c r="F176" s="32">
        <f t="shared" si="69"/>
        <v>1</v>
      </c>
      <c r="G176" s="32">
        <f t="shared" si="69"/>
        <v>0</v>
      </c>
      <c r="H176" s="32">
        <f t="shared" si="69"/>
        <v>0</v>
      </c>
      <c r="I176" s="32">
        <f t="shared" si="69"/>
        <v>2</v>
      </c>
      <c r="J176" s="60"/>
      <c r="K176" s="60">
        <f t="shared" si="65"/>
        <v>0</v>
      </c>
      <c r="L176" s="60"/>
      <c r="M176" s="60"/>
      <c r="N176" s="60"/>
      <c r="O176" s="60"/>
      <c r="P176" s="60"/>
      <c r="Q176" s="60"/>
      <c r="R176" s="60"/>
      <c r="S176" s="41"/>
      <c r="T176" s="41"/>
      <c r="U176" s="41"/>
      <c r="V176" s="41"/>
      <c r="W176" s="56"/>
      <c r="X176" s="56"/>
      <c r="Y176" s="56"/>
      <c r="Z176" s="56"/>
      <c r="AA176" s="56"/>
      <c r="AB176" s="56"/>
      <c r="AC176" s="56"/>
      <c r="AD176" s="41"/>
      <c r="AE176" s="41"/>
      <c r="AF176" s="41"/>
      <c r="AG176" s="41"/>
      <c r="AH176" s="41"/>
      <c r="AI176" s="41"/>
      <c r="AJ176" s="41"/>
      <c r="AK176" s="41"/>
      <c r="AL176" s="41"/>
      <c r="AM176" s="41"/>
      <c r="AN176" s="41"/>
      <c r="AO176" s="41"/>
    </row>
    <row r="177" spans="1:41" s="16" customFormat="1" x14ac:dyDescent="0.35">
      <c r="A177" s="17"/>
      <c r="B177" s="22">
        <v>44</v>
      </c>
      <c r="C177" s="32">
        <f t="shared" si="69"/>
        <v>0</v>
      </c>
      <c r="D177" s="32">
        <f t="shared" si="69"/>
        <v>2</v>
      </c>
      <c r="E177" s="32">
        <f t="shared" si="64"/>
        <v>0</v>
      </c>
      <c r="F177" s="32">
        <f t="shared" si="69"/>
        <v>1</v>
      </c>
      <c r="G177" s="32">
        <f t="shared" si="69"/>
        <v>0</v>
      </c>
      <c r="H177" s="32">
        <f t="shared" si="69"/>
        <v>0</v>
      </c>
      <c r="I177" s="32">
        <f t="shared" si="69"/>
        <v>3</v>
      </c>
      <c r="J177" s="60"/>
      <c r="K177" s="60">
        <f t="shared" si="65"/>
        <v>0</v>
      </c>
      <c r="L177" s="60"/>
      <c r="M177" s="60"/>
      <c r="N177" s="60"/>
      <c r="O177" s="60"/>
      <c r="P177" s="60"/>
      <c r="Q177" s="60"/>
      <c r="R177" s="60"/>
      <c r="S177" s="41"/>
      <c r="T177" s="41"/>
      <c r="U177" s="41"/>
      <c r="V177" s="41"/>
      <c r="W177" s="56"/>
      <c r="X177" s="56"/>
      <c r="Y177" s="56"/>
      <c r="Z177" s="56"/>
      <c r="AA177" s="56"/>
      <c r="AB177" s="56"/>
      <c r="AC177" s="56"/>
      <c r="AD177" s="41"/>
      <c r="AE177" s="41"/>
      <c r="AF177" s="41"/>
      <c r="AG177" s="41"/>
      <c r="AH177" s="41"/>
      <c r="AI177" s="41"/>
      <c r="AJ177" s="41"/>
      <c r="AK177" s="41"/>
      <c r="AL177" s="41"/>
      <c r="AM177" s="41"/>
      <c r="AN177" s="41"/>
      <c r="AO177" s="41"/>
    </row>
    <row r="178" spans="1:41" s="16" customFormat="1" x14ac:dyDescent="0.35">
      <c r="A178" s="17"/>
      <c r="B178" s="22">
        <v>45</v>
      </c>
      <c r="C178" s="32">
        <f t="shared" si="69"/>
        <v>0</v>
      </c>
      <c r="D178" s="32">
        <f t="shared" si="69"/>
        <v>2</v>
      </c>
      <c r="E178" s="32">
        <f t="shared" si="64"/>
        <v>0</v>
      </c>
      <c r="F178" s="32">
        <f t="shared" si="69"/>
        <v>1</v>
      </c>
      <c r="G178" s="32">
        <f t="shared" si="69"/>
        <v>0</v>
      </c>
      <c r="H178" s="32">
        <f t="shared" si="69"/>
        <v>0</v>
      </c>
      <c r="I178" s="32">
        <f t="shared" si="69"/>
        <v>4</v>
      </c>
      <c r="J178" s="60"/>
      <c r="K178" s="60">
        <f t="shared" si="65"/>
        <v>0</v>
      </c>
      <c r="L178" s="60"/>
      <c r="M178" s="60"/>
      <c r="N178" s="60"/>
      <c r="O178" s="60"/>
      <c r="P178" s="60"/>
      <c r="Q178" s="60"/>
      <c r="R178" s="60"/>
      <c r="S178" s="41"/>
      <c r="T178" s="41"/>
      <c r="U178" s="41"/>
      <c r="V178" s="41"/>
      <c r="W178" s="56"/>
      <c r="X178" s="56"/>
      <c r="Y178" s="56"/>
      <c r="Z178" s="56"/>
      <c r="AA178" s="56"/>
      <c r="AB178" s="56"/>
      <c r="AC178" s="56"/>
      <c r="AD178" s="41"/>
      <c r="AE178" s="41"/>
      <c r="AF178" s="41"/>
      <c r="AG178" s="41"/>
      <c r="AH178" s="41"/>
      <c r="AI178" s="41"/>
      <c r="AJ178" s="41"/>
      <c r="AK178" s="41"/>
      <c r="AL178" s="41"/>
      <c r="AM178" s="41"/>
      <c r="AN178" s="41"/>
      <c r="AO178" s="41"/>
    </row>
    <row r="179" spans="1:41" s="16" customFormat="1" x14ac:dyDescent="0.35">
      <c r="A179" s="17"/>
      <c r="B179" s="22">
        <v>46</v>
      </c>
      <c r="C179" s="32">
        <f t="shared" si="69"/>
        <v>0</v>
      </c>
      <c r="D179" s="32">
        <f t="shared" si="69"/>
        <v>2</v>
      </c>
      <c r="E179" s="32">
        <f t="shared" si="64"/>
        <v>0</v>
      </c>
      <c r="F179" s="32">
        <f t="shared" si="69"/>
        <v>1</v>
      </c>
      <c r="G179" s="32">
        <f t="shared" si="69"/>
        <v>0</v>
      </c>
      <c r="H179" s="32">
        <f t="shared" si="69"/>
        <v>0</v>
      </c>
      <c r="I179" s="32">
        <f t="shared" si="69"/>
        <v>5</v>
      </c>
      <c r="J179" s="60"/>
      <c r="K179" s="60">
        <f t="shared" si="65"/>
        <v>0</v>
      </c>
      <c r="L179" s="60"/>
      <c r="M179" s="60"/>
      <c r="N179" s="60"/>
      <c r="O179" s="60"/>
      <c r="P179" s="60"/>
      <c r="Q179" s="60"/>
      <c r="R179" s="60"/>
      <c r="S179" s="41"/>
      <c r="T179" s="41"/>
      <c r="U179" s="41"/>
      <c r="V179" s="41"/>
      <c r="W179" s="56"/>
      <c r="X179" s="56"/>
      <c r="Y179" s="56"/>
      <c r="Z179" s="56"/>
      <c r="AA179" s="56"/>
      <c r="AB179" s="56"/>
      <c r="AC179" s="56"/>
      <c r="AD179" s="41"/>
      <c r="AE179" s="41"/>
      <c r="AF179" s="41"/>
      <c r="AG179" s="41"/>
      <c r="AH179" s="41"/>
      <c r="AI179" s="41"/>
      <c r="AJ179" s="41"/>
      <c r="AK179" s="41"/>
      <c r="AL179" s="41"/>
      <c r="AM179" s="41"/>
      <c r="AN179" s="41"/>
      <c r="AO179" s="41"/>
    </row>
    <row r="180" spans="1:41" s="16" customFormat="1" x14ac:dyDescent="0.35">
      <c r="A180" s="17"/>
      <c r="B180" s="22">
        <v>47</v>
      </c>
      <c r="C180" s="32">
        <f t="shared" si="69"/>
        <v>0</v>
      </c>
      <c r="D180" s="32">
        <f t="shared" si="69"/>
        <v>2</v>
      </c>
      <c r="E180" s="32">
        <f t="shared" si="64"/>
        <v>0</v>
      </c>
      <c r="F180" s="32">
        <f t="shared" si="69"/>
        <v>1</v>
      </c>
      <c r="G180" s="32">
        <f t="shared" si="69"/>
        <v>0</v>
      </c>
      <c r="H180" s="32">
        <f t="shared" si="69"/>
        <v>0</v>
      </c>
      <c r="I180" s="32">
        <f t="shared" si="69"/>
        <v>6</v>
      </c>
      <c r="J180" s="60"/>
      <c r="K180" s="60">
        <f t="shared" si="65"/>
        <v>0</v>
      </c>
      <c r="L180" s="60"/>
      <c r="M180" s="60"/>
      <c r="N180" s="60"/>
      <c r="O180" s="60"/>
      <c r="P180" s="60"/>
      <c r="Q180" s="60"/>
      <c r="R180" s="60"/>
      <c r="S180" s="41"/>
      <c r="T180" s="41"/>
      <c r="U180" s="41"/>
      <c r="V180" s="41"/>
      <c r="W180" s="56"/>
      <c r="X180" s="56"/>
      <c r="Y180" s="56"/>
      <c r="Z180" s="56"/>
      <c r="AA180" s="56"/>
      <c r="AB180" s="56"/>
      <c r="AC180" s="56"/>
      <c r="AD180" s="41"/>
      <c r="AE180" s="41"/>
      <c r="AF180" s="41"/>
      <c r="AG180" s="41"/>
      <c r="AH180" s="41"/>
      <c r="AI180" s="41"/>
      <c r="AJ180" s="41"/>
      <c r="AK180" s="41"/>
      <c r="AL180" s="41"/>
      <c r="AM180" s="41"/>
      <c r="AN180" s="41"/>
      <c r="AO180" s="41"/>
    </row>
    <row r="181" spans="1:41" s="16" customFormat="1" x14ac:dyDescent="0.35">
      <c r="A181" s="17"/>
      <c r="B181" s="22">
        <v>48</v>
      </c>
      <c r="C181" s="32">
        <f t="shared" si="69"/>
        <v>0</v>
      </c>
      <c r="D181" s="32">
        <f t="shared" si="69"/>
        <v>2</v>
      </c>
      <c r="E181" s="32">
        <f t="shared" si="64"/>
        <v>0</v>
      </c>
      <c r="F181" s="32">
        <f t="shared" si="69"/>
        <v>1</v>
      </c>
      <c r="G181" s="32">
        <f t="shared" si="69"/>
        <v>0</v>
      </c>
      <c r="H181" s="32">
        <f t="shared" si="69"/>
        <v>0</v>
      </c>
      <c r="I181" s="32">
        <f t="shared" si="69"/>
        <v>7</v>
      </c>
      <c r="J181" s="60"/>
      <c r="K181" s="60">
        <f t="shared" si="65"/>
        <v>0</v>
      </c>
      <c r="L181" s="60"/>
      <c r="M181" s="60"/>
      <c r="N181" s="60"/>
      <c r="O181" s="60"/>
      <c r="P181" s="60"/>
      <c r="Q181" s="60"/>
      <c r="R181" s="60"/>
      <c r="S181" s="41"/>
      <c r="T181" s="41"/>
      <c r="U181" s="41"/>
      <c r="V181" s="41"/>
      <c r="W181" s="56"/>
      <c r="X181" s="56"/>
      <c r="Y181" s="56"/>
      <c r="Z181" s="56"/>
      <c r="AA181" s="56"/>
      <c r="AB181" s="56"/>
      <c r="AC181" s="56"/>
      <c r="AD181" s="41"/>
      <c r="AE181" s="41"/>
      <c r="AF181" s="41"/>
      <c r="AG181" s="41"/>
      <c r="AH181" s="41"/>
      <c r="AI181" s="41"/>
      <c r="AJ181" s="41"/>
      <c r="AK181" s="41"/>
      <c r="AL181" s="41"/>
      <c r="AM181" s="41"/>
      <c r="AN181" s="41"/>
      <c r="AO181" s="41"/>
    </row>
    <row r="182" spans="1:41" s="16" customFormat="1" x14ac:dyDescent="0.35">
      <c r="A182" s="17"/>
      <c r="B182" s="17"/>
      <c r="C182" s="17"/>
      <c r="D182" s="17"/>
      <c r="E182" s="17"/>
      <c r="F182" s="17"/>
      <c r="G182" s="17"/>
      <c r="H182" s="17"/>
      <c r="I182" s="17"/>
      <c r="J182" s="60"/>
      <c r="K182" s="60"/>
      <c r="L182" s="60"/>
      <c r="M182" s="60"/>
      <c r="N182" s="60"/>
      <c r="O182" s="60"/>
      <c r="P182" s="60"/>
      <c r="Q182" s="60"/>
      <c r="R182" s="60"/>
      <c r="S182" s="41"/>
      <c r="T182" s="41"/>
      <c r="U182" s="41"/>
      <c r="V182" s="41"/>
      <c r="W182" s="56"/>
      <c r="X182" s="56"/>
      <c r="Y182" s="56"/>
      <c r="Z182" s="56"/>
      <c r="AA182" s="56"/>
      <c r="AB182" s="56"/>
      <c r="AC182" s="56"/>
      <c r="AD182" s="41"/>
      <c r="AE182" s="41"/>
      <c r="AF182" s="41"/>
      <c r="AG182" s="41"/>
      <c r="AH182" s="41"/>
      <c r="AI182" s="41"/>
      <c r="AJ182" s="41"/>
      <c r="AK182" s="41"/>
      <c r="AL182" s="41"/>
      <c r="AM182" s="41"/>
      <c r="AN182" s="41"/>
      <c r="AO182" s="41"/>
    </row>
    <row r="183" spans="1:41" s="16" customFormat="1" x14ac:dyDescent="0.35">
      <c r="A183" s="17"/>
      <c r="B183" s="17"/>
      <c r="C183" s="17"/>
      <c r="D183" s="17"/>
      <c r="E183" s="17"/>
      <c r="F183" s="17"/>
      <c r="G183" s="17"/>
      <c r="H183" s="17"/>
      <c r="I183" s="17"/>
      <c r="J183" s="60"/>
      <c r="K183" s="60"/>
      <c r="L183" s="60"/>
      <c r="M183" s="60"/>
      <c r="N183" s="60"/>
      <c r="O183" s="60"/>
      <c r="P183" s="60"/>
      <c r="Q183" s="60"/>
      <c r="R183" s="60"/>
      <c r="S183" s="41"/>
      <c r="T183" s="41"/>
      <c r="U183" s="41"/>
      <c r="V183" s="41"/>
      <c r="W183" s="56"/>
      <c r="X183" s="56"/>
      <c r="Y183" s="56"/>
      <c r="Z183" s="56"/>
      <c r="AA183" s="56"/>
      <c r="AB183" s="56"/>
      <c r="AC183" s="56"/>
      <c r="AD183" s="41"/>
      <c r="AE183" s="41"/>
      <c r="AF183" s="41"/>
      <c r="AG183" s="41"/>
      <c r="AH183" s="41"/>
      <c r="AI183" s="41"/>
      <c r="AJ183" s="41"/>
      <c r="AK183" s="41"/>
      <c r="AL183" s="41"/>
      <c r="AM183" s="41"/>
      <c r="AN183" s="41"/>
      <c r="AO183" s="41"/>
    </row>
    <row r="184" spans="1:41" s="16" customFormat="1" x14ac:dyDescent="0.35">
      <c r="A184" s="17"/>
      <c r="B184" s="17"/>
      <c r="C184" s="17"/>
      <c r="D184" s="17"/>
      <c r="E184" s="17"/>
      <c r="F184" s="17"/>
      <c r="G184" s="17"/>
      <c r="H184" s="17"/>
      <c r="I184" s="17"/>
      <c r="J184" s="60"/>
      <c r="K184" s="60"/>
      <c r="L184" s="60"/>
      <c r="M184" s="60"/>
      <c r="N184" s="60"/>
      <c r="O184" s="60"/>
      <c r="P184" s="60"/>
      <c r="Q184" s="60"/>
      <c r="R184" s="60"/>
      <c r="S184" s="41"/>
      <c r="T184" s="41"/>
      <c r="U184" s="41"/>
      <c r="V184" s="41"/>
      <c r="W184" s="56"/>
      <c r="X184" s="56"/>
      <c r="Y184" s="56"/>
      <c r="Z184" s="56"/>
      <c r="AA184" s="56"/>
      <c r="AB184" s="56"/>
      <c r="AC184" s="56"/>
      <c r="AD184" s="41"/>
      <c r="AE184" s="41"/>
      <c r="AF184" s="41"/>
      <c r="AG184" s="41"/>
      <c r="AH184" s="41"/>
      <c r="AI184" s="41"/>
      <c r="AJ184" s="41"/>
      <c r="AK184" s="41"/>
      <c r="AL184" s="41"/>
      <c r="AM184" s="41"/>
      <c r="AN184" s="41"/>
      <c r="AO184" s="41"/>
    </row>
    <row r="185" spans="1:41" s="16" customFormat="1" x14ac:dyDescent="0.35">
      <c r="A185" s="17"/>
      <c r="B185" s="17"/>
      <c r="C185" s="17"/>
      <c r="D185" s="17"/>
      <c r="E185" s="17"/>
      <c r="F185" s="17"/>
      <c r="G185" s="17"/>
      <c r="H185" s="17"/>
      <c r="I185" s="17"/>
      <c r="J185" s="60"/>
      <c r="K185" s="60"/>
      <c r="L185" s="60"/>
      <c r="M185" s="60"/>
      <c r="N185" s="60"/>
      <c r="O185" s="60"/>
      <c r="P185" s="60"/>
      <c r="Q185" s="60"/>
      <c r="R185" s="60"/>
      <c r="S185" s="41"/>
      <c r="T185" s="41"/>
      <c r="U185" s="41"/>
      <c r="V185" s="41"/>
      <c r="W185" s="56"/>
      <c r="X185" s="56"/>
      <c r="Y185" s="56"/>
      <c r="Z185" s="56"/>
      <c r="AA185" s="56"/>
      <c r="AB185" s="56"/>
      <c r="AC185" s="56"/>
      <c r="AD185" s="41"/>
      <c r="AE185" s="41"/>
      <c r="AF185" s="41"/>
      <c r="AG185" s="41"/>
      <c r="AH185" s="41"/>
      <c r="AI185" s="41"/>
      <c r="AJ185" s="41"/>
      <c r="AK185" s="41"/>
      <c r="AL185" s="41"/>
      <c r="AM185" s="41"/>
      <c r="AN185" s="41"/>
      <c r="AO185" s="41"/>
    </row>
    <row r="186" spans="1:41" s="16" customFormat="1" x14ac:dyDescent="0.35">
      <c r="A186" s="17"/>
      <c r="B186" s="17"/>
      <c r="C186" s="17"/>
      <c r="D186" s="17"/>
      <c r="E186" s="17"/>
      <c r="F186" s="17"/>
      <c r="G186" s="17"/>
      <c r="H186" s="17"/>
      <c r="I186" s="17"/>
      <c r="J186" s="60"/>
      <c r="K186" s="60"/>
      <c r="L186" s="60"/>
      <c r="M186" s="60"/>
      <c r="N186" s="60"/>
      <c r="O186" s="60"/>
      <c r="P186" s="60"/>
      <c r="Q186" s="60"/>
      <c r="R186" s="60"/>
      <c r="S186" s="41"/>
      <c r="T186" s="41"/>
      <c r="U186" s="41"/>
      <c r="V186" s="41"/>
      <c r="W186" s="56"/>
      <c r="X186" s="56"/>
      <c r="Y186" s="56"/>
      <c r="Z186" s="56"/>
      <c r="AA186" s="56"/>
      <c r="AB186" s="56"/>
      <c r="AC186" s="56"/>
      <c r="AD186" s="41"/>
      <c r="AE186" s="41"/>
      <c r="AF186" s="41"/>
      <c r="AG186" s="41"/>
      <c r="AH186" s="41"/>
      <c r="AI186" s="41"/>
      <c r="AJ186" s="41"/>
      <c r="AK186" s="41"/>
      <c r="AL186" s="41"/>
      <c r="AM186" s="41"/>
      <c r="AN186" s="41"/>
      <c r="AO186" s="41"/>
    </row>
    <row r="187" spans="1:41" s="16" customFormat="1" x14ac:dyDescent="0.35">
      <c r="A187" s="17"/>
      <c r="B187" s="17"/>
      <c r="C187" s="17"/>
      <c r="D187" s="17"/>
      <c r="E187" s="17"/>
      <c r="F187" s="17"/>
      <c r="G187" s="17"/>
      <c r="H187" s="17"/>
      <c r="I187" s="17"/>
      <c r="J187" s="60"/>
      <c r="K187" s="60"/>
      <c r="L187" s="60"/>
      <c r="M187" s="60"/>
      <c r="N187" s="60"/>
      <c r="O187" s="60"/>
      <c r="P187" s="60"/>
      <c r="Q187" s="60"/>
      <c r="R187" s="60"/>
      <c r="S187" s="41"/>
      <c r="T187" s="41"/>
      <c r="U187" s="41"/>
      <c r="V187" s="41"/>
      <c r="W187" s="56"/>
      <c r="X187" s="56"/>
      <c r="Y187" s="56"/>
      <c r="Z187" s="56"/>
      <c r="AA187" s="56"/>
      <c r="AB187" s="56"/>
      <c r="AC187" s="56"/>
      <c r="AD187" s="41"/>
      <c r="AE187" s="41"/>
      <c r="AF187" s="41"/>
      <c r="AG187" s="41"/>
      <c r="AH187" s="41"/>
      <c r="AI187" s="41"/>
      <c r="AJ187" s="41"/>
      <c r="AK187" s="41"/>
      <c r="AL187" s="41"/>
      <c r="AM187" s="41"/>
      <c r="AN187" s="41"/>
      <c r="AO187" s="41"/>
    </row>
    <row r="188" spans="1:41" s="16" customFormat="1" x14ac:dyDescent="0.35">
      <c r="A188" s="17"/>
      <c r="B188" s="17"/>
      <c r="C188" s="17"/>
      <c r="D188" s="17"/>
      <c r="E188" s="17"/>
      <c r="F188" s="17"/>
      <c r="G188" s="17"/>
      <c r="H188" s="17"/>
      <c r="I188" s="17"/>
      <c r="J188" s="60"/>
      <c r="K188" s="60"/>
      <c r="L188" s="60"/>
      <c r="M188" s="60"/>
      <c r="N188" s="60"/>
      <c r="O188" s="60"/>
      <c r="P188" s="60"/>
      <c r="Q188" s="60"/>
      <c r="R188" s="60"/>
      <c r="S188" s="41"/>
      <c r="T188" s="41"/>
      <c r="U188" s="41"/>
      <c r="V188" s="41"/>
      <c r="W188" s="56"/>
      <c r="X188" s="56"/>
      <c r="Y188" s="56"/>
      <c r="Z188" s="56"/>
      <c r="AA188" s="56"/>
      <c r="AB188" s="56"/>
      <c r="AC188" s="56"/>
      <c r="AD188" s="41"/>
      <c r="AE188" s="41"/>
      <c r="AF188" s="41"/>
      <c r="AG188" s="41"/>
      <c r="AH188" s="41"/>
      <c r="AI188" s="41"/>
      <c r="AJ188" s="41"/>
      <c r="AK188" s="41"/>
      <c r="AL188" s="41"/>
      <c r="AM188" s="41"/>
      <c r="AN188" s="41"/>
      <c r="AO188" s="41"/>
    </row>
    <row r="189" spans="1:41" s="16" customFormat="1" x14ac:dyDescent="0.35">
      <c r="A189" s="17"/>
      <c r="B189" s="17"/>
      <c r="C189" s="17"/>
      <c r="D189" s="17"/>
      <c r="E189" s="17"/>
      <c r="F189" s="17"/>
      <c r="G189" s="17"/>
      <c r="H189" s="17"/>
      <c r="I189" s="17"/>
      <c r="J189" s="60"/>
      <c r="K189" s="60"/>
      <c r="L189" s="60"/>
      <c r="M189" s="60"/>
      <c r="N189" s="60"/>
      <c r="O189" s="60"/>
      <c r="P189" s="60"/>
      <c r="Q189" s="60"/>
      <c r="R189" s="60"/>
      <c r="S189" s="41"/>
      <c r="T189" s="41"/>
      <c r="U189" s="41"/>
      <c r="V189" s="41"/>
      <c r="W189" s="56"/>
      <c r="X189" s="56"/>
      <c r="Y189" s="56"/>
      <c r="Z189" s="56"/>
      <c r="AA189" s="56"/>
      <c r="AB189" s="56"/>
      <c r="AC189" s="56"/>
      <c r="AD189" s="41"/>
      <c r="AE189" s="41"/>
      <c r="AF189" s="41"/>
      <c r="AG189" s="41"/>
      <c r="AH189" s="41"/>
      <c r="AI189" s="41"/>
      <c r="AJ189" s="41"/>
      <c r="AK189" s="41"/>
      <c r="AL189" s="41"/>
      <c r="AM189" s="41"/>
      <c r="AN189" s="41"/>
      <c r="AO189" s="41"/>
    </row>
    <row r="190" spans="1:41" s="16" customFormat="1" x14ac:dyDescent="0.35">
      <c r="A190" s="17"/>
      <c r="B190" s="17"/>
      <c r="C190" s="17"/>
      <c r="D190" s="17"/>
      <c r="E190" s="17"/>
      <c r="F190" s="17"/>
      <c r="G190" s="17"/>
      <c r="H190" s="17"/>
      <c r="I190" s="17"/>
      <c r="J190" s="60"/>
      <c r="K190" s="60"/>
      <c r="L190" s="60"/>
      <c r="M190" s="60"/>
      <c r="N190" s="60"/>
      <c r="O190" s="60"/>
      <c r="P190" s="60"/>
      <c r="Q190" s="60"/>
      <c r="R190" s="60"/>
      <c r="S190" s="41"/>
      <c r="T190" s="41"/>
      <c r="U190" s="41"/>
      <c r="V190" s="41"/>
      <c r="W190" s="56"/>
      <c r="X190" s="56"/>
      <c r="Y190" s="56"/>
      <c r="Z190" s="56"/>
      <c r="AA190" s="56"/>
      <c r="AB190" s="56"/>
      <c r="AC190" s="56"/>
      <c r="AD190" s="41"/>
      <c r="AE190" s="41"/>
      <c r="AF190" s="41"/>
      <c r="AG190" s="41"/>
      <c r="AH190" s="41"/>
      <c r="AI190" s="41"/>
      <c r="AJ190" s="41"/>
      <c r="AK190" s="41"/>
      <c r="AL190" s="41"/>
      <c r="AM190" s="41"/>
      <c r="AN190" s="41"/>
      <c r="AO190" s="41"/>
    </row>
    <row r="191" spans="1:41" s="16" customFormat="1" x14ac:dyDescent="0.35">
      <c r="A191" s="17"/>
      <c r="B191" s="17"/>
      <c r="C191" s="17"/>
      <c r="D191" s="17"/>
      <c r="E191" s="17"/>
      <c r="F191" s="17"/>
      <c r="G191" s="17"/>
      <c r="H191" s="17"/>
      <c r="I191" s="17"/>
      <c r="J191" s="60"/>
      <c r="K191" s="60"/>
      <c r="L191" s="60"/>
      <c r="M191" s="60"/>
      <c r="N191" s="60"/>
      <c r="O191" s="60"/>
      <c r="P191" s="60"/>
      <c r="Q191" s="60"/>
      <c r="R191" s="60"/>
      <c r="S191" s="41"/>
      <c r="T191" s="41"/>
      <c r="U191" s="41"/>
      <c r="V191" s="41"/>
      <c r="W191" s="56"/>
      <c r="X191" s="56"/>
      <c r="Y191" s="56"/>
      <c r="Z191" s="56"/>
      <c r="AA191" s="56"/>
      <c r="AB191" s="56"/>
      <c r="AC191" s="56"/>
      <c r="AD191" s="41"/>
      <c r="AE191" s="41"/>
      <c r="AF191" s="41"/>
      <c r="AG191" s="41"/>
      <c r="AH191" s="41"/>
      <c r="AI191" s="41"/>
      <c r="AJ191" s="41"/>
      <c r="AK191" s="41"/>
      <c r="AL191" s="41"/>
      <c r="AM191" s="41"/>
      <c r="AN191" s="41"/>
      <c r="AO191" s="41"/>
    </row>
    <row r="192" spans="1:41" s="16" customFormat="1" x14ac:dyDescent="0.35">
      <c r="A192" s="17"/>
      <c r="B192" s="17"/>
      <c r="C192" s="17"/>
      <c r="D192" s="17"/>
      <c r="E192" s="17"/>
      <c r="F192" s="17"/>
      <c r="G192" s="17"/>
      <c r="H192" s="17"/>
      <c r="I192" s="17"/>
      <c r="J192" s="60"/>
      <c r="K192" s="60"/>
      <c r="L192" s="60"/>
      <c r="M192" s="60"/>
      <c r="N192" s="60"/>
      <c r="O192" s="60"/>
      <c r="P192" s="60"/>
      <c r="Q192" s="60"/>
      <c r="R192" s="60"/>
      <c r="S192" s="41"/>
      <c r="T192" s="41"/>
      <c r="U192" s="41"/>
      <c r="V192" s="41"/>
      <c r="W192" s="56"/>
      <c r="X192" s="56"/>
      <c r="Y192" s="56"/>
      <c r="Z192" s="56"/>
      <c r="AA192" s="56"/>
      <c r="AB192" s="56"/>
      <c r="AC192" s="56"/>
      <c r="AD192" s="41"/>
      <c r="AE192" s="41"/>
      <c r="AF192" s="41"/>
      <c r="AG192" s="41"/>
      <c r="AH192" s="41"/>
      <c r="AI192" s="41"/>
      <c r="AJ192" s="41"/>
      <c r="AK192" s="41"/>
      <c r="AL192" s="41"/>
      <c r="AM192" s="41"/>
      <c r="AN192" s="41"/>
      <c r="AO192" s="41"/>
    </row>
    <row r="193" spans="1:41" s="16" customFormat="1" x14ac:dyDescent="0.35">
      <c r="A193" s="17"/>
      <c r="B193" s="17"/>
      <c r="C193" s="17"/>
      <c r="D193" s="17"/>
      <c r="E193" s="17"/>
      <c r="F193" s="17"/>
      <c r="G193" s="17"/>
      <c r="H193" s="17"/>
      <c r="I193" s="17"/>
      <c r="J193" s="60"/>
      <c r="K193" s="60"/>
      <c r="L193" s="60"/>
      <c r="M193" s="60"/>
      <c r="N193" s="60"/>
      <c r="O193" s="60"/>
      <c r="P193" s="60"/>
      <c r="Q193" s="60"/>
      <c r="R193" s="60"/>
      <c r="S193" s="41"/>
      <c r="T193" s="41"/>
      <c r="U193" s="41"/>
      <c r="V193" s="41"/>
      <c r="W193" s="56"/>
      <c r="X193" s="56"/>
      <c r="Y193" s="56"/>
      <c r="Z193" s="56"/>
      <c r="AA193" s="56"/>
      <c r="AB193" s="56"/>
      <c r="AC193" s="56"/>
      <c r="AD193" s="41"/>
      <c r="AE193" s="41"/>
      <c r="AF193" s="41"/>
      <c r="AG193" s="41"/>
      <c r="AH193" s="41"/>
      <c r="AI193" s="41"/>
      <c r="AJ193" s="41"/>
      <c r="AK193" s="41"/>
      <c r="AL193" s="41"/>
      <c r="AM193" s="41"/>
      <c r="AN193" s="41"/>
      <c r="AO193" s="41"/>
    </row>
    <row r="194" spans="1:41" s="16" customFormat="1" x14ac:dyDescent="0.35">
      <c r="A194" s="17"/>
      <c r="B194" s="17"/>
      <c r="C194" s="17"/>
      <c r="D194" s="17"/>
      <c r="E194" s="17"/>
      <c r="F194" s="17"/>
      <c r="G194" s="17"/>
      <c r="H194" s="17"/>
      <c r="I194" s="17"/>
      <c r="J194" s="60"/>
      <c r="K194" s="60"/>
      <c r="L194" s="60"/>
      <c r="M194" s="60"/>
      <c r="N194" s="60"/>
      <c r="O194" s="60"/>
      <c r="P194" s="60"/>
      <c r="Q194" s="60"/>
      <c r="R194" s="60"/>
      <c r="S194" s="41"/>
      <c r="T194" s="41"/>
      <c r="U194" s="41"/>
      <c r="V194" s="41"/>
      <c r="W194" s="56"/>
      <c r="X194" s="56"/>
      <c r="Y194" s="56"/>
      <c r="Z194" s="56"/>
      <c r="AA194" s="56"/>
      <c r="AB194" s="56"/>
      <c r="AC194" s="56"/>
      <c r="AD194" s="41"/>
      <c r="AE194" s="41"/>
      <c r="AF194" s="41"/>
      <c r="AG194" s="41"/>
      <c r="AH194" s="41"/>
      <c r="AI194" s="41"/>
      <c r="AJ194" s="41"/>
      <c r="AK194" s="41"/>
      <c r="AL194" s="41"/>
      <c r="AM194" s="41"/>
      <c r="AN194" s="41"/>
      <c r="AO194" s="41"/>
    </row>
    <row r="195" spans="1:41" s="16" customFormat="1" x14ac:dyDescent="0.35">
      <c r="A195" s="17"/>
      <c r="B195" s="17"/>
      <c r="C195" s="17"/>
      <c r="D195" s="17"/>
      <c r="E195" s="17"/>
      <c r="F195" s="17"/>
      <c r="G195" s="17"/>
      <c r="H195" s="17"/>
      <c r="I195" s="17"/>
      <c r="J195" s="60"/>
      <c r="K195" s="60"/>
      <c r="L195" s="60"/>
      <c r="M195" s="60"/>
      <c r="N195" s="60"/>
      <c r="O195" s="60"/>
      <c r="P195" s="60"/>
      <c r="Q195" s="60"/>
      <c r="R195" s="60"/>
      <c r="S195" s="41"/>
      <c r="T195" s="41"/>
      <c r="U195" s="41"/>
      <c r="V195" s="41"/>
      <c r="W195" s="56"/>
      <c r="X195" s="56"/>
      <c r="Y195" s="56"/>
      <c r="Z195" s="56"/>
      <c r="AA195" s="56"/>
      <c r="AB195" s="56"/>
      <c r="AC195" s="56"/>
      <c r="AD195" s="41"/>
      <c r="AE195" s="41"/>
      <c r="AF195" s="41"/>
      <c r="AG195" s="41"/>
      <c r="AH195" s="41"/>
      <c r="AI195" s="41"/>
      <c r="AJ195" s="41"/>
      <c r="AK195" s="41"/>
      <c r="AL195" s="41"/>
      <c r="AM195" s="41"/>
      <c r="AN195" s="41"/>
      <c r="AO195" s="41"/>
    </row>
    <row r="196" spans="1:41" s="16" customFormat="1" x14ac:dyDescent="0.35">
      <c r="A196" s="17"/>
      <c r="B196" s="17"/>
      <c r="C196" s="17"/>
      <c r="D196" s="17"/>
      <c r="E196" s="17"/>
      <c r="F196" s="17"/>
      <c r="G196" s="17"/>
      <c r="H196" s="17"/>
      <c r="I196" s="17"/>
      <c r="J196" s="60"/>
      <c r="K196" s="60"/>
      <c r="L196" s="60"/>
      <c r="M196" s="60"/>
      <c r="N196" s="60"/>
      <c r="O196" s="60"/>
      <c r="P196" s="60"/>
      <c r="Q196" s="60"/>
      <c r="R196" s="60"/>
      <c r="S196" s="41"/>
      <c r="T196" s="41"/>
      <c r="U196" s="41"/>
      <c r="V196" s="41"/>
      <c r="W196" s="56"/>
      <c r="X196" s="56"/>
      <c r="Y196" s="56"/>
      <c r="Z196" s="56"/>
      <c r="AA196" s="56"/>
      <c r="AB196" s="56"/>
      <c r="AC196" s="56"/>
      <c r="AD196" s="41"/>
      <c r="AE196" s="41"/>
      <c r="AF196" s="41"/>
      <c r="AG196" s="41"/>
      <c r="AH196" s="41"/>
      <c r="AI196" s="41"/>
      <c r="AJ196" s="41"/>
      <c r="AK196" s="41"/>
      <c r="AL196" s="41"/>
      <c r="AM196" s="41"/>
      <c r="AN196" s="41"/>
      <c r="AO196" s="41"/>
    </row>
    <row r="197" spans="1:41" s="16" customFormat="1" x14ac:dyDescent="0.35">
      <c r="A197" s="17"/>
      <c r="B197" s="17"/>
      <c r="C197" s="17"/>
      <c r="D197" s="17"/>
      <c r="E197" s="17"/>
      <c r="F197" s="17"/>
      <c r="G197" s="17"/>
      <c r="H197" s="17"/>
      <c r="I197" s="17"/>
      <c r="J197" s="60"/>
      <c r="K197" s="60"/>
      <c r="L197" s="60"/>
      <c r="M197" s="60"/>
      <c r="N197" s="60"/>
      <c r="O197" s="60"/>
      <c r="P197" s="60"/>
      <c r="Q197" s="60"/>
      <c r="R197" s="60"/>
      <c r="S197" s="41"/>
      <c r="T197" s="41"/>
      <c r="U197" s="41"/>
      <c r="V197" s="41"/>
      <c r="W197" s="56"/>
      <c r="X197" s="56"/>
      <c r="Y197" s="56"/>
      <c r="Z197" s="56"/>
      <c r="AA197" s="56"/>
      <c r="AB197" s="56"/>
      <c r="AC197" s="56"/>
      <c r="AD197" s="41"/>
      <c r="AE197" s="41"/>
      <c r="AF197" s="41"/>
      <c r="AG197" s="41"/>
      <c r="AH197" s="41"/>
      <c r="AI197" s="41"/>
      <c r="AJ197" s="41"/>
      <c r="AK197" s="41"/>
      <c r="AL197" s="41"/>
      <c r="AM197" s="41"/>
      <c r="AN197" s="41"/>
      <c r="AO197" s="41"/>
    </row>
    <row r="198" spans="1:41" s="16" customFormat="1" x14ac:dyDescent="0.35">
      <c r="A198" s="17"/>
      <c r="B198" s="17"/>
      <c r="C198" s="17"/>
      <c r="D198" s="17"/>
      <c r="E198" s="17"/>
      <c r="F198" s="17"/>
      <c r="G198" s="17"/>
      <c r="H198" s="17"/>
      <c r="I198" s="17"/>
      <c r="J198" s="60"/>
      <c r="K198" s="60"/>
      <c r="L198" s="60"/>
      <c r="M198" s="60"/>
      <c r="N198" s="60"/>
      <c r="O198" s="60"/>
      <c r="P198" s="60"/>
      <c r="Q198" s="60"/>
      <c r="R198" s="60"/>
      <c r="S198" s="41"/>
      <c r="T198" s="41"/>
      <c r="U198" s="41"/>
      <c r="V198" s="41"/>
      <c r="W198" s="56"/>
      <c r="X198" s="56"/>
      <c r="Y198" s="56"/>
      <c r="Z198" s="56"/>
      <c r="AA198" s="56"/>
      <c r="AB198" s="56"/>
      <c r="AC198" s="56"/>
      <c r="AD198" s="41"/>
      <c r="AE198" s="41"/>
      <c r="AF198" s="41"/>
      <c r="AG198" s="41"/>
      <c r="AH198" s="41"/>
      <c r="AI198" s="41"/>
      <c r="AJ198" s="41"/>
      <c r="AK198" s="41"/>
      <c r="AL198" s="41"/>
      <c r="AM198" s="41"/>
      <c r="AN198" s="41"/>
      <c r="AO198" s="41"/>
    </row>
    <row r="199" spans="1:41" s="16" customFormat="1" x14ac:dyDescent="0.35">
      <c r="A199" s="17"/>
      <c r="B199" s="17"/>
      <c r="C199" s="17"/>
      <c r="D199" s="17"/>
      <c r="E199" s="17"/>
      <c r="F199" s="17"/>
      <c r="G199" s="17"/>
      <c r="H199" s="17"/>
      <c r="I199" s="17"/>
      <c r="J199" s="60"/>
      <c r="K199" s="60"/>
      <c r="L199" s="60"/>
      <c r="M199" s="60"/>
      <c r="N199" s="60"/>
      <c r="O199" s="60"/>
      <c r="P199" s="60"/>
      <c r="Q199" s="60"/>
      <c r="R199" s="60"/>
      <c r="S199" s="41"/>
      <c r="T199" s="41"/>
      <c r="U199" s="41"/>
      <c r="V199" s="41"/>
      <c r="W199" s="56"/>
      <c r="X199" s="56"/>
      <c r="Y199" s="56"/>
      <c r="Z199" s="56"/>
      <c r="AA199" s="56"/>
      <c r="AB199" s="56"/>
      <c r="AC199" s="56"/>
      <c r="AD199" s="41"/>
      <c r="AE199" s="41"/>
      <c r="AF199" s="41"/>
      <c r="AG199" s="41"/>
      <c r="AH199" s="41"/>
      <c r="AI199" s="41"/>
      <c r="AJ199" s="41"/>
      <c r="AK199" s="41"/>
      <c r="AL199" s="41"/>
      <c r="AM199" s="41"/>
      <c r="AN199" s="41"/>
      <c r="AO199" s="41"/>
    </row>
    <row r="200" spans="1:41" s="16" customFormat="1" x14ac:dyDescent="0.35">
      <c r="A200" s="17"/>
      <c r="B200" s="17"/>
      <c r="C200" s="17"/>
      <c r="D200" s="17"/>
      <c r="E200" s="17"/>
      <c r="F200" s="17"/>
      <c r="G200" s="17"/>
      <c r="H200" s="17"/>
      <c r="I200" s="17"/>
      <c r="J200" s="60"/>
      <c r="K200" s="60"/>
      <c r="L200" s="60"/>
      <c r="M200" s="60"/>
      <c r="N200" s="60"/>
      <c r="O200" s="60"/>
      <c r="P200" s="60"/>
      <c r="Q200" s="60"/>
      <c r="R200" s="60"/>
      <c r="S200" s="41"/>
      <c r="T200" s="41"/>
      <c r="U200" s="41"/>
      <c r="V200" s="41"/>
      <c r="W200" s="56"/>
      <c r="X200" s="56"/>
      <c r="Y200" s="56"/>
      <c r="Z200" s="56"/>
      <c r="AA200" s="56"/>
      <c r="AB200" s="56"/>
      <c r="AC200" s="56"/>
      <c r="AD200" s="41"/>
      <c r="AE200" s="41"/>
      <c r="AF200" s="41"/>
      <c r="AG200" s="41"/>
      <c r="AH200" s="41"/>
      <c r="AI200" s="41"/>
      <c r="AJ200" s="41"/>
      <c r="AK200" s="41"/>
      <c r="AL200" s="41"/>
      <c r="AM200" s="41"/>
      <c r="AN200" s="41"/>
      <c r="AO200" s="41"/>
    </row>
    <row r="201" spans="1:41" s="16" customFormat="1" x14ac:dyDescent="0.35">
      <c r="A201" s="17"/>
      <c r="B201" s="17"/>
      <c r="C201" s="17"/>
      <c r="D201" s="17"/>
      <c r="E201" s="17"/>
      <c r="F201" s="17"/>
      <c r="G201" s="17"/>
      <c r="H201" s="17"/>
      <c r="I201" s="17"/>
      <c r="J201" s="60"/>
      <c r="K201" s="60"/>
      <c r="L201" s="60"/>
      <c r="M201" s="60"/>
      <c r="N201" s="60"/>
      <c r="O201" s="60"/>
      <c r="P201" s="60"/>
      <c r="Q201" s="60"/>
      <c r="R201" s="60"/>
      <c r="S201" s="41"/>
      <c r="T201" s="41"/>
      <c r="U201" s="41"/>
      <c r="V201" s="41"/>
      <c r="W201" s="56"/>
      <c r="X201" s="56"/>
      <c r="Y201" s="56"/>
      <c r="Z201" s="56"/>
      <c r="AA201" s="56"/>
      <c r="AB201" s="56"/>
      <c r="AC201" s="56"/>
      <c r="AD201" s="41"/>
      <c r="AE201" s="41"/>
      <c r="AF201" s="41"/>
      <c r="AG201" s="41"/>
      <c r="AH201" s="41"/>
      <c r="AI201" s="41"/>
      <c r="AJ201" s="41"/>
      <c r="AK201" s="41"/>
      <c r="AL201" s="41"/>
      <c r="AM201" s="41"/>
      <c r="AN201" s="41"/>
      <c r="AO201" s="41"/>
    </row>
    <row r="202" spans="1:41" s="16" customFormat="1" x14ac:dyDescent="0.35">
      <c r="A202" s="17"/>
      <c r="B202" s="17"/>
      <c r="C202" s="17"/>
      <c r="D202" s="17"/>
      <c r="E202" s="17"/>
      <c r="F202" s="17"/>
      <c r="G202" s="17"/>
      <c r="H202" s="17"/>
      <c r="I202" s="17"/>
      <c r="J202" s="60"/>
      <c r="K202" s="60"/>
      <c r="L202" s="60"/>
      <c r="M202" s="60"/>
      <c r="N202" s="60"/>
      <c r="O202" s="60"/>
      <c r="P202" s="60"/>
      <c r="Q202" s="60"/>
      <c r="R202" s="60"/>
      <c r="S202" s="41"/>
      <c r="T202" s="41"/>
      <c r="U202" s="41"/>
      <c r="V202" s="41"/>
      <c r="W202" s="56"/>
      <c r="X202" s="56"/>
      <c r="Y202" s="56"/>
      <c r="Z202" s="56"/>
      <c r="AA202" s="56"/>
      <c r="AB202" s="56"/>
      <c r="AC202" s="56"/>
      <c r="AD202" s="41"/>
      <c r="AE202" s="41"/>
      <c r="AF202" s="41"/>
      <c r="AG202" s="41"/>
      <c r="AH202" s="41"/>
      <c r="AI202" s="41"/>
      <c r="AJ202" s="41"/>
      <c r="AK202" s="41"/>
      <c r="AL202" s="41"/>
      <c r="AM202" s="41"/>
      <c r="AN202" s="41"/>
      <c r="AO202" s="41"/>
    </row>
    <row r="203" spans="1:41" s="16" customFormat="1" x14ac:dyDescent="0.35">
      <c r="A203" s="17"/>
      <c r="B203" s="17"/>
      <c r="C203" s="17"/>
      <c r="D203" s="17"/>
      <c r="E203" s="17"/>
      <c r="F203" s="17"/>
      <c r="G203" s="17"/>
      <c r="H203" s="17"/>
      <c r="I203" s="17"/>
      <c r="J203" s="60"/>
      <c r="K203" s="60"/>
      <c r="L203" s="60"/>
      <c r="M203" s="60"/>
      <c r="N203" s="60"/>
      <c r="O203" s="60"/>
      <c r="P203" s="60"/>
      <c r="Q203" s="60"/>
      <c r="R203" s="60"/>
      <c r="S203" s="41"/>
      <c r="T203" s="41"/>
      <c r="U203" s="41"/>
      <c r="V203" s="41"/>
      <c r="W203" s="56"/>
      <c r="X203" s="56"/>
      <c r="Y203" s="56"/>
      <c r="Z203" s="56"/>
      <c r="AA203" s="56"/>
      <c r="AB203" s="56"/>
      <c r="AC203" s="56"/>
      <c r="AD203" s="41"/>
      <c r="AE203" s="41"/>
      <c r="AF203" s="41"/>
      <c r="AG203" s="41"/>
      <c r="AH203" s="41"/>
      <c r="AI203" s="41"/>
      <c r="AJ203" s="41"/>
      <c r="AK203" s="41"/>
      <c r="AL203" s="41"/>
      <c r="AM203" s="41"/>
      <c r="AN203" s="41"/>
      <c r="AO203" s="41"/>
    </row>
    <row r="204" spans="1:41" s="16" customFormat="1" x14ac:dyDescent="0.35">
      <c r="A204" s="17"/>
      <c r="B204" s="17"/>
      <c r="C204" s="17"/>
      <c r="D204" s="17"/>
      <c r="E204" s="17"/>
      <c r="F204" s="17"/>
      <c r="G204" s="17"/>
      <c r="H204" s="17"/>
      <c r="I204" s="17"/>
      <c r="J204" s="60"/>
      <c r="K204" s="60"/>
      <c r="L204" s="60"/>
      <c r="M204" s="60"/>
      <c r="N204" s="60"/>
      <c r="O204" s="60"/>
      <c r="P204" s="60"/>
      <c r="Q204" s="60"/>
      <c r="R204" s="60"/>
      <c r="S204" s="41"/>
      <c r="T204" s="41"/>
      <c r="U204" s="41"/>
      <c r="V204" s="41"/>
      <c r="W204" s="56"/>
      <c r="X204" s="56"/>
      <c r="Y204" s="56"/>
      <c r="Z204" s="56"/>
      <c r="AA204" s="56"/>
      <c r="AB204" s="56"/>
      <c r="AC204" s="56"/>
      <c r="AD204" s="41"/>
      <c r="AE204" s="41"/>
      <c r="AF204" s="41"/>
      <c r="AG204" s="41"/>
      <c r="AH204" s="41"/>
      <c r="AI204" s="41"/>
      <c r="AJ204" s="41"/>
      <c r="AK204" s="41"/>
      <c r="AL204" s="41"/>
      <c r="AM204" s="41"/>
      <c r="AN204" s="41"/>
      <c r="AO204" s="41"/>
    </row>
    <row r="205" spans="1:41" s="16" customFormat="1" x14ac:dyDescent="0.35">
      <c r="A205" s="17"/>
      <c r="B205" s="17"/>
      <c r="C205" s="17"/>
      <c r="D205" s="17"/>
      <c r="E205" s="17"/>
      <c r="F205" s="17"/>
      <c r="G205" s="17"/>
      <c r="H205" s="17"/>
      <c r="I205" s="17"/>
      <c r="J205" s="60"/>
      <c r="K205" s="60"/>
      <c r="L205" s="60"/>
      <c r="M205" s="60"/>
      <c r="N205" s="60"/>
      <c r="O205" s="60"/>
      <c r="P205" s="60"/>
      <c r="Q205" s="60"/>
      <c r="R205" s="60"/>
      <c r="S205" s="41"/>
      <c r="T205" s="41"/>
      <c r="U205" s="41"/>
      <c r="V205" s="41"/>
      <c r="W205" s="56"/>
      <c r="X205" s="56"/>
      <c r="Y205" s="56"/>
      <c r="Z205" s="56"/>
      <c r="AA205" s="56"/>
      <c r="AB205" s="56"/>
      <c r="AC205" s="56"/>
      <c r="AD205" s="41"/>
      <c r="AE205" s="41"/>
      <c r="AF205" s="41"/>
      <c r="AG205" s="41"/>
      <c r="AH205" s="41"/>
      <c r="AI205" s="41"/>
      <c r="AJ205" s="41"/>
      <c r="AK205" s="41"/>
      <c r="AL205" s="41"/>
      <c r="AM205" s="41"/>
      <c r="AN205" s="41"/>
      <c r="AO205" s="41"/>
    </row>
    <row r="206" spans="1:41" s="16" customFormat="1" x14ac:dyDescent="0.35">
      <c r="A206" s="17"/>
      <c r="B206" s="17"/>
      <c r="C206" s="17"/>
      <c r="D206" s="17"/>
      <c r="E206" s="17"/>
      <c r="F206" s="17"/>
      <c r="G206" s="17"/>
      <c r="H206" s="17"/>
      <c r="I206" s="17"/>
      <c r="J206" s="60"/>
      <c r="K206" s="60"/>
      <c r="L206" s="60"/>
      <c r="M206" s="60"/>
      <c r="N206" s="60"/>
      <c r="O206" s="60"/>
      <c r="P206" s="60"/>
      <c r="Q206" s="60"/>
      <c r="R206" s="60"/>
      <c r="S206" s="41"/>
      <c r="T206" s="41"/>
      <c r="U206" s="41"/>
      <c r="V206" s="41"/>
      <c r="W206" s="56"/>
      <c r="X206" s="56"/>
      <c r="Y206" s="56"/>
      <c r="Z206" s="56"/>
      <c r="AA206" s="56"/>
      <c r="AB206" s="56"/>
      <c r="AC206" s="56"/>
      <c r="AD206" s="41"/>
      <c r="AE206" s="41"/>
      <c r="AF206" s="41"/>
      <c r="AG206" s="41"/>
      <c r="AH206" s="41"/>
      <c r="AI206" s="41"/>
      <c r="AJ206" s="41"/>
      <c r="AK206" s="41"/>
      <c r="AL206" s="41"/>
      <c r="AM206" s="41"/>
      <c r="AN206" s="41"/>
      <c r="AO206" s="41"/>
    </row>
    <row r="207" spans="1:41" s="16" customFormat="1" x14ac:dyDescent="0.35">
      <c r="A207" s="17"/>
      <c r="B207" s="17"/>
      <c r="C207" s="17"/>
      <c r="D207" s="17"/>
      <c r="E207" s="17"/>
      <c r="F207" s="17"/>
      <c r="G207" s="17"/>
      <c r="H207" s="17"/>
      <c r="I207" s="17"/>
      <c r="J207" s="60"/>
      <c r="K207" s="60"/>
      <c r="L207" s="60"/>
      <c r="M207" s="60"/>
      <c r="N207" s="60"/>
      <c r="O207" s="60"/>
      <c r="P207" s="60"/>
      <c r="Q207" s="60"/>
      <c r="R207" s="60"/>
      <c r="S207" s="41"/>
      <c r="T207" s="41"/>
      <c r="U207" s="41"/>
      <c r="V207" s="41"/>
      <c r="W207" s="56"/>
      <c r="X207" s="56"/>
      <c r="Y207" s="56"/>
      <c r="Z207" s="56"/>
      <c r="AA207" s="56"/>
      <c r="AB207" s="56"/>
      <c r="AC207" s="56"/>
      <c r="AD207" s="41"/>
      <c r="AE207" s="41"/>
      <c r="AF207" s="41"/>
      <c r="AG207" s="41"/>
      <c r="AH207" s="41"/>
      <c r="AI207" s="41"/>
      <c r="AJ207" s="41"/>
      <c r="AK207" s="41"/>
      <c r="AL207" s="41"/>
      <c r="AM207" s="41"/>
      <c r="AN207" s="41"/>
      <c r="AO207" s="41"/>
    </row>
    <row r="208" spans="1:41" s="16" customFormat="1" x14ac:dyDescent="0.35">
      <c r="A208" s="17"/>
      <c r="B208" s="17"/>
      <c r="C208" s="17"/>
      <c r="D208" s="17"/>
      <c r="E208" s="17"/>
      <c r="F208" s="17"/>
      <c r="G208" s="17"/>
      <c r="H208" s="17"/>
      <c r="I208" s="17"/>
      <c r="J208" s="60"/>
      <c r="K208" s="60"/>
      <c r="L208" s="60"/>
      <c r="M208" s="60"/>
      <c r="N208" s="60"/>
      <c r="O208" s="60"/>
      <c r="P208" s="60"/>
      <c r="Q208" s="60"/>
      <c r="R208" s="60"/>
      <c r="S208" s="41"/>
      <c r="T208" s="41"/>
      <c r="U208" s="41"/>
      <c r="V208" s="41"/>
      <c r="W208" s="56"/>
      <c r="X208" s="56"/>
      <c r="Y208" s="56"/>
      <c r="Z208" s="56"/>
      <c r="AA208" s="56"/>
      <c r="AB208" s="56"/>
      <c r="AC208" s="56"/>
      <c r="AD208" s="41"/>
      <c r="AE208" s="41"/>
      <c r="AF208" s="41"/>
      <c r="AG208" s="41"/>
      <c r="AH208" s="41"/>
      <c r="AI208" s="41"/>
      <c r="AJ208" s="41"/>
      <c r="AK208" s="41"/>
      <c r="AL208" s="41"/>
      <c r="AM208" s="41"/>
      <c r="AN208" s="41"/>
      <c r="AO208" s="41"/>
    </row>
    <row r="209" spans="1:41" s="16" customFormat="1" x14ac:dyDescent="0.35">
      <c r="A209" s="17"/>
      <c r="B209" s="17"/>
      <c r="C209" s="17"/>
      <c r="D209" s="17"/>
      <c r="E209" s="17"/>
      <c r="F209" s="17"/>
      <c r="G209" s="17"/>
      <c r="H209" s="17"/>
      <c r="I209" s="17"/>
      <c r="J209" s="60"/>
      <c r="K209" s="60"/>
      <c r="L209" s="60"/>
      <c r="M209" s="60"/>
      <c r="N209" s="60"/>
      <c r="O209" s="60"/>
      <c r="P209" s="60"/>
      <c r="Q209" s="60"/>
      <c r="R209" s="60"/>
      <c r="S209" s="41"/>
      <c r="T209" s="41"/>
      <c r="U209" s="41"/>
      <c r="V209" s="41"/>
      <c r="W209" s="56"/>
      <c r="X209" s="56"/>
      <c r="Y209" s="56"/>
      <c r="Z209" s="56"/>
      <c r="AA209" s="56"/>
      <c r="AB209" s="56"/>
      <c r="AC209" s="56"/>
      <c r="AD209" s="41"/>
      <c r="AE209" s="41"/>
      <c r="AF209" s="41"/>
      <c r="AG209" s="41"/>
      <c r="AH209" s="41"/>
      <c r="AI209" s="41"/>
      <c r="AJ209" s="41"/>
      <c r="AK209" s="41"/>
      <c r="AL209" s="41"/>
      <c r="AM209" s="41"/>
      <c r="AN209" s="41"/>
      <c r="AO209" s="41"/>
    </row>
    <row r="210" spans="1:41" s="16" customFormat="1" x14ac:dyDescent="0.35">
      <c r="A210" s="17"/>
      <c r="B210" s="17"/>
      <c r="C210" s="17"/>
      <c r="D210" s="17"/>
      <c r="E210" s="17"/>
      <c r="F210" s="17"/>
      <c r="G210" s="17"/>
      <c r="H210" s="17"/>
      <c r="I210" s="17"/>
      <c r="J210" s="60"/>
      <c r="K210" s="60"/>
      <c r="L210" s="60"/>
      <c r="M210" s="60"/>
      <c r="N210" s="60"/>
      <c r="O210" s="60"/>
      <c r="P210" s="60"/>
      <c r="Q210" s="60"/>
      <c r="R210" s="60"/>
      <c r="S210" s="41"/>
      <c r="T210" s="41"/>
      <c r="U210" s="41"/>
      <c r="V210" s="41"/>
      <c r="W210" s="56"/>
      <c r="X210" s="56"/>
      <c r="Y210" s="56"/>
      <c r="Z210" s="56"/>
      <c r="AA210" s="56"/>
      <c r="AB210" s="56"/>
      <c r="AC210" s="56"/>
      <c r="AD210" s="41"/>
      <c r="AE210" s="41"/>
      <c r="AF210" s="41"/>
      <c r="AG210" s="41"/>
      <c r="AH210" s="41"/>
      <c r="AI210" s="41"/>
      <c r="AJ210" s="41"/>
      <c r="AK210" s="41"/>
      <c r="AL210" s="41"/>
      <c r="AM210" s="41"/>
      <c r="AN210" s="41"/>
      <c r="AO210" s="41"/>
    </row>
    <row r="211" spans="1:41" s="16" customFormat="1" x14ac:dyDescent="0.35">
      <c r="A211" s="17"/>
      <c r="B211" s="17"/>
      <c r="C211" s="17"/>
      <c r="D211" s="17"/>
      <c r="E211" s="17"/>
      <c r="F211" s="17"/>
      <c r="G211" s="17"/>
      <c r="H211" s="17"/>
      <c r="I211" s="17"/>
      <c r="J211" s="60"/>
      <c r="K211" s="60"/>
      <c r="L211" s="60"/>
      <c r="M211" s="60"/>
      <c r="N211" s="60"/>
      <c r="O211" s="60"/>
      <c r="P211" s="60"/>
      <c r="Q211" s="60"/>
      <c r="R211" s="60"/>
      <c r="S211" s="41"/>
      <c r="T211" s="41"/>
      <c r="U211" s="41"/>
      <c r="V211" s="41"/>
      <c r="W211" s="56"/>
      <c r="X211" s="56"/>
      <c r="Y211" s="56"/>
      <c r="Z211" s="56"/>
      <c r="AA211" s="56"/>
      <c r="AB211" s="56"/>
      <c r="AC211" s="56"/>
      <c r="AD211" s="41"/>
      <c r="AE211" s="41"/>
      <c r="AF211" s="41"/>
      <c r="AG211" s="41"/>
      <c r="AH211" s="41"/>
      <c r="AI211" s="41"/>
      <c r="AJ211" s="41"/>
      <c r="AK211" s="41"/>
      <c r="AL211" s="41"/>
      <c r="AM211" s="41"/>
      <c r="AN211" s="41"/>
      <c r="AO211" s="41"/>
    </row>
    <row r="212" spans="1:41" s="16" customFormat="1" x14ac:dyDescent="0.35">
      <c r="A212" s="17"/>
      <c r="B212" s="17"/>
      <c r="C212" s="17"/>
      <c r="D212" s="17"/>
      <c r="E212" s="17"/>
      <c r="F212" s="17"/>
      <c r="G212" s="17"/>
      <c r="H212" s="17"/>
      <c r="I212" s="17"/>
      <c r="J212" s="60"/>
      <c r="K212" s="60"/>
      <c r="L212" s="60"/>
      <c r="M212" s="60"/>
      <c r="N212" s="60"/>
      <c r="O212" s="60"/>
      <c r="P212" s="60"/>
      <c r="Q212" s="60"/>
      <c r="R212" s="60"/>
      <c r="S212" s="41"/>
      <c r="T212" s="41"/>
      <c r="U212" s="41"/>
      <c r="V212" s="41"/>
      <c r="W212" s="56"/>
      <c r="X212" s="56"/>
      <c r="Y212" s="56"/>
      <c r="Z212" s="56"/>
      <c r="AA212" s="56"/>
      <c r="AB212" s="56"/>
      <c r="AC212" s="56"/>
      <c r="AD212" s="41"/>
      <c r="AE212" s="41"/>
      <c r="AF212" s="41"/>
      <c r="AG212" s="41"/>
      <c r="AH212" s="41"/>
      <c r="AI212" s="41"/>
      <c r="AJ212" s="41"/>
      <c r="AK212" s="41"/>
      <c r="AL212" s="41"/>
      <c r="AM212" s="41"/>
      <c r="AN212" s="41"/>
      <c r="AO212" s="41"/>
    </row>
    <row r="213" spans="1:41" s="16" customFormat="1" x14ac:dyDescent="0.35">
      <c r="A213" s="17"/>
      <c r="B213" s="17"/>
      <c r="C213" s="17"/>
      <c r="D213" s="17"/>
      <c r="E213" s="17"/>
      <c r="F213" s="17"/>
      <c r="G213" s="17"/>
      <c r="H213" s="17"/>
      <c r="I213" s="17"/>
      <c r="J213" s="60"/>
      <c r="K213" s="60"/>
      <c r="L213" s="60"/>
      <c r="M213" s="60"/>
      <c r="N213" s="60"/>
      <c r="O213" s="60"/>
      <c r="P213" s="60"/>
      <c r="Q213" s="60"/>
      <c r="R213" s="60"/>
      <c r="S213" s="41"/>
      <c r="T213" s="41"/>
      <c r="U213" s="41"/>
      <c r="V213" s="41"/>
      <c r="W213" s="56"/>
      <c r="X213" s="56"/>
      <c r="Y213" s="56"/>
      <c r="Z213" s="56"/>
      <c r="AA213" s="56"/>
      <c r="AB213" s="56"/>
      <c r="AC213" s="56"/>
      <c r="AD213" s="41"/>
      <c r="AE213" s="41"/>
      <c r="AF213" s="41"/>
      <c r="AG213" s="41"/>
      <c r="AH213" s="41"/>
      <c r="AI213" s="41"/>
      <c r="AJ213" s="41"/>
      <c r="AK213" s="41"/>
      <c r="AL213" s="41"/>
      <c r="AM213" s="41"/>
      <c r="AN213" s="41"/>
      <c r="AO213" s="41"/>
    </row>
    <row r="214" spans="1:41" s="16" customFormat="1" x14ac:dyDescent="0.35">
      <c r="A214" s="17"/>
      <c r="B214" s="17"/>
      <c r="C214" s="17"/>
      <c r="D214" s="17"/>
      <c r="E214" s="17"/>
      <c r="F214" s="17"/>
      <c r="G214" s="17"/>
      <c r="H214" s="17"/>
      <c r="I214" s="17"/>
      <c r="J214" s="60"/>
      <c r="K214" s="60"/>
      <c r="L214" s="60"/>
      <c r="M214" s="60"/>
      <c r="N214" s="60"/>
      <c r="O214" s="60"/>
      <c r="P214" s="60"/>
      <c r="Q214" s="60"/>
      <c r="R214" s="60"/>
      <c r="S214" s="41"/>
      <c r="T214" s="41"/>
      <c r="U214" s="41"/>
      <c r="V214" s="41"/>
      <c r="W214" s="56"/>
      <c r="X214" s="56"/>
      <c r="Y214" s="56"/>
      <c r="Z214" s="56"/>
      <c r="AA214" s="56"/>
      <c r="AB214" s="56"/>
      <c r="AC214" s="56"/>
      <c r="AD214" s="41"/>
      <c r="AE214" s="41"/>
      <c r="AF214" s="41"/>
      <c r="AG214" s="41"/>
      <c r="AH214" s="41"/>
      <c r="AI214" s="41"/>
      <c r="AJ214" s="41"/>
      <c r="AK214" s="41"/>
      <c r="AL214" s="41"/>
      <c r="AM214" s="41"/>
      <c r="AN214" s="41"/>
      <c r="AO214" s="41"/>
    </row>
    <row r="215" spans="1:41" s="16" customFormat="1" x14ac:dyDescent="0.35">
      <c r="A215" s="17"/>
      <c r="B215" s="17"/>
      <c r="C215" s="17"/>
      <c r="D215" s="17"/>
      <c r="E215" s="17"/>
      <c r="F215" s="17"/>
      <c r="G215" s="17"/>
      <c r="H215" s="17"/>
      <c r="I215" s="17"/>
      <c r="J215" s="60"/>
      <c r="K215" s="60"/>
      <c r="L215" s="60"/>
      <c r="M215" s="60"/>
      <c r="N215" s="60"/>
      <c r="O215" s="60"/>
      <c r="P215" s="60"/>
      <c r="Q215" s="60"/>
      <c r="R215" s="60"/>
      <c r="S215" s="41"/>
      <c r="T215" s="41"/>
      <c r="U215" s="41"/>
      <c r="V215" s="41"/>
      <c r="W215" s="56"/>
      <c r="X215" s="56"/>
      <c r="Y215" s="56"/>
      <c r="Z215" s="56"/>
      <c r="AA215" s="56"/>
      <c r="AB215" s="56"/>
      <c r="AC215" s="56"/>
      <c r="AD215" s="41"/>
      <c r="AE215" s="41"/>
      <c r="AF215" s="41"/>
      <c r="AG215" s="41"/>
      <c r="AH215" s="41"/>
      <c r="AI215" s="41"/>
      <c r="AJ215" s="41"/>
      <c r="AK215" s="41"/>
      <c r="AL215" s="41"/>
      <c r="AM215" s="41"/>
      <c r="AN215" s="41"/>
      <c r="AO215" s="41"/>
    </row>
    <row r="216" spans="1:41" s="16" customFormat="1" x14ac:dyDescent="0.35">
      <c r="A216" s="17"/>
      <c r="B216" s="17"/>
      <c r="C216" s="17"/>
      <c r="D216" s="17"/>
      <c r="E216" s="17"/>
      <c r="F216" s="17"/>
      <c r="G216" s="17"/>
      <c r="H216" s="17"/>
      <c r="I216" s="17"/>
      <c r="J216" s="60"/>
      <c r="K216" s="60"/>
      <c r="L216" s="60"/>
      <c r="M216" s="60"/>
      <c r="N216" s="60"/>
      <c r="O216" s="60"/>
      <c r="P216" s="60"/>
      <c r="Q216" s="60"/>
      <c r="R216" s="60"/>
      <c r="S216" s="41"/>
      <c r="T216" s="41"/>
      <c r="U216" s="41"/>
      <c r="V216" s="41"/>
      <c r="W216" s="56"/>
      <c r="X216" s="56"/>
      <c r="Y216" s="56"/>
      <c r="Z216" s="56"/>
      <c r="AA216" s="56"/>
      <c r="AB216" s="56"/>
      <c r="AC216" s="56"/>
      <c r="AD216" s="41"/>
      <c r="AE216" s="41"/>
      <c r="AF216" s="41"/>
      <c r="AG216" s="41"/>
      <c r="AH216" s="41"/>
      <c r="AI216" s="41"/>
      <c r="AJ216" s="41"/>
      <c r="AK216" s="41"/>
      <c r="AL216" s="41"/>
      <c r="AM216" s="41"/>
      <c r="AN216" s="41"/>
      <c r="AO216" s="41"/>
    </row>
    <row r="217" spans="1:41" s="16" customFormat="1" x14ac:dyDescent="0.35">
      <c r="A217" s="17"/>
      <c r="B217" s="17"/>
      <c r="C217" s="17"/>
      <c r="D217" s="17"/>
      <c r="E217" s="17"/>
      <c r="F217" s="17"/>
      <c r="G217" s="17"/>
      <c r="H217" s="17"/>
      <c r="I217" s="17"/>
      <c r="J217" s="60"/>
      <c r="K217" s="60"/>
      <c r="L217" s="60"/>
      <c r="M217" s="60"/>
      <c r="N217" s="60"/>
      <c r="O217" s="60"/>
      <c r="P217" s="60"/>
      <c r="Q217" s="60"/>
      <c r="R217" s="60"/>
      <c r="S217" s="41"/>
      <c r="T217" s="41"/>
      <c r="U217" s="41"/>
      <c r="V217" s="41"/>
      <c r="W217" s="56"/>
      <c r="X217" s="56"/>
      <c r="Y217" s="56"/>
      <c r="Z217" s="56"/>
      <c r="AA217" s="56"/>
      <c r="AB217" s="56"/>
      <c r="AC217" s="56"/>
      <c r="AD217" s="41"/>
      <c r="AE217" s="41"/>
      <c r="AF217" s="41"/>
      <c r="AG217" s="41"/>
      <c r="AH217" s="41"/>
      <c r="AI217" s="41"/>
      <c r="AJ217" s="41"/>
      <c r="AK217" s="41"/>
      <c r="AL217" s="41"/>
      <c r="AM217" s="41"/>
      <c r="AN217" s="41"/>
      <c r="AO217" s="41"/>
    </row>
    <row r="218" spans="1:41" s="16" customFormat="1" x14ac:dyDescent="0.35">
      <c r="A218" s="17"/>
      <c r="B218" s="17"/>
      <c r="C218" s="17"/>
      <c r="D218" s="17"/>
      <c r="E218" s="17"/>
      <c r="F218" s="17"/>
      <c r="G218" s="17"/>
      <c r="H218" s="17"/>
      <c r="I218" s="17"/>
      <c r="J218" s="60"/>
      <c r="K218" s="60"/>
      <c r="L218" s="60"/>
      <c r="M218" s="60"/>
      <c r="N218" s="60"/>
      <c r="O218" s="60"/>
      <c r="P218" s="60"/>
      <c r="Q218" s="60"/>
      <c r="R218" s="60"/>
      <c r="S218" s="41"/>
      <c r="T218" s="41"/>
      <c r="U218" s="41"/>
      <c r="V218" s="41"/>
      <c r="W218" s="56"/>
      <c r="X218" s="56"/>
      <c r="Y218" s="56"/>
      <c r="Z218" s="56"/>
      <c r="AA218" s="56"/>
      <c r="AB218" s="56"/>
      <c r="AC218" s="56"/>
      <c r="AD218" s="41"/>
      <c r="AE218" s="41"/>
      <c r="AF218" s="41"/>
      <c r="AG218" s="41"/>
      <c r="AH218" s="41"/>
      <c r="AI218" s="41"/>
      <c r="AJ218" s="41"/>
      <c r="AK218" s="41"/>
      <c r="AL218" s="41"/>
      <c r="AM218" s="41"/>
      <c r="AN218" s="41"/>
      <c r="AO218" s="41"/>
    </row>
    <row r="219" spans="1:41" s="16" customFormat="1" x14ac:dyDescent="0.35">
      <c r="A219" s="17"/>
      <c r="B219" s="17"/>
      <c r="C219" s="17"/>
      <c r="D219" s="17"/>
      <c r="E219" s="17"/>
      <c r="F219" s="17"/>
      <c r="G219" s="17"/>
      <c r="H219" s="17"/>
      <c r="I219" s="17"/>
      <c r="J219" s="60"/>
      <c r="K219" s="60"/>
      <c r="L219" s="60"/>
      <c r="M219" s="60"/>
      <c r="N219" s="60"/>
      <c r="O219" s="60"/>
      <c r="P219" s="60"/>
      <c r="Q219" s="60"/>
      <c r="R219" s="60"/>
      <c r="S219" s="41"/>
      <c r="T219" s="41"/>
      <c r="U219" s="41"/>
      <c r="V219" s="41"/>
      <c r="W219" s="56"/>
      <c r="X219" s="56"/>
      <c r="Y219" s="56"/>
      <c r="Z219" s="56"/>
      <c r="AA219" s="56"/>
      <c r="AB219" s="56"/>
      <c r="AC219" s="56"/>
      <c r="AD219" s="41"/>
      <c r="AE219" s="41"/>
      <c r="AF219" s="41"/>
      <c r="AG219" s="41"/>
      <c r="AH219" s="41"/>
      <c r="AI219" s="41"/>
      <c r="AJ219" s="41"/>
      <c r="AK219" s="41"/>
      <c r="AL219" s="41"/>
      <c r="AM219" s="41"/>
      <c r="AN219" s="41"/>
      <c r="AO219" s="41"/>
    </row>
    <row r="220" spans="1:41" s="16" customFormat="1" x14ac:dyDescent="0.35">
      <c r="A220" s="17"/>
      <c r="B220" s="17"/>
      <c r="C220" s="17"/>
      <c r="D220" s="17"/>
      <c r="E220" s="17"/>
      <c r="F220" s="17"/>
      <c r="G220" s="17"/>
      <c r="H220" s="17"/>
      <c r="I220" s="17"/>
      <c r="J220" s="60"/>
      <c r="K220" s="60"/>
      <c r="L220" s="60"/>
      <c r="M220" s="60"/>
      <c r="N220" s="60"/>
      <c r="O220" s="60"/>
      <c r="P220" s="60"/>
      <c r="Q220" s="60"/>
      <c r="R220" s="60"/>
      <c r="S220" s="41"/>
      <c r="T220" s="41"/>
      <c r="U220" s="41"/>
      <c r="V220" s="41"/>
      <c r="W220" s="56"/>
      <c r="X220" s="56"/>
      <c r="Y220" s="56"/>
      <c r="Z220" s="56"/>
      <c r="AA220" s="56"/>
      <c r="AB220" s="56"/>
      <c r="AC220" s="56"/>
      <c r="AD220" s="41"/>
      <c r="AE220" s="41"/>
      <c r="AF220" s="41"/>
      <c r="AG220" s="41"/>
      <c r="AH220" s="41"/>
      <c r="AI220" s="41"/>
      <c r="AJ220" s="41"/>
      <c r="AK220" s="41"/>
      <c r="AL220" s="41"/>
      <c r="AM220" s="41"/>
      <c r="AN220" s="41"/>
      <c r="AO220" s="41"/>
    </row>
    <row r="221" spans="1:41" s="16" customFormat="1" x14ac:dyDescent="0.35">
      <c r="A221" s="17"/>
      <c r="B221" s="17"/>
      <c r="C221" s="17"/>
      <c r="D221" s="17"/>
      <c r="E221" s="17"/>
      <c r="F221" s="17"/>
      <c r="G221" s="17"/>
      <c r="H221" s="17"/>
      <c r="I221" s="17"/>
      <c r="J221" s="60"/>
      <c r="K221" s="60"/>
      <c r="L221" s="60"/>
      <c r="M221" s="60"/>
      <c r="N221" s="60"/>
      <c r="O221" s="60"/>
      <c r="P221" s="60"/>
      <c r="Q221" s="60"/>
      <c r="R221" s="60"/>
      <c r="S221" s="41"/>
      <c r="T221" s="41"/>
      <c r="U221" s="41"/>
      <c r="V221" s="41"/>
      <c r="W221" s="56"/>
      <c r="X221" s="56"/>
      <c r="Y221" s="56"/>
      <c r="Z221" s="56"/>
      <c r="AA221" s="56"/>
      <c r="AB221" s="56"/>
      <c r="AC221" s="56"/>
      <c r="AD221" s="41"/>
      <c r="AE221" s="41"/>
      <c r="AF221" s="41"/>
      <c r="AG221" s="41"/>
      <c r="AH221" s="41"/>
      <c r="AI221" s="41"/>
      <c r="AJ221" s="41"/>
      <c r="AK221" s="41"/>
      <c r="AL221" s="41"/>
      <c r="AM221" s="41"/>
      <c r="AN221" s="41"/>
      <c r="AO221" s="41"/>
    </row>
    <row r="222" spans="1:41" s="16" customFormat="1" x14ac:dyDescent="0.35">
      <c r="A222" s="17"/>
      <c r="B222" s="17"/>
      <c r="C222" s="17"/>
      <c r="D222" s="17"/>
      <c r="E222" s="17"/>
      <c r="F222" s="17"/>
      <c r="G222" s="17"/>
      <c r="H222" s="17"/>
      <c r="I222" s="17"/>
      <c r="J222" s="60"/>
      <c r="K222" s="60"/>
      <c r="L222" s="60"/>
      <c r="M222" s="60"/>
      <c r="N222" s="60"/>
      <c r="O222" s="60"/>
      <c r="P222" s="60"/>
      <c r="Q222" s="60"/>
      <c r="R222" s="60"/>
      <c r="S222" s="41"/>
      <c r="T222" s="41"/>
      <c r="U222" s="41"/>
      <c r="V222" s="41"/>
      <c r="W222" s="56"/>
      <c r="X222" s="56"/>
      <c r="Y222" s="56"/>
      <c r="Z222" s="56"/>
      <c r="AA222" s="56"/>
      <c r="AB222" s="56"/>
      <c r="AC222" s="56"/>
      <c r="AD222" s="41"/>
      <c r="AE222" s="41"/>
      <c r="AF222" s="41"/>
      <c r="AG222" s="41"/>
      <c r="AH222" s="41"/>
      <c r="AI222" s="41"/>
      <c r="AJ222" s="41"/>
      <c r="AK222" s="41"/>
      <c r="AL222" s="41"/>
      <c r="AM222" s="41"/>
      <c r="AN222" s="41"/>
      <c r="AO222" s="41"/>
    </row>
    <row r="223" spans="1:41" s="16" customFormat="1" x14ac:dyDescent="0.35">
      <c r="A223" s="17"/>
      <c r="B223" s="17"/>
      <c r="C223" s="17"/>
      <c r="D223" s="17"/>
      <c r="E223" s="17"/>
      <c r="F223" s="17"/>
      <c r="G223" s="17"/>
      <c r="H223" s="17"/>
      <c r="I223" s="17"/>
      <c r="J223" s="60"/>
      <c r="K223" s="60"/>
      <c r="L223" s="60"/>
      <c r="M223" s="60"/>
      <c r="N223" s="60"/>
      <c r="O223" s="60"/>
      <c r="P223" s="60"/>
      <c r="Q223" s="60"/>
      <c r="R223" s="60"/>
      <c r="S223" s="41"/>
      <c r="T223" s="41"/>
      <c r="U223" s="41"/>
      <c r="V223" s="41"/>
      <c r="W223" s="56"/>
      <c r="X223" s="56"/>
      <c r="Y223" s="56"/>
      <c r="Z223" s="56"/>
      <c r="AA223" s="56"/>
      <c r="AB223" s="56"/>
      <c r="AC223" s="56"/>
      <c r="AD223" s="41"/>
      <c r="AE223" s="41"/>
      <c r="AF223" s="41"/>
      <c r="AG223" s="41"/>
      <c r="AH223" s="41"/>
      <c r="AI223" s="41"/>
      <c r="AJ223" s="41"/>
      <c r="AK223" s="41"/>
      <c r="AL223" s="41"/>
      <c r="AM223" s="41"/>
      <c r="AN223" s="41"/>
      <c r="AO223" s="41"/>
    </row>
    <row r="224" spans="1:41" s="16" customFormat="1" x14ac:dyDescent="0.35">
      <c r="A224" s="17"/>
      <c r="B224" s="17"/>
      <c r="C224" s="17"/>
      <c r="D224" s="17"/>
      <c r="E224" s="17"/>
      <c r="F224" s="17"/>
      <c r="G224" s="17"/>
      <c r="H224" s="17"/>
      <c r="I224" s="17"/>
      <c r="J224" s="60"/>
      <c r="K224" s="60"/>
      <c r="L224" s="60"/>
      <c r="M224" s="60"/>
      <c r="N224" s="60"/>
      <c r="O224" s="60"/>
      <c r="P224" s="60"/>
      <c r="Q224" s="60"/>
      <c r="R224" s="60"/>
      <c r="S224" s="41"/>
      <c r="T224" s="41"/>
      <c r="U224" s="41"/>
      <c r="V224" s="41"/>
      <c r="W224" s="56"/>
      <c r="X224" s="56"/>
      <c r="Y224" s="56"/>
      <c r="Z224" s="56"/>
      <c r="AA224" s="56"/>
      <c r="AB224" s="56"/>
      <c r="AC224" s="56"/>
      <c r="AD224" s="41"/>
      <c r="AE224" s="41"/>
      <c r="AF224" s="41"/>
      <c r="AG224" s="41"/>
      <c r="AH224" s="41"/>
      <c r="AI224" s="41"/>
      <c r="AJ224" s="41"/>
      <c r="AK224" s="41"/>
      <c r="AL224" s="41"/>
      <c r="AM224" s="41"/>
      <c r="AN224" s="41"/>
      <c r="AO224" s="41"/>
    </row>
    <row r="225" spans="1:41" s="16" customFormat="1" x14ac:dyDescent="0.35">
      <c r="A225" s="17"/>
      <c r="B225" s="17"/>
      <c r="C225" s="17"/>
      <c r="D225" s="17"/>
      <c r="E225" s="17"/>
      <c r="F225" s="17"/>
      <c r="G225" s="17"/>
      <c r="H225" s="17"/>
      <c r="I225" s="17"/>
      <c r="J225" s="60"/>
      <c r="K225" s="60"/>
      <c r="L225" s="60"/>
      <c r="M225" s="60"/>
      <c r="N225" s="60"/>
      <c r="O225" s="60"/>
      <c r="P225" s="60"/>
      <c r="Q225" s="60"/>
      <c r="R225" s="60"/>
      <c r="S225" s="41"/>
      <c r="T225" s="41"/>
      <c r="U225" s="41"/>
      <c r="V225" s="41"/>
      <c r="W225" s="56"/>
      <c r="X225" s="56"/>
      <c r="Y225" s="56"/>
      <c r="Z225" s="56"/>
      <c r="AA225" s="56"/>
      <c r="AB225" s="56"/>
      <c r="AC225" s="56"/>
      <c r="AD225" s="41"/>
      <c r="AE225" s="41"/>
      <c r="AF225" s="41"/>
      <c r="AG225" s="41"/>
      <c r="AH225" s="41"/>
      <c r="AI225" s="41"/>
      <c r="AJ225" s="41"/>
      <c r="AK225" s="41"/>
      <c r="AL225" s="41"/>
      <c r="AM225" s="41"/>
      <c r="AN225" s="41"/>
      <c r="AO225" s="41"/>
    </row>
    <row r="226" spans="1:41" s="16" customFormat="1" x14ac:dyDescent="0.35">
      <c r="A226" s="17"/>
      <c r="B226" s="17"/>
      <c r="C226" s="17"/>
      <c r="D226" s="17"/>
      <c r="E226" s="17"/>
      <c r="F226" s="17"/>
      <c r="G226" s="17"/>
      <c r="H226" s="17"/>
      <c r="I226" s="17"/>
      <c r="J226" s="60"/>
      <c r="K226" s="60"/>
      <c r="L226" s="60"/>
      <c r="M226" s="60"/>
      <c r="N226" s="60"/>
      <c r="O226" s="60"/>
      <c r="P226" s="60"/>
      <c r="Q226" s="60"/>
      <c r="R226" s="60"/>
      <c r="S226" s="41"/>
      <c r="T226" s="41"/>
      <c r="U226" s="41"/>
      <c r="V226" s="41"/>
      <c r="W226" s="56"/>
      <c r="X226" s="56"/>
      <c r="Y226" s="56"/>
      <c r="Z226" s="56"/>
      <c r="AA226" s="56"/>
      <c r="AB226" s="56"/>
      <c r="AC226" s="56"/>
      <c r="AD226" s="41"/>
      <c r="AE226" s="41"/>
      <c r="AF226" s="41"/>
      <c r="AG226" s="41"/>
      <c r="AH226" s="41"/>
      <c r="AI226" s="41"/>
      <c r="AJ226" s="41"/>
      <c r="AK226" s="41"/>
      <c r="AL226" s="41"/>
      <c r="AM226" s="41"/>
      <c r="AN226" s="41"/>
      <c r="AO226" s="41"/>
    </row>
    <row r="227" spans="1:41" s="16" customFormat="1" x14ac:dyDescent="0.35">
      <c r="A227" s="17"/>
      <c r="B227" s="17"/>
      <c r="C227" s="17"/>
      <c r="D227" s="17"/>
      <c r="E227" s="17"/>
      <c r="F227" s="17"/>
      <c r="G227" s="17"/>
      <c r="H227" s="17"/>
      <c r="I227" s="17"/>
      <c r="J227" s="60"/>
      <c r="K227" s="60"/>
      <c r="L227" s="60"/>
      <c r="M227" s="60"/>
      <c r="N227" s="60"/>
      <c r="O227" s="60"/>
      <c r="P227" s="60"/>
      <c r="Q227" s="60"/>
      <c r="R227" s="60"/>
      <c r="S227" s="41"/>
      <c r="T227" s="41"/>
      <c r="U227" s="41"/>
      <c r="V227" s="41"/>
      <c r="W227" s="56"/>
      <c r="X227" s="56"/>
      <c r="Y227" s="56"/>
      <c r="Z227" s="56"/>
      <c r="AA227" s="56"/>
      <c r="AB227" s="56"/>
      <c r="AC227" s="56"/>
      <c r="AD227" s="41"/>
      <c r="AE227" s="41"/>
      <c r="AF227" s="41"/>
      <c r="AG227" s="41"/>
      <c r="AH227" s="41"/>
      <c r="AI227" s="41"/>
      <c r="AJ227" s="41"/>
      <c r="AK227" s="41"/>
      <c r="AL227" s="41"/>
      <c r="AM227" s="41"/>
      <c r="AN227" s="41"/>
      <c r="AO227" s="41"/>
    </row>
    <row r="228" spans="1:41" s="16" customFormat="1" x14ac:dyDescent="0.35">
      <c r="A228" s="17"/>
      <c r="B228" s="17"/>
      <c r="C228" s="17"/>
      <c r="D228" s="17"/>
      <c r="E228" s="17"/>
      <c r="F228" s="17"/>
      <c r="G228" s="17"/>
      <c r="H228" s="17"/>
      <c r="I228" s="17"/>
      <c r="J228" s="60"/>
      <c r="K228" s="60"/>
      <c r="L228" s="60"/>
      <c r="M228" s="60"/>
      <c r="N228" s="60"/>
      <c r="O228" s="60"/>
      <c r="P228" s="60"/>
      <c r="Q228" s="60"/>
      <c r="R228" s="60"/>
      <c r="S228" s="41"/>
      <c r="T228" s="41"/>
      <c r="U228" s="41"/>
      <c r="V228" s="41"/>
      <c r="W228" s="56"/>
      <c r="X228" s="56"/>
      <c r="Y228" s="56"/>
      <c r="Z228" s="56"/>
      <c r="AA228" s="56"/>
      <c r="AB228" s="56"/>
      <c r="AC228" s="56"/>
      <c r="AD228" s="41"/>
      <c r="AE228" s="41"/>
      <c r="AF228" s="41"/>
      <c r="AG228" s="41"/>
      <c r="AH228" s="41"/>
      <c r="AI228" s="41"/>
      <c r="AJ228" s="41"/>
      <c r="AK228" s="41"/>
      <c r="AL228" s="41"/>
      <c r="AM228" s="41"/>
      <c r="AN228" s="41"/>
      <c r="AO228" s="41"/>
    </row>
    <row r="229" spans="1:41" s="16" customFormat="1" x14ac:dyDescent="0.35">
      <c r="A229" s="17"/>
      <c r="B229" s="17"/>
      <c r="C229" s="17"/>
      <c r="D229" s="17"/>
      <c r="E229" s="17"/>
      <c r="F229" s="17"/>
      <c r="G229" s="17"/>
      <c r="H229" s="17"/>
      <c r="I229" s="17"/>
      <c r="J229" s="60"/>
      <c r="K229" s="60"/>
      <c r="L229" s="60"/>
      <c r="M229" s="60"/>
      <c r="N229" s="60"/>
      <c r="O229" s="60"/>
      <c r="P229" s="60"/>
      <c r="Q229" s="60"/>
      <c r="R229" s="60"/>
      <c r="S229" s="41"/>
      <c r="T229" s="41"/>
      <c r="U229" s="41"/>
      <c r="V229" s="41"/>
      <c r="W229" s="56"/>
      <c r="X229" s="56"/>
      <c r="Y229" s="56"/>
      <c r="Z229" s="56"/>
      <c r="AA229" s="56"/>
      <c r="AB229" s="56"/>
      <c r="AC229" s="56"/>
      <c r="AD229" s="41"/>
      <c r="AE229" s="41"/>
      <c r="AF229" s="41"/>
      <c r="AG229" s="41"/>
      <c r="AH229" s="41"/>
      <c r="AI229" s="41"/>
      <c r="AJ229" s="41"/>
      <c r="AK229" s="41"/>
      <c r="AL229" s="41"/>
      <c r="AM229" s="41"/>
      <c r="AN229" s="41"/>
      <c r="AO229" s="41"/>
    </row>
    <row r="230" spans="1:41" s="16" customFormat="1" x14ac:dyDescent="0.35">
      <c r="A230" s="17"/>
      <c r="B230" s="17"/>
      <c r="C230" s="17"/>
      <c r="D230" s="17"/>
      <c r="E230" s="17"/>
      <c r="F230" s="17"/>
      <c r="G230" s="17"/>
      <c r="H230" s="17"/>
      <c r="I230" s="17"/>
      <c r="J230" s="60"/>
      <c r="K230" s="60"/>
      <c r="L230" s="60"/>
      <c r="M230" s="60"/>
      <c r="N230" s="60"/>
      <c r="O230" s="60"/>
      <c r="P230" s="60"/>
      <c r="Q230" s="60"/>
      <c r="R230" s="60"/>
      <c r="S230" s="41"/>
      <c r="T230" s="41"/>
      <c r="U230" s="41"/>
      <c r="V230" s="41"/>
      <c r="W230" s="56"/>
      <c r="X230" s="56"/>
      <c r="Y230" s="56"/>
      <c r="Z230" s="56"/>
      <c r="AA230" s="56"/>
      <c r="AB230" s="56"/>
      <c r="AC230" s="56"/>
      <c r="AD230" s="41"/>
      <c r="AE230" s="41"/>
      <c r="AF230" s="41"/>
      <c r="AG230" s="41"/>
      <c r="AH230" s="41"/>
      <c r="AI230" s="41"/>
      <c r="AJ230" s="41"/>
      <c r="AK230" s="41"/>
      <c r="AL230" s="41"/>
      <c r="AM230" s="41"/>
      <c r="AN230" s="41"/>
      <c r="AO230" s="41"/>
    </row>
    <row r="231" spans="1:41" s="16" customFormat="1" x14ac:dyDescent="0.35">
      <c r="A231" s="17"/>
      <c r="B231" s="17"/>
      <c r="C231" s="17"/>
      <c r="D231" s="17"/>
      <c r="E231" s="17"/>
      <c r="F231" s="17"/>
      <c r="G231" s="17"/>
      <c r="H231" s="17"/>
      <c r="I231" s="17"/>
      <c r="J231" s="60"/>
      <c r="K231" s="60"/>
      <c r="L231" s="60"/>
      <c r="M231" s="60"/>
      <c r="N231" s="60"/>
      <c r="O231" s="60"/>
      <c r="P231" s="60"/>
      <c r="Q231" s="60"/>
      <c r="R231" s="60"/>
      <c r="S231" s="41"/>
      <c r="T231" s="41"/>
      <c r="U231" s="41"/>
      <c r="V231" s="41"/>
      <c r="W231" s="56"/>
      <c r="X231" s="56"/>
      <c r="Y231" s="56"/>
      <c r="Z231" s="56"/>
      <c r="AA231" s="56"/>
      <c r="AB231" s="56"/>
      <c r="AC231" s="56"/>
      <c r="AD231" s="41"/>
      <c r="AE231" s="41"/>
      <c r="AF231" s="41"/>
      <c r="AG231" s="41"/>
      <c r="AH231" s="41"/>
      <c r="AI231" s="41"/>
      <c r="AJ231" s="41"/>
      <c r="AK231" s="41"/>
      <c r="AL231" s="41"/>
      <c r="AM231" s="41"/>
      <c r="AN231" s="41"/>
      <c r="AO231" s="41"/>
    </row>
    <row r="232" spans="1:41" s="16" customFormat="1" x14ac:dyDescent="0.35">
      <c r="A232" s="17"/>
      <c r="B232" s="17"/>
      <c r="C232" s="17"/>
      <c r="D232" s="17"/>
      <c r="E232" s="17"/>
      <c r="F232" s="17"/>
      <c r="G232" s="17"/>
      <c r="H232" s="17"/>
      <c r="I232" s="17"/>
      <c r="J232" s="60"/>
      <c r="K232" s="60"/>
      <c r="L232" s="60"/>
      <c r="M232" s="60"/>
      <c r="N232" s="60"/>
      <c r="O232" s="60"/>
      <c r="P232" s="60"/>
      <c r="Q232" s="60"/>
      <c r="R232" s="60"/>
      <c r="S232" s="41"/>
      <c r="T232" s="41"/>
      <c r="U232" s="41"/>
      <c r="V232" s="41"/>
      <c r="W232" s="56"/>
      <c r="X232" s="56"/>
      <c r="Y232" s="56"/>
      <c r="Z232" s="56"/>
      <c r="AA232" s="56"/>
      <c r="AB232" s="56"/>
      <c r="AC232" s="56"/>
      <c r="AD232" s="41"/>
      <c r="AE232" s="41"/>
      <c r="AF232" s="41"/>
      <c r="AG232" s="41"/>
      <c r="AH232" s="41"/>
      <c r="AI232" s="41"/>
      <c r="AJ232" s="41"/>
      <c r="AK232" s="41"/>
      <c r="AL232" s="41"/>
      <c r="AM232" s="41"/>
      <c r="AN232" s="41"/>
      <c r="AO232" s="41"/>
    </row>
    <row r="233" spans="1:41" s="16" customFormat="1" x14ac:dyDescent="0.35">
      <c r="A233" s="17"/>
      <c r="B233" s="17"/>
      <c r="C233" s="17"/>
      <c r="D233" s="17"/>
      <c r="E233" s="17"/>
      <c r="F233" s="17"/>
      <c r="G233" s="17"/>
      <c r="H233" s="17"/>
      <c r="I233" s="17"/>
      <c r="J233" s="60"/>
      <c r="K233" s="60"/>
      <c r="L233" s="60"/>
      <c r="M233" s="60"/>
      <c r="N233" s="60"/>
      <c r="O233" s="60"/>
      <c r="P233" s="60"/>
      <c r="Q233" s="60"/>
      <c r="R233" s="60"/>
      <c r="S233" s="41"/>
      <c r="T233" s="41"/>
      <c r="U233" s="41"/>
      <c r="V233" s="41"/>
      <c r="W233" s="56"/>
      <c r="X233" s="56"/>
      <c r="Y233" s="56"/>
      <c r="Z233" s="56"/>
      <c r="AA233" s="56"/>
      <c r="AB233" s="56"/>
      <c r="AC233" s="56"/>
      <c r="AD233" s="41"/>
      <c r="AE233" s="41"/>
      <c r="AF233" s="41"/>
      <c r="AG233" s="41"/>
      <c r="AH233" s="41"/>
      <c r="AI233" s="41"/>
      <c r="AJ233" s="41"/>
      <c r="AK233" s="41"/>
      <c r="AL233" s="41"/>
      <c r="AM233" s="41"/>
      <c r="AN233" s="41"/>
      <c r="AO233" s="41"/>
    </row>
    <row r="234" spans="1:41" s="16" customFormat="1" x14ac:dyDescent="0.35">
      <c r="A234" s="17"/>
      <c r="B234" s="17"/>
      <c r="C234" s="17"/>
      <c r="D234" s="17"/>
      <c r="E234" s="17"/>
      <c r="F234" s="17"/>
      <c r="G234" s="17"/>
      <c r="H234" s="17"/>
      <c r="I234" s="17"/>
      <c r="J234" s="60"/>
      <c r="K234" s="60"/>
      <c r="L234" s="60"/>
      <c r="M234" s="60"/>
      <c r="N234" s="60"/>
      <c r="O234" s="60"/>
      <c r="P234" s="60"/>
      <c r="Q234" s="60"/>
      <c r="R234" s="60"/>
      <c r="S234" s="41"/>
      <c r="T234" s="41"/>
      <c r="U234" s="41"/>
      <c r="V234" s="41"/>
      <c r="W234" s="56"/>
      <c r="X234" s="56"/>
      <c r="Y234" s="56"/>
      <c r="Z234" s="56"/>
      <c r="AA234" s="56"/>
      <c r="AB234" s="56"/>
      <c r="AC234" s="56"/>
      <c r="AD234" s="41"/>
      <c r="AE234" s="41"/>
      <c r="AF234" s="41"/>
      <c r="AG234" s="41"/>
      <c r="AH234" s="41"/>
      <c r="AI234" s="41"/>
      <c r="AJ234" s="41"/>
      <c r="AK234" s="41"/>
      <c r="AL234" s="41"/>
      <c r="AM234" s="41"/>
      <c r="AN234" s="41"/>
      <c r="AO234" s="41"/>
    </row>
    <row r="235" spans="1:41" s="16" customFormat="1" x14ac:dyDescent="0.35">
      <c r="A235" s="17"/>
      <c r="B235" s="17"/>
      <c r="C235" s="17"/>
      <c r="D235" s="17"/>
      <c r="E235" s="17"/>
      <c r="F235" s="17"/>
      <c r="G235" s="17"/>
      <c r="H235" s="17"/>
      <c r="I235" s="17"/>
      <c r="J235" s="60"/>
      <c r="K235" s="60"/>
      <c r="L235" s="60"/>
      <c r="M235" s="60"/>
      <c r="N235" s="60"/>
      <c r="O235" s="60"/>
      <c r="P235" s="60"/>
      <c r="Q235" s="60"/>
      <c r="R235" s="60"/>
      <c r="S235" s="41"/>
      <c r="T235" s="41"/>
      <c r="U235" s="41"/>
      <c r="V235" s="41"/>
      <c r="W235" s="56"/>
      <c r="X235" s="56"/>
      <c r="Y235" s="56"/>
      <c r="Z235" s="56"/>
      <c r="AA235" s="56"/>
      <c r="AB235" s="56"/>
      <c r="AC235" s="56"/>
      <c r="AD235" s="41"/>
      <c r="AE235" s="41"/>
      <c r="AF235" s="41"/>
      <c r="AG235" s="41"/>
      <c r="AH235" s="41"/>
      <c r="AI235" s="41"/>
      <c r="AJ235" s="41"/>
      <c r="AK235" s="41"/>
      <c r="AL235" s="41"/>
      <c r="AM235" s="41"/>
      <c r="AN235" s="41"/>
      <c r="AO235" s="41"/>
    </row>
    <row r="236" spans="1:41" s="16" customFormat="1" x14ac:dyDescent="0.35">
      <c r="A236" s="17"/>
      <c r="B236" s="17"/>
      <c r="C236" s="17"/>
      <c r="D236" s="17"/>
      <c r="E236" s="17"/>
      <c r="F236" s="17"/>
      <c r="G236" s="17"/>
      <c r="H236" s="17"/>
      <c r="I236" s="17"/>
      <c r="J236" s="60"/>
      <c r="K236" s="60"/>
      <c r="L236" s="60"/>
      <c r="M236" s="60"/>
      <c r="N236" s="60"/>
      <c r="O236" s="60"/>
      <c r="P236" s="60"/>
      <c r="Q236" s="60"/>
      <c r="R236" s="60"/>
      <c r="S236" s="41"/>
      <c r="T236" s="41"/>
      <c r="U236" s="41"/>
      <c r="V236" s="41"/>
      <c r="W236" s="56"/>
      <c r="X236" s="56"/>
      <c r="Y236" s="56"/>
      <c r="Z236" s="56"/>
      <c r="AA236" s="56"/>
      <c r="AB236" s="56"/>
      <c r="AC236" s="56"/>
      <c r="AD236" s="41"/>
      <c r="AE236" s="41"/>
      <c r="AF236" s="41"/>
      <c r="AG236" s="41"/>
      <c r="AH236" s="41"/>
      <c r="AI236" s="41"/>
      <c r="AJ236" s="41"/>
      <c r="AK236" s="41"/>
      <c r="AL236" s="41"/>
      <c r="AM236" s="41"/>
      <c r="AN236" s="41"/>
      <c r="AO236" s="41"/>
    </row>
    <row r="237" spans="1:41" s="16" customFormat="1" x14ac:dyDescent="0.35">
      <c r="A237" s="17"/>
      <c r="B237" s="17"/>
      <c r="C237" s="17"/>
      <c r="D237" s="17"/>
      <c r="E237" s="17"/>
      <c r="F237" s="17"/>
      <c r="G237" s="17"/>
      <c r="H237" s="17"/>
      <c r="I237" s="17"/>
      <c r="J237" s="60"/>
      <c r="K237" s="60"/>
      <c r="L237" s="60"/>
      <c r="M237" s="60"/>
      <c r="N237" s="60"/>
      <c r="O237" s="60"/>
      <c r="P237" s="60"/>
      <c r="Q237" s="60"/>
      <c r="R237" s="60"/>
      <c r="S237" s="41"/>
      <c r="T237" s="41"/>
      <c r="U237" s="41"/>
      <c r="V237" s="41"/>
      <c r="W237" s="56"/>
      <c r="X237" s="56"/>
      <c r="Y237" s="56"/>
      <c r="Z237" s="56"/>
      <c r="AA237" s="56"/>
      <c r="AB237" s="56"/>
      <c r="AC237" s="56"/>
      <c r="AD237" s="41"/>
      <c r="AE237" s="41"/>
      <c r="AF237" s="41"/>
      <c r="AG237" s="41"/>
      <c r="AH237" s="41"/>
      <c r="AI237" s="41"/>
      <c r="AJ237" s="41"/>
      <c r="AK237" s="41"/>
      <c r="AL237" s="41"/>
      <c r="AM237" s="41"/>
      <c r="AN237" s="41"/>
      <c r="AO237" s="41"/>
    </row>
    <row r="238" spans="1:41" s="16" customFormat="1" x14ac:dyDescent="0.35">
      <c r="A238" s="17"/>
      <c r="B238" s="17"/>
      <c r="C238" s="17"/>
      <c r="D238" s="17"/>
      <c r="E238" s="17"/>
      <c r="F238" s="17"/>
      <c r="G238" s="17"/>
      <c r="H238" s="17"/>
      <c r="I238" s="17"/>
      <c r="J238" s="60"/>
      <c r="K238" s="60"/>
      <c r="L238" s="60"/>
      <c r="M238" s="60"/>
      <c r="N238" s="60"/>
      <c r="O238" s="60"/>
      <c r="P238" s="60"/>
      <c r="Q238" s="60"/>
      <c r="R238" s="60"/>
      <c r="S238" s="41"/>
      <c r="T238" s="41"/>
      <c r="U238" s="41"/>
      <c r="V238" s="41"/>
      <c r="W238" s="56"/>
      <c r="X238" s="56"/>
      <c r="Y238" s="56"/>
      <c r="Z238" s="56"/>
      <c r="AA238" s="56"/>
      <c r="AB238" s="56"/>
      <c r="AC238" s="56"/>
      <c r="AD238" s="41"/>
      <c r="AE238" s="41"/>
      <c r="AF238" s="41"/>
      <c r="AG238" s="41"/>
      <c r="AH238" s="41"/>
      <c r="AI238" s="41"/>
      <c r="AJ238" s="41"/>
      <c r="AK238" s="41"/>
      <c r="AL238" s="41"/>
      <c r="AM238" s="41"/>
      <c r="AN238" s="41"/>
      <c r="AO238" s="41"/>
    </row>
    <row r="239" spans="1:41" s="16" customFormat="1" x14ac:dyDescent="0.35">
      <c r="A239" s="17"/>
      <c r="B239" s="17"/>
      <c r="C239" s="17"/>
      <c r="D239" s="17"/>
      <c r="E239" s="17"/>
      <c r="F239" s="17"/>
      <c r="G239" s="17"/>
      <c r="H239" s="17"/>
      <c r="I239" s="17"/>
      <c r="J239" s="60"/>
      <c r="K239" s="60"/>
      <c r="L239" s="60"/>
      <c r="M239" s="60"/>
      <c r="N239" s="60"/>
      <c r="O239" s="60"/>
      <c r="P239" s="60"/>
      <c r="Q239" s="60"/>
      <c r="R239" s="60"/>
      <c r="S239" s="41"/>
      <c r="T239" s="41"/>
      <c r="U239" s="41"/>
      <c r="V239" s="41"/>
      <c r="W239" s="56"/>
      <c r="X239" s="56"/>
      <c r="Y239" s="56"/>
      <c r="Z239" s="56"/>
      <c r="AA239" s="56"/>
      <c r="AB239" s="56"/>
      <c r="AC239" s="56"/>
      <c r="AD239" s="41"/>
      <c r="AE239" s="41"/>
      <c r="AF239" s="41"/>
      <c r="AG239" s="41"/>
      <c r="AH239" s="41"/>
      <c r="AI239" s="41"/>
      <c r="AJ239" s="41"/>
      <c r="AK239" s="41"/>
      <c r="AL239" s="41"/>
      <c r="AM239" s="41"/>
      <c r="AN239" s="41"/>
      <c r="AO239" s="41"/>
    </row>
    <row r="240" spans="1:41" s="16" customFormat="1" x14ac:dyDescent="0.35">
      <c r="A240" s="17"/>
      <c r="B240" s="17"/>
      <c r="C240" s="17"/>
      <c r="D240" s="17"/>
      <c r="E240" s="17"/>
      <c r="F240" s="17"/>
      <c r="G240" s="17"/>
      <c r="H240" s="17"/>
      <c r="I240" s="17"/>
      <c r="J240" s="60"/>
      <c r="K240" s="60"/>
      <c r="L240" s="60"/>
      <c r="M240" s="60"/>
      <c r="N240" s="60"/>
      <c r="O240" s="60"/>
      <c r="P240" s="60"/>
      <c r="Q240" s="60"/>
      <c r="R240" s="60"/>
      <c r="S240" s="41"/>
      <c r="T240" s="41"/>
      <c r="U240" s="41"/>
      <c r="V240" s="41"/>
      <c r="W240" s="56"/>
      <c r="X240" s="56"/>
      <c r="Y240" s="56"/>
      <c r="Z240" s="56"/>
      <c r="AA240" s="56"/>
      <c r="AB240" s="56"/>
      <c r="AC240" s="56"/>
      <c r="AD240" s="41"/>
      <c r="AE240" s="41"/>
      <c r="AF240" s="41"/>
      <c r="AG240" s="41"/>
      <c r="AH240" s="41"/>
      <c r="AI240" s="41"/>
      <c r="AJ240" s="41"/>
      <c r="AK240" s="41"/>
      <c r="AL240" s="41"/>
      <c r="AM240" s="41"/>
      <c r="AN240" s="41"/>
      <c r="AO240" s="41"/>
    </row>
    <row r="241" spans="1:41" s="16" customFormat="1" x14ac:dyDescent="0.35">
      <c r="A241" s="17"/>
      <c r="B241" s="17"/>
      <c r="C241" s="17"/>
      <c r="D241" s="17"/>
      <c r="E241" s="17"/>
      <c r="F241" s="17"/>
      <c r="G241" s="17"/>
      <c r="H241" s="17"/>
      <c r="I241" s="17"/>
      <c r="J241" s="60"/>
      <c r="K241" s="60"/>
      <c r="L241" s="60"/>
      <c r="M241" s="60"/>
      <c r="N241" s="60"/>
      <c r="O241" s="60"/>
      <c r="P241" s="60"/>
      <c r="Q241" s="60"/>
      <c r="R241" s="60"/>
      <c r="S241" s="41"/>
      <c r="T241" s="41"/>
      <c r="U241" s="41"/>
      <c r="V241" s="41"/>
      <c r="W241" s="56"/>
      <c r="X241" s="56"/>
      <c r="Y241" s="56"/>
      <c r="Z241" s="56"/>
      <c r="AA241" s="56"/>
      <c r="AB241" s="56"/>
      <c r="AC241" s="56"/>
      <c r="AD241" s="41"/>
      <c r="AE241" s="41"/>
      <c r="AF241" s="41"/>
      <c r="AG241" s="41"/>
      <c r="AH241" s="41"/>
      <c r="AI241" s="41"/>
      <c r="AJ241" s="41"/>
      <c r="AK241" s="41"/>
      <c r="AL241" s="41"/>
      <c r="AM241" s="41"/>
      <c r="AN241" s="41"/>
      <c r="AO241" s="41"/>
    </row>
    <row r="242" spans="1:41" s="16" customFormat="1" x14ac:dyDescent="0.35">
      <c r="A242" s="17"/>
      <c r="B242" s="17"/>
      <c r="C242" s="17"/>
      <c r="D242" s="17"/>
      <c r="E242" s="17"/>
      <c r="F242" s="17"/>
      <c r="G242" s="17"/>
      <c r="H242" s="17"/>
      <c r="I242" s="17"/>
      <c r="J242" s="60"/>
      <c r="K242" s="60"/>
      <c r="L242" s="60"/>
      <c r="M242" s="60"/>
      <c r="N242" s="60"/>
      <c r="O242" s="60"/>
      <c r="P242" s="60"/>
      <c r="Q242" s="60"/>
      <c r="R242" s="60"/>
      <c r="S242" s="41"/>
      <c r="T242" s="41"/>
      <c r="U242" s="41"/>
      <c r="V242" s="41"/>
      <c r="W242" s="56"/>
      <c r="X242" s="56"/>
      <c r="Y242" s="56"/>
      <c r="Z242" s="56"/>
      <c r="AA242" s="56"/>
      <c r="AB242" s="56"/>
      <c r="AC242" s="56"/>
      <c r="AD242" s="41"/>
      <c r="AE242" s="41"/>
      <c r="AF242" s="41"/>
      <c r="AG242" s="41"/>
      <c r="AH242" s="41"/>
      <c r="AI242" s="41"/>
      <c r="AJ242" s="41"/>
      <c r="AK242" s="41"/>
      <c r="AL242" s="41"/>
      <c r="AM242" s="41"/>
      <c r="AN242" s="41"/>
      <c r="AO242" s="41"/>
    </row>
    <row r="243" spans="1:41" s="16" customFormat="1" x14ac:dyDescent="0.35">
      <c r="A243" s="17"/>
      <c r="B243" s="17"/>
      <c r="C243" s="17"/>
      <c r="D243" s="17"/>
      <c r="E243" s="17"/>
      <c r="F243" s="17"/>
      <c r="G243" s="17"/>
      <c r="H243" s="17"/>
      <c r="I243" s="17"/>
      <c r="J243" s="60"/>
      <c r="K243" s="60"/>
      <c r="L243" s="60"/>
      <c r="M243" s="60"/>
      <c r="N243" s="60"/>
      <c r="O243" s="60"/>
      <c r="P243" s="60"/>
      <c r="Q243" s="60"/>
      <c r="R243" s="60"/>
      <c r="S243" s="41"/>
      <c r="T243" s="41"/>
      <c r="U243" s="41"/>
      <c r="V243" s="41"/>
      <c r="W243" s="56"/>
      <c r="X243" s="56"/>
      <c r="Y243" s="56"/>
      <c r="Z243" s="56"/>
      <c r="AA243" s="56"/>
      <c r="AB243" s="56"/>
      <c r="AC243" s="56"/>
      <c r="AD243" s="41"/>
      <c r="AE243" s="41"/>
      <c r="AF243" s="41"/>
      <c r="AG243" s="41"/>
      <c r="AH243" s="41"/>
      <c r="AI243" s="41"/>
      <c r="AJ243" s="41"/>
      <c r="AK243" s="41"/>
      <c r="AL243" s="41"/>
      <c r="AM243" s="41"/>
      <c r="AN243" s="41"/>
      <c r="AO243" s="41"/>
    </row>
    <row r="244" spans="1:41" s="16" customFormat="1" x14ac:dyDescent="0.35">
      <c r="A244" s="17"/>
      <c r="B244" s="17"/>
      <c r="C244" s="17"/>
      <c r="D244" s="17"/>
      <c r="E244" s="17"/>
      <c r="F244" s="17"/>
      <c r="G244" s="17"/>
      <c r="H244" s="17"/>
      <c r="I244" s="17"/>
      <c r="J244" s="60"/>
      <c r="K244" s="60"/>
      <c r="L244" s="60"/>
      <c r="M244" s="60"/>
      <c r="N244" s="60"/>
      <c r="O244" s="60"/>
      <c r="P244" s="60"/>
      <c r="Q244" s="60"/>
      <c r="R244" s="60"/>
      <c r="S244" s="41"/>
      <c r="T244" s="41"/>
      <c r="U244" s="41"/>
      <c r="V244" s="41"/>
      <c r="W244" s="56"/>
      <c r="X244" s="56"/>
      <c r="Y244" s="56"/>
      <c r="Z244" s="56"/>
      <c r="AA244" s="56"/>
      <c r="AB244" s="56"/>
      <c r="AC244" s="56"/>
      <c r="AD244" s="41"/>
      <c r="AE244" s="41"/>
      <c r="AF244" s="41"/>
      <c r="AG244" s="41"/>
      <c r="AH244" s="41"/>
      <c r="AI244" s="41"/>
      <c r="AJ244" s="41"/>
      <c r="AK244" s="41"/>
      <c r="AL244" s="41"/>
      <c r="AM244" s="41"/>
      <c r="AN244" s="41"/>
      <c r="AO244" s="41"/>
    </row>
    <row r="245" spans="1:41" s="16" customFormat="1" x14ac:dyDescent="0.35">
      <c r="A245" s="17"/>
      <c r="B245" s="17"/>
      <c r="C245" s="17"/>
      <c r="D245" s="17"/>
      <c r="E245" s="17"/>
      <c r="F245" s="17"/>
      <c r="G245" s="17"/>
      <c r="H245" s="17"/>
      <c r="I245" s="17"/>
      <c r="J245" s="60"/>
      <c r="K245" s="60"/>
      <c r="L245" s="60"/>
      <c r="M245" s="60"/>
      <c r="N245" s="60"/>
      <c r="O245" s="60"/>
      <c r="P245" s="60"/>
      <c r="Q245" s="60"/>
      <c r="R245" s="60"/>
      <c r="S245" s="41"/>
      <c r="T245" s="41"/>
      <c r="U245" s="41"/>
      <c r="V245" s="41"/>
      <c r="W245" s="56"/>
      <c r="X245" s="56"/>
      <c r="Y245" s="56"/>
      <c r="Z245" s="56"/>
      <c r="AA245" s="56"/>
      <c r="AB245" s="56"/>
      <c r="AC245" s="56"/>
      <c r="AD245" s="41"/>
      <c r="AE245" s="41"/>
      <c r="AF245" s="41"/>
      <c r="AG245" s="41"/>
      <c r="AH245" s="41"/>
      <c r="AI245" s="41"/>
      <c r="AJ245" s="41"/>
      <c r="AK245" s="41"/>
      <c r="AL245" s="41"/>
      <c r="AM245" s="41"/>
      <c r="AN245" s="41"/>
      <c r="AO245" s="41"/>
    </row>
    <row r="246" spans="1:41" s="16" customFormat="1" x14ac:dyDescent="0.35">
      <c r="A246" s="17"/>
      <c r="B246" s="17"/>
      <c r="C246" s="17"/>
      <c r="D246" s="17"/>
      <c r="E246" s="17"/>
      <c r="F246" s="17"/>
      <c r="G246" s="17"/>
      <c r="H246" s="17"/>
      <c r="I246" s="17"/>
      <c r="J246" s="60"/>
      <c r="K246" s="60"/>
      <c r="L246" s="60"/>
      <c r="M246" s="60"/>
      <c r="N246" s="60"/>
      <c r="O246" s="60"/>
      <c r="P246" s="60"/>
      <c r="Q246" s="60"/>
      <c r="R246" s="60"/>
      <c r="S246" s="41"/>
      <c r="T246" s="41"/>
      <c r="U246" s="41"/>
      <c r="V246" s="41"/>
      <c r="W246" s="56"/>
      <c r="X246" s="56"/>
      <c r="Y246" s="56"/>
      <c r="Z246" s="56"/>
      <c r="AA246" s="56"/>
      <c r="AB246" s="56"/>
      <c r="AC246" s="56"/>
      <c r="AD246" s="41"/>
      <c r="AE246" s="41"/>
      <c r="AF246" s="41"/>
      <c r="AG246" s="41"/>
      <c r="AH246" s="41"/>
      <c r="AI246" s="41"/>
      <c r="AJ246" s="41"/>
      <c r="AK246" s="41"/>
      <c r="AL246" s="41"/>
      <c r="AM246" s="41"/>
      <c r="AN246" s="41"/>
      <c r="AO246" s="41"/>
    </row>
    <row r="247" spans="1:41" s="16" customFormat="1" x14ac:dyDescent="0.35">
      <c r="A247" s="17"/>
      <c r="B247" s="17"/>
      <c r="C247" s="17"/>
      <c r="D247" s="17"/>
      <c r="E247" s="17"/>
      <c r="F247" s="17"/>
      <c r="G247" s="17"/>
      <c r="H247" s="17"/>
      <c r="I247" s="17"/>
      <c r="J247" s="60"/>
      <c r="K247" s="60"/>
      <c r="L247" s="60"/>
      <c r="M247" s="60"/>
      <c r="N247" s="60"/>
      <c r="O247" s="60"/>
      <c r="P247" s="60"/>
      <c r="Q247" s="60"/>
      <c r="R247" s="60"/>
      <c r="S247" s="41"/>
      <c r="T247" s="41"/>
      <c r="U247" s="41"/>
      <c r="V247" s="41"/>
      <c r="W247" s="56"/>
      <c r="X247" s="56"/>
      <c r="Y247" s="56"/>
      <c r="Z247" s="56"/>
      <c r="AA247" s="56"/>
      <c r="AB247" s="56"/>
      <c r="AC247" s="56"/>
      <c r="AD247" s="41"/>
      <c r="AE247" s="41"/>
      <c r="AF247" s="41"/>
      <c r="AG247" s="41"/>
      <c r="AH247" s="41"/>
      <c r="AI247" s="41"/>
      <c r="AJ247" s="41"/>
      <c r="AK247" s="41"/>
      <c r="AL247" s="41"/>
      <c r="AM247" s="41"/>
      <c r="AN247" s="41"/>
      <c r="AO247" s="41"/>
    </row>
    <row r="248" spans="1:41" s="16" customFormat="1" x14ac:dyDescent="0.35">
      <c r="A248" s="17"/>
      <c r="B248" s="17"/>
      <c r="C248" s="17"/>
      <c r="D248" s="17"/>
      <c r="E248" s="17"/>
      <c r="F248" s="17"/>
      <c r="G248" s="17"/>
      <c r="H248" s="17"/>
      <c r="I248" s="17"/>
      <c r="J248" s="60"/>
      <c r="K248" s="60"/>
      <c r="L248" s="60"/>
      <c r="M248" s="60"/>
      <c r="N248" s="60"/>
      <c r="O248" s="60"/>
      <c r="P248" s="60"/>
      <c r="Q248" s="60"/>
      <c r="R248" s="60"/>
      <c r="S248" s="41"/>
      <c r="T248" s="41"/>
      <c r="U248" s="41"/>
      <c r="V248" s="41"/>
      <c r="W248" s="56"/>
      <c r="X248" s="56"/>
      <c r="Y248" s="56"/>
      <c r="Z248" s="56"/>
      <c r="AA248" s="56"/>
      <c r="AB248" s="56"/>
      <c r="AC248" s="56"/>
      <c r="AD248" s="41"/>
      <c r="AE248" s="41"/>
      <c r="AF248" s="41"/>
      <c r="AG248" s="41"/>
      <c r="AH248" s="41"/>
      <c r="AI248" s="41"/>
      <c r="AJ248" s="41"/>
      <c r="AK248" s="41"/>
      <c r="AL248" s="41"/>
      <c r="AM248" s="41"/>
      <c r="AN248" s="41"/>
      <c r="AO248" s="41"/>
    </row>
    <row r="249" spans="1:41" s="16" customFormat="1" x14ac:dyDescent="0.35">
      <c r="A249" s="17"/>
      <c r="B249" s="17"/>
      <c r="C249" s="17"/>
      <c r="D249" s="17"/>
      <c r="E249" s="17"/>
      <c r="F249" s="17"/>
      <c r="G249" s="17"/>
      <c r="H249" s="17"/>
      <c r="I249" s="17"/>
      <c r="J249" s="60"/>
      <c r="K249" s="60"/>
      <c r="L249" s="60"/>
      <c r="M249" s="60"/>
      <c r="N249" s="60"/>
      <c r="O249" s="60"/>
      <c r="P249" s="60"/>
      <c r="Q249" s="60"/>
      <c r="R249" s="60"/>
      <c r="S249" s="41"/>
      <c r="T249" s="41"/>
      <c r="U249" s="41"/>
      <c r="V249" s="41"/>
      <c r="W249" s="56"/>
      <c r="X249" s="56"/>
      <c r="Y249" s="56"/>
      <c r="Z249" s="56"/>
      <c r="AA249" s="56"/>
      <c r="AB249" s="56"/>
      <c r="AC249" s="56"/>
      <c r="AD249" s="41"/>
      <c r="AE249" s="41"/>
      <c r="AF249" s="41"/>
      <c r="AG249" s="41"/>
      <c r="AH249" s="41"/>
      <c r="AI249" s="41"/>
      <c r="AJ249" s="41"/>
      <c r="AK249" s="41"/>
      <c r="AL249" s="41"/>
      <c r="AM249" s="41"/>
      <c r="AN249" s="41"/>
      <c r="AO249" s="41"/>
    </row>
    <row r="250" spans="1:41" s="16" customFormat="1" x14ac:dyDescent="0.35">
      <c r="A250" s="17"/>
      <c r="B250" s="17"/>
      <c r="C250" s="17"/>
      <c r="D250" s="17"/>
      <c r="E250" s="17"/>
      <c r="F250" s="17"/>
      <c r="G250" s="17"/>
      <c r="H250" s="17"/>
      <c r="I250" s="17"/>
      <c r="J250" s="60"/>
      <c r="K250" s="60"/>
      <c r="L250" s="60"/>
      <c r="M250" s="60"/>
      <c r="N250" s="60"/>
      <c r="O250" s="60"/>
      <c r="P250" s="60"/>
      <c r="Q250" s="60"/>
      <c r="R250" s="60"/>
      <c r="S250" s="41"/>
      <c r="T250" s="41"/>
      <c r="U250" s="41"/>
      <c r="V250" s="41"/>
      <c r="W250" s="56"/>
      <c r="X250" s="56"/>
      <c r="Y250" s="56"/>
      <c r="Z250" s="56"/>
      <c r="AA250" s="56"/>
      <c r="AB250" s="56"/>
      <c r="AC250" s="56"/>
      <c r="AD250" s="41"/>
      <c r="AE250" s="41"/>
      <c r="AF250" s="41"/>
      <c r="AG250" s="41"/>
      <c r="AH250" s="41"/>
      <c r="AI250" s="41"/>
      <c r="AJ250" s="41"/>
      <c r="AK250" s="41"/>
      <c r="AL250" s="41"/>
      <c r="AM250" s="41"/>
      <c r="AN250" s="41"/>
      <c r="AO250" s="41"/>
    </row>
    <row r="251" spans="1:41" s="16" customFormat="1" x14ac:dyDescent="0.35">
      <c r="A251" s="17"/>
      <c r="B251" s="17"/>
      <c r="C251" s="17"/>
      <c r="D251" s="17"/>
      <c r="E251" s="17"/>
      <c r="F251" s="17"/>
      <c r="G251" s="17"/>
      <c r="H251" s="17"/>
      <c r="I251" s="17"/>
      <c r="J251" s="60"/>
      <c r="K251" s="60"/>
      <c r="L251" s="60"/>
      <c r="M251" s="60"/>
      <c r="N251" s="60"/>
      <c r="O251" s="60"/>
      <c r="P251" s="60"/>
      <c r="Q251" s="60"/>
      <c r="R251" s="60"/>
      <c r="S251" s="41"/>
      <c r="T251" s="41"/>
      <c r="U251" s="41"/>
      <c r="V251" s="41"/>
      <c r="W251" s="56"/>
      <c r="X251" s="56"/>
      <c r="Y251" s="56"/>
      <c r="Z251" s="56"/>
      <c r="AA251" s="56"/>
      <c r="AB251" s="56"/>
      <c r="AC251" s="56"/>
      <c r="AD251" s="41"/>
      <c r="AE251" s="41"/>
      <c r="AF251" s="41"/>
      <c r="AG251" s="41"/>
      <c r="AH251" s="41"/>
      <c r="AI251" s="41"/>
      <c r="AJ251" s="41"/>
      <c r="AK251" s="41"/>
      <c r="AL251" s="41"/>
      <c r="AM251" s="41"/>
      <c r="AN251" s="41"/>
      <c r="AO251" s="41"/>
    </row>
    <row r="252" spans="1:41" s="16" customFormat="1" x14ac:dyDescent="0.35">
      <c r="A252" s="17"/>
      <c r="B252" s="17"/>
      <c r="C252" s="17"/>
      <c r="D252" s="17"/>
      <c r="E252" s="17"/>
      <c r="F252" s="17"/>
      <c r="G252" s="17"/>
      <c r="H252" s="17"/>
      <c r="I252" s="17"/>
      <c r="J252" s="60"/>
      <c r="K252" s="60"/>
      <c r="L252" s="60"/>
      <c r="M252" s="60"/>
      <c r="N252" s="60"/>
      <c r="O252" s="60"/>
      <c r="P252" s="60"/>
      <c r="Q252" s="60"/>
      <c r="R252" s="60"/>
      <c r="S252" s="41"/>
      <c r="T252" s="41"/>
      <c r="U252" s="41"/>
      <c r="V252" s="41"/>
      <c r="W252" s="56"/>
      <c r="X252" s="56"/>
      <c r="Y252" s="56"/>
      <c r="Z252" s="56"/>
      <c r="AA252" s="56"/>
      <c r="AB252" s="56"/>
      <c r="AC252" s="56"/>
      <c r="AD252" s="41"/>
      <c r="AE252" s="41"/>
      <c r="AF252" s="41"/>
      <c r="AG252" s="41"/>
      <c r="AH252" s="41"/>
      <c r="AI252" s="41"/>
      <c r="AJ252" s="41"/>
      <c r="AK252" s="41"/>
      <c r="AL252" s="41"/>
      <c r="AM252" s="41"/>
      <c r="AN252" s="41"/>
      <c r="AO252" s="41"/>
    </row>
    <row r="253" spans="1:41" s="16" customFormat="1" x14ac:dyDescent="0.35">
      <c r="A253" s="17"/>
      <c r="B253" s="17"/>
      <c r="C253" s="17"/>
      <c r="D253" s="17"/>
      <c r="E253" s="17"/>
      <c r="F253" s="17"/>
      <c r="G253" s="17"/>
      <c r="H253" s="17"/>
      <c r="I253" s="17"/>
      <c r="J253" s="60"/>
      <c r="K253" s="60"/>
      <c r="L253" s="60"/>
      <c r="M253" s="60"/>
      <c r="N253" s="60"/>
      <c r="O253" s="60"/>
      <c r="P253" s="60"/>
      <c r="Q253" s="60"/>
      <c r="R253" s="60"/>
      <c r="S253" s="41"/>
      <c r="T253" s="41"/>
      <c r="U253" s="41"/>
      <c r="V253" s="41"/>
      <c r="W253" s="56"/>
      <c r="X253" s="56"/>
      <c r="Y253" s="56"/>
      <c r="Z253" s="56"/>
      <c r="AA253" s="56"/>
      <c r="AB253" s="56"/>
      <c r="AC253" s="56"/>
      <c r="AD253" s="41"/>
      <c r="AE253" s="41"/>
      <c r="AF253" s="41"/>
      <c r="AG253" s="41"/>
      <c r="AH253" s="41"/>
      <c r="AI253" s="41"/>
      <c r="AJ253" s="41"/>
      <c r="AK253" s="41"/>
      <c r="AL253" s="41"/>
      <c r="AM253" s="41"/>
      <c r="AN253" s="41"/>
      <c r="AO253" s="41"/>
    </row>
    <row r="254" spans="1:41" s="16" customFormat="1" x14ac:dyDescent="0.35">
      <c r="A254" s="17"/>
      <c r="B254" s="17"/>
      <c r="C254" s="17"/>
      <c r="D254" s="17"/>
      <c r="E254" s="17"/>
      <c r="F254" s="17"/>
      <c r="G254" s="17"/>
      <c r="H254" s="17"/>
      <c r="I254" s="17"/>
      <c r="J254" s="60"/>
      <c r="K254" s="60"/>
      <c r="L254" s="60"/>
      <c r="M254" s="60"/>
      <c r="N254" s="60"/>
      <c r="O254" s="60"/>
      <c r="P254" s="60"/>
      <c r="Q254" s="60"/>
      <c r="R254" s="60"/>
      <c r="S254" s="41"/>
      <c r="T254" s="41"/>
      <c r="U254" s="41"/>
      <c r="V254" s="41"/>
      <c r="W254" s="56"/>
      <c r="X254" s="56"/>
      <c r="Y254" s="56"/>
      <c r="Z254" s="56"/>
      <c r="AA254" s="56"/>
      <c r="AB254" s="56"/>
      <c r="AC254" s="56"/>
      <c r="AD254" s="41"/>
      <c r="AE254" s="41"/>
      <c r="AF254" s="41"/>
      <c r="AG254" s="41"/>
      <c r="AH254" s="41"/>
      <c r="AI254" s="41"/>
      <c r="AJ254" s="41"/>
      <c r="AK254" s="41"/>
      <c r="AL254" s="41"/>
      <c r="AM254" s="41"/>
      <c r="AN254" s="41"/>
      <c r="AO254" s="41"/>
    </row>
    <row r="255" spans="1:41" s="16" customFormat="1" x14ac:dyDescent="0.35">
      <c r="A255" s="17"/>
      <c r="B255" s="17"/>
      <c r="C255" s="17"/>
      <c r="D255" s="17"/>
      <c r="E255" s="17"/>
      <c r="F255" s="17"/>
      <c r="G255" s="17"/>
      <c r="H255" s="17"/>
      <c r="I255" s="17"/>
      <c r="J255" s="60"/>
      <c r="K255" s="60"/>
      <c r="L255" s="60"/>
      <c r="M255" s="60"/>
      <c r="N255" s="60"/>
      <c r="O255" s="60"/>
      <c r="P255" s="60"/>
      <c r="Q255" s="60"/>
      <c r="R255" s="60"/>
      <c r="S255" s="41"/>
      <c r="T255" s="41"/>
      <c r="U255" s="41"/>
      <c r="V255" s="41"/>
      <c r="W255" s="56"/>
      <c r="X255" s="56"/>
      <c r="Y255" s="56"/>
      <c r="Z255" s="56"/>
      <c r="AA255" s="56"/>
      <c r="AB255" s="56"/>
      <c r="AC255" s="56"/>
      <c r="AD255" s="41"/>
      <c r="AE255" s="41"/>
      <c r="AF255" s="41"/>
      <c r="AG255" s="41"/>
      <c r="AH255" s="41"/>
      <c r="AI255" s="41"/>
      <c r="AJ255" s="41"/>
      <c r="AK255" s="41"/>
      <c r="AL255" s="41"/>
      <c r="AM255" s="41"/>
      <c r="AN255" s="41"/>
      <c r="AO255" s="41"/>
    </row>
    <row r="256" spans="1:41" s="16" customFormat="1" x14ac:dyDescent="0.35">
      <c r="A256" s="17"/>
      <c r="B256" s="17"/>
      <c r="C256" s="17"/>
      <c r="D256" s="17"/>
      <c r="E256" s="17"/>
      <c r="F256" s="17"/>
      <c r="G256" s="17"/>
      <c r="H256" s="17"/>
      <c r="I256" s="17"/>
      <c r="J256" s="60"/>
      <c r="K256" s="60"/>
      <c r="L256" s="60"/>
      <c r="M256" s="60"/>
      <c r="N256" s="60"/>
      <c r="O256" s="60"/>
      <c r="P256" s="60"/>
      <c r="Q256" s="60"/>
      <c r="R256" s="60"/>
      <c r="S256" s="41"/>
      <c r="T256" s="41"/>
      <c r="U256" s="41"/>
      <c r="V256" s="41"/>
      <c r="W256" s="56"/>
      <c r="X256" s="56"/>
      <c r="Y256" s="56"/>
      <c r="Z256" s="56"/>
      <c r="AA256" s="56"/>
      <c r="AB256" s="56"/>
      <c r="AC256" s="56"/>
      <c r="AD256" s="41"/>
      <c r="AE256" s="41"/>
      <c r="AF256" s="41"/>
      <c r="AG256" s="41"/>
      <c r="AH256" s="41"/>
      <c r="AI256" s="41"/>
      <c r="AJ256" s="41"/>
      <c r="AK256" s="41"/>
      <c r="AL256" s="41"/>
      <c r="AM256" s="41"/>
      <c r="AN256" s="41"/>
      <c r="AO256" s="41"/>
    </row>
    <row r="257" spans="1:41" s="16" customFormat="1" x14ac:dyDescent="0.35">
      <c r="A257" s="17"/>
      <c r="B257" s="17"/>
      <c r="C257" s="17"/>
      <c r="D257" s="17"/>
      <c r="E257" s="17"/>
      <c r="F257" s="17"/>
      <c r="G257" s="17"/>
      <c r="H257" s="17"/>
      <c r="I257" s="17"/>
      <c r="J257" s="60"/>
      <c r="K257" s="60"/>
      <c r="L257" s="60"/>
      <c r="M257" s="60"/>
      <c r="N257" s="60"/>
      <c r="O257" s="60"/>
      <c r="P257" s="60"/>
      <c r="Q257" s="60"/>
      <c r="R257" s="60"/>
      <c r="S257" s="41"/>
      <c r="T257" s="41"/>
      <c r="U257" s="41"/>
      <c r="V257" s="41"/>
      <c r="W257" s="56"/>
      <c r="X257" s="56"/>
      <c r="Y257" s="56"/>
      <c r="Z257" s="56"/>
      <c r="AA257" s="56"/>
      <c r="AB257" s="56"/>
      <c r="AC257" s="56"/>
      <c r="AD257" s="41"/>
      <c r="AE257" s="41"/>
      <c r="AF257" s="41"/>
      <c r="AG257" s="41"/>
      <c r="AH257" s="41"/>
      <c r="AI257" s="41"/>
      <c r="AJ257" s="41"/>
      <c r="AK257" s="41"/>
      <c r="AL257" s="41"/>
      <c r="AM257" s="41"/>
      <c r="AN257" s="41"/>
      <c r="AO257" s="41"/>
    </row>
    <row r="258" spans="1:41" s="16" customFormat="1" x14ac:dyDescent="0.35">
      <c r="A258" s="17"/>
      <c r="B258" s="17"/>
      <c r="C258" s="17"/>
      <c r="D258" s="17"/>
      <c r="E258" s="17"/>
      <c r="F258" s="17"/>
      <c r="G258" s="17"/>
      <c r="H258" s="17"/>
      <c r="I258" s="17"/>
      <c r="J258" s="60"/>
      <c r="K258" s="60"/>
      <c r="L258" s="60"/>
      <c r="M258" s="60"/>
      <c r="N258" s="60"/>
      <c r="O258" s="60"/>
      <c r="P258" s="60"/>
      <c r="Q258" s="60"/>
      <c r="R258" s="60"/>
      <c r="S258" s="41"/>
      <c r="T258" s="41"/>
      <c r="U258" s="41"/>
      <c r="V258" s="41"/>
      <c r="W258" s="56"/>
      <c r="X258" s="56"/>
      <c r="Y258" s="56"/>
      <c r="Z258" s="56"/>
      <c r="AA258" s="56"/>
      <c r="AB258" s="56"/>
      <c r="AC258" s="56"/>
      <c r="AD258" s="41"/>
      <c r="AE258" s="41"/>
      <c r="AF258" s="41"/>
      <c r="AG258" s="41"/>
      <c r="AH258" s="41"/>
      <c r="AI258" s="41"/>
      <c r="AJ258" s="41"/>
      <c r="AK258" s="41"/>
      <c r="AL258" s="41"/>
      <c r="AM258" s="41"/>
      <c r="AN258" s="41"/>
      <c r="AO258" s="41"/>
    </row>
    <row r="259" spans="1:41" s="16" customFormat="1" x14ac:dyDescent="0.35">
      <c r="A259" s="17"/>
      <c r="B259" s="17"/>
      <c r="C259" s="17"/>
      <c r="D259" s="17"/>
      <c r="E259" s="17"/>
      <c r="F259" s="17"/>
      <c r="G259" s="17"/>
      <c r="H259" s="17"/>
      <c r="I259" s="17"/>
      <c r="J259" s="60"/>
      <c r="K259" s="60"/>
      <c r="L259" s="60"/>
      <c r="M259" s="60"/>
      <c r="N259" s="60"/>
      <c r="O259" s="60"/>
      <c r="P259" s="60"/>
      <c r="Q259" s="60"/>
      <c r="R259" s="60"/>
      <c r="S259" s="41"/>
      <c r="T259" s="41"/>
      <c r="U259" s="41"/>
      <c r="V259" s="41"/>
      <c r="W259" s="56"/>
      <c r="X259" s="56"/>
      <c r="Y259" s="56"/>
      <c r="Z259" s="56"/>
      <c r="AA259" s="56"/>
      <c r="AB259" s="56"/>
      <c r="AC259" s="56"/>
      <c r="AD259" s="41"/>
      <c r="AE259" s="41"/>
      <c r="AF259" s="41"/>
      <c r="AG259" s="41"/>
      <c r="AH259" s="41"/>
      <c r="AI259" s="41"/>
      <c r="AJ259" s="41"/>
      <c r="AK259" s="41"/>
      <c r="AL259" s="41"/>
      <c r="AM259" s="41"/>
      <c r="AN259" s="41"/>
      <c r="AO259" s="41"/>
    </row>
    <row r="260" spans="1:41" s="16" customFormat="1" x14ac:dyDescent="0.35">
      <c r="A260" s="17"/>
      <c r="B260" s="17"/>
      <c r="C260" s="17"/>
      <c r="D260" s="17"/>
      <c r="E260" s="17"/>
      <c r="F260" s="17"/>
      <c r="G260" s="17"/>
      <c r="H260" s="17"/>
      <c r="I260" s="17"/>
      <c r="J260" s="60"/>
      <c r="K260" s="60"/>
      <c r="L260" s="60"/>
      <c r="M260" s="60"/>
      <c r="N260" s="60"/>
      <c r="O260" s="60"/>
      <c r="P260" s="60"/>
      <c r="Q260" s="60"/>
      <c r="R260" s="60"/>
      <c r="S260" s="41"/>
      <c r="T260" s="41"/>
      <c r="U260" s="41"/>
      <c r="V260" s="41"/>
      <c r="W260" s="56"/>
      <c r="X260" s="56"/>
      <c r="Y260" s="56"/>
      <c r="Z260" s="56"/>
      <c r="AA260" s="56"/>
      <c r="AB260" s="56"/>
      <c r="AC260" s="56"/>
      <c r="AD260" s="41"/>
      <c r="AE260" s="41"/>
      <c r="AF260" s="41"/>
      <c r="AG260" s="41"/>
      <c r="AH260" s="41"/>
      <c r="AI260" s="41"/>
      <c r="AJ260" s="41"/>
      <c r="AK260" s="41"/>
      <c r="AL260" s="41"/>
      <c r="AM260" s="41"/>
      <c r="AN260" s="41"/>
      <c r="AO260" s="41"/>
    </row>
    <row r="261" spans="1:41" s="16" customFormat="1" x14ac:dyDescent="0.35">
      <c r="A261" s="17"/>
      <c r="B261" s="17"/>
      <c r="C261" s="17"/>
      <c r="D261" s="17"/>
      <c r="E261" s="17"/>
      <c r="F261" s="17"/>
      <c r="G261" s="17"/>
      <c r="H261" s="17"/>
      <c r="I261" s="17"/>
      <c r="J261" s="60"/>
      <c r="K261" s="60"/>
      <c r="L261" s="60"/>
      <c r="M261" s="60"/>
      <c r="N261" s="60"/>
      <c r="O261" s="60"/>
      <c r="P261" s="60"/>
      <c r="Q261" s="60"/>
      <c r="R261" s="60"/>
      <c r="S261" s="41"/>
      <c r="T261" s="41"/>
      <c r="U261" s="41"/>
      <c r="V261" s="41"/>
      <c r="W261" s="56"/>
      <c r="X261" s="56"/>
      <c r="Y261" s="56"/>
      <c r="Z261" s="56"/>
      <c r="AA261" s="56"/>
      <c r="AB261" s="56"/>
      <c r="AC261" s="56"/>
      <c r="AD261" s="41"/>
      <c r="AE261" s="41"/>
      <c r="AF261" s="41"/>
      <c r="AG261" s="41"/>
      <c r="AH261" s="41"/>
      <c r="AI261" s="41"/>
      <c r="AJ261" s="41"/>
      <c r="AK261" s="41"/>
      <c r="AL261" s="41"/>
      <c r="AM261" s="41"/>
      <c r="AN261" s="41"/>
      <c r="AO261" s="41"/>
    </row>
    <row r="262" spans="1:41" s="16" customFormat="1" x14ac:dyDescent="0.35">
      <c r="A262" s="17"/>
      <c r="B262" s="17"/>
      <c r="C262" s="17"/>
      <c r="D262" s="17"/>
      <c r="E262" s="17"/>
      <c r="F262" s="17"/>
      <c r="G262" s="17"/>
      <c r="H262" s="17"/>
      <c r="I262" s="17"/>
      <c r="J262" s="60"/>
      <c r="K262" s="60"/>
      <c r="L262" s="60"/>
      <c r="M262" s="60"/>
      <c r="N262" s="60"/>
      <c r="O262" s="60"/>
      <c r="P262" s="60"/>
      <c r="Q262" s="60"/>
      <c r="R262" s="60"/>
      <c r="S262" s="41"/>
      <c r="T262" s="41"/>
      <c r="U262" s="41"/>
      <c r="V262" s="41"/>
      <c r="W262" s="56"/>
      <c r="X262" s="56"/>
      <c r="Y262" s="56"/>
      <c r="Z262" s="56"/>
      <c r="AA262" s="56"/>
      <c r="AB262" s="56"/>
      <c r="AC262" s="56"/>
      <c r="AD262" s="41"/>
      <c r="AE262" s="41"/>
      <c r="AF262" s="41"/>
      <c r="AG262" s="41"/>
      <c r="AH262" s="41"/>
      <c r="AI262" s="41"/>
      <c r="AJ262" s="41"/>
      <c r="AK262" s="41"/>
      <c r="AL262" s="41"/>
      <c r="AM262" s="41"/>
      <c r="AN262" s="41"/>
      <c r="AO262" s="41"/>
    </row>
    <row r="263" spans="1:41" s="16" customFormat="1" x14ac:dyDescent="0.35">
      <c r="A263" s="17"/>
      <c r="B263" s="17"/>
      <c r="C263" s="17"/>
      <c r="D263" s="17"/>
      <c r="E263" s="17"/>
      <c r="F263" s="17"/>
      <c r="G263" s="17"/>
      <c r="H263" s="17"/>
      <c r="I263" s="17"/>
      <c r="J263" s="60"/>
      <c r="K263" s="60"/>
      <c r="L263" s="60"/>
      <c r="M263" s="60"/>
      <c r="N263" s="60"/>
      <c r="O263" s="60"/>
      <c r="P263" s="60"/>
      <c r="Q263" s="60"/>
      <c r="R263" s="60"/>
      <c r="S263" s="41"/>
      <c r="T263" s="41"/>
      <c r="U263" s="41"/>
      <c r="V263" s="41"/>
      <c r="W263" s="56"/>
      <c r="X263" s="56"/>
      <c r="Y263" s="56"/>
      <c r="Z263" s="56"/>
      <c r="AA263" s="56"/>
      <c r="AB263" s="56"/>
      <c r="AC263" s="56"/>
      <c r="AD263" s="41"/>
      <c r="AE263" s="41"/>
      <c r="AF263" s="41"/>
      <c r="AG263" s="41"/>
      <c r="AH263" s="41"/>
      <c r="AI263" s="41"/>
      <c r="AJ263" s="41"/>
      <c r="AK263" s="41"/>
      <c r="AL263" s="41"/>
      <c r="AM263" s="41"/>
      <c r="AN263" s="41"/>
      <c r="AO263" s="41"/>
    </row>
    <row r="264" spans="1:41" s="16" customFormat="1" x14ac:dyDescent="0.35">
      <c r="A264" s="17"/>
      <c r="B264" s="17"/>
      <c r="C264" s="17"/>
      <c r="D264" s="17"/>
      <c r="E264" s="17"/>
      <c r="F264" s="17"/>
      <c r="G264" s="17"/>
      <c r="H264" s="17"/>
      <c r="I264" s="17"/>
      <c r="J264" s="60"/>
      <c r="K264" s="60"/>
      <c r="L264" s="60"/>
      <c r="M264" s="60"/>
      <c r="N264" s="60"/>
      <c r="O264" s="60"/>
      <c r="P264" s="60"/>
      <c r="Q264" s="60"/>
      <c r="R264" s="60"/>
      <c r="S264" s="41"/>
      <c r="T264" s="41"/>
      <c r="U264" s="41"/>
      <c r="V264" s="41"/>
      <c r="W264" s="56"/>
      <c r="X264" s="56"/>
      <c r="Y264" s="56"/>
      <c r="Z264" s="56"/>
      <c r="AA264" s="56"/>
      <c r="AB264" s="56"/>
      <c r="AC264" s="56"/>
      <c r="AD264" s="41"/>
      <c r="AE264" s="41"/>
      <c r="AF264" s="41"/>
      <c r="AG264" s="41"/>
      <c r="AH264" s="41"/>
      <c r="AI264" s="41"/>
      <c r="AJ264" s="41"/>
      <c r="AK264" s="41"/>
      <c r="AL264" s="41"/>
      <c r="AM264" s="41"/>
      <c r="AN264" s="41"/>
      <c r="AO264" s="41"/>
    </row>
    <row r="265" spans="1:41" s="16" customFormat="1" x14ac:dyDescent="0.35">
      <c r="A265" s="17"/>
      <c r="B265" s="17"/>
      <c r="C265" s="17"/>
      <c r="D265" s="17"/>
      <c r="E265" s="17"/>
      <c r="F265" s="17"/>
      <c r="G265" s="17"/>
      <c r="H265" s="17"/>
      <c r="I265" s="17"/>
      <c r="J265" s="60"/>
      <c r="K265" s="60"/>
      <c r="L265" s="60"/>
      <c r="M265" s="60"/>
      <c r="N265" s="60"/>
      <c r="O265" s="60"/>
      <c r="P265" s="60"/>
      <c r="Q265" s="60"/>
      <c r="R265" s="60"/>
      <c r="S265" s="41"/>
      <c r="T265" s="41"/>
      <c r="U265" s="41"/>
      <c r="V265" s="41"/>
      <c r="W265" s="56"/>
      <c r="X265" s="56"/>
      <c r="Y265" s="56"/>
      <c r="Z265" s="56"/>
      <c r="AA265" s="56"/>
      <c r="AB265" s="56"/>
      <c r="AC265" s="56"/>
      <c r="AD265" s="41"/>
      <c r="AE265" s="41"/>
      <c r="AF265" s="41"/>
      <c r="AG265" s="41"/>
      <c r="AH265" s="41"/>
      <c r="AI265" s="41"/>
      <c r="AJ265" s="41"/>
      <c r="AK265" s="41"/>
      <c r="AL265" s="41"/>
      <c r="AM265" s="41"/>
      <c r="AN265" s="41"/>
      <c r="AO265" s="41"/>
    </row>
    <row r="266" spans="1:41" s="16" customFormat="1" x14ac:dyDescent="0.35">
      <c r="A266" s="17"/>
      <c r="B266" s="17"/>
      <c r="C266" s="17"/>
      <c r="D266" s="17"/>
      <c r="E266" s="17"/>
      <c r="F266" s="17"/>
      <c r="G266" s="17"/>
      <c r="H266" s="17"/>
      <c r="I266" s="17"/>
      <c r="J266" s="60"/>
      <c r="K266" s="60"/>
      <c r="L266" s="60"/>
      <c r="M266" s="60"/>
      <c r="N266" s="60"/>
      <c r="O266" s="60"/>
      <c r="P266" s="60"/>
      <c r="Q266" s="60"/>
      <c r="R266" s="60"/>
      <c r="S266" s="41"/>
      <c r="T266" s="41"/>
      <c r="U266" s="41"/>
      <c r="V266" s="41"/>
      <c r="W266" s="56"/>
      <c r="X266" s="56"/>
      <c r="Y266" s="56"/>
      <c r="Z266" s="56"/>
      <c r="AA266" s="56"/>
      <c r="AB266" s="56"/>
      <c r="AC266" s="56"/>
      <c r="AD266" s="41"/>
      <c r="AE266" s="41"/>
      <c r="AF266" s="41"/>
      <c r="AG266" s="41"/>
      <c r="AH266" s="41"/>
      <c r="AI266" s="41"/>
      <c r="AJ266" s="41"/>
      <c r="AK266" s="41"/>
      <c r="AL266" s="41"/>
      <c r="AM266" s="41"/>
      <c r="AN266" s="41"/>
      <c r="AO266" s="41"/>
    </row>
    <row r="267" spans="1:41" s="16" customFormat="1" x14ac:dyDescent="0.35">
      <c r="A267" s="17"/>
      <c r="B267" s="17"/>
      <c r="C267" s="17"/>
      <c r="D267" s="17"/>
      <c r="E267" s="17"/>
      <c r="F267" s="17"/>
      <c r="G267" s="17"/>
      <c r="H267" s="17"/>
      <c r="I267" s="17"/>
      <c r="J267" s="60"/>
      <c r="K267" s="60"/>
      <c r="L267" s="60"/>
      <c r="M267" s="60"/>
      <c r="N267" s="60"/>
      <c r="O267" s="60"/>
      <c r="P267" s="60"/>
      <c r="Q267" s="60"/>
      <c r="R267" s="60"/>
      <c r="S267" s="41"/>
      <c r="T267" s="41"/>
      <c r="U267" s="41"/>
      <c r="V267" s="41"/>
      <c r="W267" s="56"/>
      <c r="X267" s="56"/>
      <c r="Y267" s="56"/>
      <c r="Z267" s="56"/>
      <c r="AA267" s="56"/>
      <c r="AB267" s="56"/>
      <c r="AC267" s="56"/>
      <c r="AD267" s="41"/>
      <c r="AE267" s="41"/>
      <c r="AF267" s="41"/>
      <c r="AG267" s="41"/>
      <c r="AH267" s="41"/>
      <c r="AI267" s="41"/>
      <c r="AJ267" s="41"/>
      <c r="AK267" s="41"/>
      <c r="AL267" s="41"/>
      <c r="AM267" s="41"/>
      <c r="AN267" s="41"/>
      <c r="AO267" s="41"/>
    </row>
    <row r="268" spans="1:41" s="16" customFormat="1" x14ac:dyDescent="0.35">
      <c r="A268" s="17"/>
      <c r="B268" s="17"/>
      <c r="C268" s="17"/>
      <c r="D268" s="17"/>
      <c r="E268" s="17"/>
      <c r="F268" s="17"/>
      <c r="G268" s="17"/>
      <c r="H268" s="17"/>
      <c r="I268" s="17"/>
      <c r="J268" s="60"/>
      <c r="K268" s="60"/>
      <c r="L268" s="60"/>
      <c r="M268" s="60"/>
      <c r="N268" s="60"/>
      <c r="O268" s="60"/>
      <c r="P268" s="60"/>
      <c r="Q268" s="60"/>
      <c r="R268" s="60"/>
      <c r="S268" s="41"/>
      <c r="T268" s="41"/>
      <c r="U268" s="41"/>
      <c r="V268" s="41"/>
      <c r="W268" s="56"/>
      <c r="X268" s="56"/>
      <c r="Y268" s="56"/>
      <c r="Z268" s="56"/>
      <c r="AA268" s="56"/>
      <c r="AB268" s="56"/>
      <c r="AC268" s="56"/>
      <c r="AD268" s="41"/>
      <c r="AE268" s="41"/>
      <c r="AF268" s="41"/>
      <c r="AG268" s="41"/>
      <c r="AH268" s="41"/>
      <c r="AI268" s="41"/>
      <c r="AJ268" s="41"/>
      <c r="AK268" s="41"/>
      <c r="AL268" s="41"/>
      <c r="AM268" s="41"/>
      <c r="AN268" s="41"/>
      <c r="AO268" s="41"/>
    </row>
    <row r="269" spans="1:41" s="16" customFormat="1" x14ac:dyDescent="0.35">
      <c r="A269" s="17"/>
      <c r="B269" s="17"/>
      <c r="C269" s="17"/>
      <c r="D269" s="17"/>
      <c r="E269" s="17"/>
      <c r="F269" s="17"/>
      <c r="G269" s="17"/>
      <c r="H269" s="17"/>
      <c r="I269" s="17"/>
      <c r="J269" s="60"/>
      <c r="K269" s="60"/>
      <c r="L269" s="60"/>
      <c r="M269" s="60"/>
      <c r="N269" s="60"/>
      <c r="O269" s="60"/>
      <c r="P269" s="60"/>
      <c r="Q269" s="60"/>
      <c r="R269" s="60"/>
      <c r="S269" s="41"/>
      <c r="T269" s="41"/>
      <c r="U269" s="41"/>
      <c r="V269" s="41"/>
      <c r="W269" s="56"/>
      <c r="X269" s="56"/>
      <c r="Y269" s="56"/>
      <c r="Z269" s="56"/>
      <c r="AA269" s="56"/>
      <c r="AB269" s="56"/>
      <c r="AC269" s="56"/>
      <c r="AD269" s="41"/>
      <c r="AE269" s="41"/>
      <c r="AF269" s="41"/>
      <c r="AG269" s="41"/>
      <c r="AH269" s="41"/>
      <c r="AI269" s="41"/>
      <c r="AJ269" s="41"/>
      <c r="AK269" s="41"/>
      <c r="AL269" s="41"/>
      <c r="AM269" s="41"/>
      <c r="AN269" s="41"/>
      <c r="AO269" s="41"/>
    </row>
    <row r="270" spans="1:41" s="16" customFormat="1" x14ac:dyDescent="0.35">
      <c r="A270" s="17"/>
      <c r="B270" s="17"/>
      <c r="C270" s="17"/>
      <c r="D270" s="17"/>
      <c r="E270" s="17"/>
      <c r="F270" s="17"/>
      <c r="G270" s="17"/>
      <c r="H270" s="17"/>
      <c r="I270" s="17"/>
      <c r="J270" s="60"/>
      <c r="K270" s="60"/>
      <c r="L270" s="60"/>
      <c r="M270" s="60"/>
      <c r="N270" s="60"/>
      <c r="O270" s="60"/>
      <c r="P270" s="60"/>
      <c r="Q270" s="60"/>
      <c r="R270" s="60"/>
      <c r="S270" s="41"/>
      <c r="T270" s="41"/>
      <c r="U270" s="41"/>
      <c r="V270" s="41"/>
      <c r="W270" s="56"/>
      <c r="X270" s="56"/>
      <c r="Y270" s="56"/>
      <c r="Z270" s="56"/>
      <c r="AA270" s="56"/>
      <c r="AB270" s="56"/>
      <c r="AC270" s="56"/>
      <c r="AD270" s="41"/>
      <c r="AE270" s="41"/>
      <c r="AF270" s="41"/>
      <c r="AG270" s="41"/>
      <c r="AH270" s="41"/>
      <c r="AI270" s="41"/>
      <c r="AJ270" s="41"/>
      <c r="AK270" s="41"/>
      <c r="AL270" s="41"/>
      <c r="AM270" s="41"/>
      <c r="AN270" s="41"/>
      <c r="AO270" s="41"/>
    </row>
    <row r="271" spans="1:41" s="16" customFormat="1" x14ac:dyDescent="0.35">
      <c r="A271" s="17"/>
      <c r="B271" s="17"/>
      <c r="C271" s="17"/>
      <c r="D271" s="17"/>
      <c r="E271" s="17"/>
      <c r="F271" s="17"/>
      <c r="G271" s="17"/>
      <c r="H271" s="17"/>
      <c r="I271" s="17"/>
      <c r="J271" s="60"/>
      <c r="K271" s="60"/>
      <c r="L271" s="60"/>
      <c r="M271" s="60"/>
      <c r="N271" s="60"/>
      <c r="O271" s="60"/>
      <c r="P271" s="60"/>
      <c r="Q271" s="60"/>
      <c r="R271" s="60"/>
      <c r="S271" s="41"/>
      <c r="T271" s="41"/>
      <c r="U271" s="41"/>
      <c r="V271" s="41"/>
      <c r="W271" s="56"/>
      <c r="X271" s="56"/>
      <c r="Y271" s="56"/>
      <c r="Z271" s="56"/>
      <c r="AA271" s="56"/>
      <c r="AB271" s="56"/>
      <c r="AC271" s="56"/>
      <c r="AD271" s="41"/>
      <c r="AE271" s="41"/>
      <c r="AF271" s="41"/>
      <c r="AG271" s="41"/>
      <c r="AH271" s="41"/>
      <c r="AI271" s="41"/>
      <c r="AJ271" s="41"/>
      <c r="AK271" s="41"/>
      <c r="AL271" s="41"/>
      <c r="AM271" s="41"/>
      <c r="AN271" s="41"/>
      <c r="AO271" s="41"/>
    </row>
    <row r="272" spans="1:41" s="16" customFormat="1" x14ac:dyDescent="0.35">
      <c r="A272" s="17"/>
      <c r="B272" s="17"/>
      <c r="C272" s="17"/>
      <c r="D272" s="17"/>
      <c r="E272" s="17"/>
      <c r="F272" s="17"/>
      <c r="G272" s="17"/>
      <c r="H272" s="17"/>
      <c r="I272" s="17"/>
      <c r="J272" s="60"/>
      <c r="K272" s="60"/>
      <c r="L272" s="60"/>
      <c r="M272" s="60"/>
      <c r="N272" s="60"/>
      <c r="O272" s="60"/>
      <c r="P272" s="60"/>
      <c r="Q272" s="60"/>
      <c r="R272" s="60"/>
      <c r="S272" s="41"/>
      <c r="T272" s="41"/>
      <c r="U272" s="41"/>
      <c r="V272" s="41"/>
      <c r="W272" s="56"/>
      <c r="X272" s="56"/>
      <c r="Y272" s="56"/>
      <c r="Z272" s="56"/>
      <c r="AA272" s="56"/>
      <c r="AB272" s="56"/>
      <c r="AC272" s="56"/>
      <c r="AD272" s="41"/>
      <c r="AE272" s="41"/>
      <c r="AF272" s="41"/>
      <c r="AG272" s="41"/>
      <c r="AH272" s="41"/>
      <c r="AI272" s="41"/>
      <c r="AJ272" s="41"/>
      <c r="AK272" s="41"/>
      <c r="AL272" s="41"/>
      <c r="AM272" s="41"/>
      <c r="AN272" s="41"/>
      <c r="AO272" s="41"/>
    </row>
    <row r="273" spans="1:41" s="16" customFormat="1" x14ac:dyDescent="0.35">
      <c r="A273" s="17"/>
      <c r="B273" s="17"/>
      <c r="C273" s="17"/>
      <c r="D273" s="17"/>
      <c r="E273" s="17"/>
      <c r="F273" s="17"/>
      <c r="G273" s="17"/>
      <c r="H273" s="17"/>
      <c r="I273" s="17"/>
      <c r="J273" s="60"/>
      <c r="K273" s="60"/>
      <c r="L273" s="60"/>
      <c r="M273" s="60"/>
      <c r="N273" s="60"/>
      <c r="O273" s="60"/>
      <c r="P273" s="60"/>
      <c r="Q273" s="60"/>
      <c r="R273" s="60"/>
      <c r="S273" s="41"/>
      <c r="T273" s="41"/>
      <c r="U273" s="41"/>
      <c r="V273" s="41"/>
      <c r="W273" s="56"/>
      <c r="X273" s="56"/>
      <c r="Y273" s="56"/>
      <c r="Z273" s="56"/>
      <c r="AA273" s="56"/>
      <c r="AB273" s="56"/>
      <c r="AC273" s="56"/>
      <c r="AD273" s="41"/>
      <c r="AE273" s="41"/>
      <c r="AF273" s="41"/>
      <c r="AG273" s="41"/>
      <c r="AH273" s="41"/>
      <c r="AI273" s="41"/>
      <c r="AJ273" s="41"/>
      <c r="AK273" s="41"/>
      <c r="AL273" s="41"/>
      <c r="AM273" s="41"/>
      <c r="AN273" s="41"/>
      <c r="AO273" s="41"/>
    </row>
    <row r="274" spans="1:41" s="16" customFormat="1" x14ac:dyDescent="0.35">
      <c r="A274" s="17"/>
      <c r="B274" s="17"/>
      <c r="C274" s="17"/>
      <c r="D274" s="17"/>
      <c r="E274" s="17"/>
      <c r="F274" s="17"/>
      <c r="G274" s="17"/>
      <c r="H274" s="17"/>
      <c r="I274" s="17"/>
      <c r="J274" s="60"/>
      <c r="K274" s="60"/>
      <c r="L274" s="60"/>
      <c r="M274" s="60"/>
      <c r="N274" s="60"/>
      <c r="O274" s="60"/>
      <c r="P274" s="60"/>
      <c r="Q274" s="60"/>
      <c r="R274" s="60"/>
      <c r="S274" s="41"/>
      <c r="T274" s="41"/>
      <c r="U274" s="41"/>
      <c r="V274" s="41"/>
      <c r="W274" s="56"/>
      <c r="X274" s="56"/>
      <c r="Y274" s="56"/>
      <c r="Z274" s="56"/>
      <c r="AA274" s="56"/>
      <c r="AB274" s="56"/>
      <c r="AC274" s="56"/>
      <c r="AD274" s="41"/>
      <c r="AE274" s="41"/>
      <c r="AF274" s="41"/>
      <c r="AG274" s="41"/>
      <c r="AH274" s="41"/>
      <c r="AI274" s="41"/>
      <c r="AJ274" s="41"/>
      <c r="AK274" s="41"/>
      <c r="AL274" s="41"/>
      <c r="AM274" s="41"/>
      <c r="AN274" s="41"/>
      <c r="AO274" s="41"/>
    </row>
    <row r="275" spans="1:41" s="16" customFormat="1" x14ac:dyDescent="0.35">
      <c r="A275" s="17"/>
      <c r="B275" s="17"/>
      <c r="C275" s="17"/>
      <c r="D275" s="17"/>
      <c r="E275" s="17"/>
      <c r="F275" s="17"/>
      <c r="G275" s="17"/>
      <c r="H275" s="17"/>
      <c r="I275" s="17"/>
      <c r="J275" s="60"/>
      <c r="K275" s="60"/>
      <c r="L275" s="60"/>
      <c r="M275" s="60"/>
      <c r="N275" s="60"/>
      <c r="O275" s="60"/>
      <c r="P275" s="60"/>
      <c r="Q275" s="60"/>
      <c r="R275" s="60"/>
      <c r="S275" s="41"/>
      <c r="T275" s="41"/>
      <c r="U275" s="41"/>
      <c r="V275" s="41"/>
      <c r="W275" s="56"/>
      <c r="X275" s="56"/>
      <c r="Y275" s="56"/>
      <c r="Z275" s="56"/>
      <c r="AA275" s="56"/>
      <c r="AB275" s="56"/>
      <c r="AC275" s="56"/>
      <c r="AD275" s="41"/>
      <c r="AE275" s="41"/>
      <c r="AF275" s="41"/>
      <c r="AG275" s="41"/>
      <c r="AH275" s="41"/>
      <c r="AI275" s="41"/>
      <c r="AJ275" s="41"/>
      <c r="AK275" s="41"/>
      <c r="AL275" s="41"/>
      <c r="AM275" s="41"/>
      <c r="AN275" s="41"/>
      <c r="AO275" s="41"/>
    </row>
    <row r="276" spans="1:41" s="16" customFormat="1" x14ac:dyDescent="0.35">
      <c r="A276" s="17"/>
      <c r="B276" s="17"/>
      <c r="C276" s="17"/>
      <c r="D276" s="17"/>
      <c r="E276" s="17"/>
      <c r="F276" s="17"/>
      <c r="G276" s="17"/>
      <c r="H276" s="17"/>
      <c r="I276" s="17"/>
      <c r="J276" s="60"/>
      <c r="K276" s="60"/>
      <c r="L276" s="60"/>
      <c r="M276" s="60"/>
      <c r="N276" s="60"/>
      <c r="O276" s="60"/>
      <c r="P276" s="60"/>
      <c r="Q276" s="60"/>
      <c r="R276" s="60"/>
      <c r="S276" s="41"/>
      <c r="T276" s="41"/>
      <c r="U276" s="41"/>
      <c r="V276" s="41"/>
      <c r="W276" s="56"/>
      <c r="X276" s="56"/>
      <c r="Y276" s="56"/>
      <c r="Z276" s="56"/>
      <c r="AA276" s="56"/>
      <c r="AB276" s="56"/>
      <c r="AC276" s="56"/>
      <c r="AD276" s="41"/>
      <c r="AE276" s="41"/>
      <c r="AF276" s="41"/>
      <c r="AG276" s="41"/>
      <c r="AH276" s="41"/>
      <c r="AI276" s="41"/>
      <c r="AJ276" s="41"/>
      <c r="AK276" s="41"/>
      <c r="AL276" s="41"/>
      <c r="AM276" s="41"/>
      <c r="AN276" s="41"/>
      <c r="AO276" s="41"/>
    </row>
    <row r="277" spans="1:41" s="16" customFormat="1" x14ac:dyDescent="0.35">
      <c r="A277" s="17"/>
      <c r="B277" s="17"/>
      <c r="C277" s="17"/>
      <c r="D277" s="17"/>
      <c r="E277" s="17"/>
      <c r="F277" s="17"/>
      <c r="G277" s="17"/>
      <c r="H277" s="17"/>
      <c r="I277" s="17"/>
      <c r="J277" s="60"/>
      <c r="K277" s="60"/>
      <c r="L277" s="60"/>
      <c r="M277" s="60"/>
      <c r="N277" s="60"/>
      <c r="O277" s="60"/>
      <c r="P277" s="60"/>
      <c r="Q277" s="60"/>
      <c r="R277" s="60"/>
      <c r="S277" s="41"/>
      <c r="T277" s="41"/>
      <c r="U277" s="41"/>
      <c r="V277" s="41"/>
      <c r="W277" s="56"/>
      <c r="X277" s="56"/>
      <c r="Y277" s="56"/>
      <c r="Z277" s="56"/>
      <c r="AA277" s="56"/>
      <c r="AB277" s="56"/>
      <c r="AC277" s="56"/>
      <c r="AD277" s="41"/>
      <c r="AE277" s="41"/>
      <c r="AF277" s="41"/>
      <c r="AG277" s="41"/>
      <c r="AH277" s="41"/>
      <c r="AI277" s="41"/>
      <c r="AJ277" s="41"/>
      <c r="AK277" s="41"/>
      <c r="AL277" s="41"/>
      <c r="AM277" s="41"/>
      <c r="AN277" s="41"/>
      <c r="AO277" s="41"/>
    </row>
    <row r="278" spans="1:41" s="16" customFormat="1" x14ac:dyDescent="0.35">
      <c r="A278" s="17"/>
      <c r="B278" s="17"/>
      <c r="C278" s="17"/>
      <c r="D278" s="17"/>
      <c r="E278" s="17"/>
      <c r="F278" s="17"/>
      <c r="G278" s="17"/>
      <c r="H278" s="17"/>
      <c r="I278" s="17"/>
      <c r="J278" s="60"/>
      <c r="K278" s="60"/>
      <c r="L278" s="60"/>
      <c r="M278" s="60"/>
      <c r="N278" s="60"/>
      <c r="O278" s="60"/>
      <c r="P278" s="60"/>
      <c r="Q278" s="60"/>
      <c r="R278" s="60"/>
      <c r="S278" s="41"/>
      <c r="T278" s="41"/>
      <c r="U278" s="41"/>
      <c r="V278" s="41"/>
      <c r="W278" s="56"/>
      <c r="X278" s="56"/>
      <c r="Y278" s="56"/>
      <c r="Z278" s="56"/>
      <c r="AA278" s="56"/>
      <c r="AB278" s="56"/>
      <c r="AC278" s="56"/>
      <c r="AD278" s="41"/>
      <c r="AE278" s="41"/>
      <c r="AF278" s="41"/>
      <c r="AG278" s="41"/>
      <c r="AH278" s="41"/>
      <c r="AI278" s="41"/>
      <c r="AJ278" s="41"/>
      <c r="AK278" s="41"/>
      <c r="AL278" s="41"/>
      <c r="AM278" s="41"/>
      <c r="AN278" s="41"/>
      <c r="AO278" s="41"/>
    </row>
    <row r="279" spans="1:41" s="16" customFormat="1" x14ac:dyDescent="0.35">
      <c r="A279" s="17"/>
      <c r="B279" s="17"/>
      <c r="C279" s="17"/>
      <c r="D279" s="17"/>
      <c r="E279" s="17"/>
      <c r="F279" s="17"/>
      <c r="G279" s="17"/>
      <c r="H279" s="17"/>
      <c r="I279" s="17"/>
      <c r="J279" s="60"/>
      <c r="K279" s="60"/>
      <c r="L279" s="60"/>
      <c r="M279" s="60"/>
      <c r="N279" s="60"/>
      <c r="O279" s="60"/>
      <c r="P279" s="60"/>
      <c r="Q279" s="60"/>
      <c r="R279" s="60"/>
      <c r="S279" s="41"/>
      <c r="T279" s="41"/>
      <c r="U279" s="41"/>
      <c r="V279" s="41"/>
      <c r="W279" s="56"/>
      <c r="X279" s="56"/>
      <c r="Y279" s="56"/>
      <c r="Z279" s="56"/>
      <c r="AA279" s="56"/>
      <c r="AB279" s="56"/>
      <c r="AC279" s="56"/>
      <c r="AD279" s="41"/>
      <c r="AE279" s="41"/>
      <c r="AF279" s="41"/>
      <c r="AG279" s="41"/>
      <c r="AH279" s="41"/>
      <c r="AI279" s="41"/>
      <c r="AJ279" s="41"/>
      <c r="AK279" s="41"/>
      <c r="AL279" s="41"/>
      <c r="AM279" s="41"/>
      <c r="AN279" s="41"/>
      <c r="AO279" s="41"/>
    </row>
    <row r="280" spans="1:41" s="16" customFormat="1" x14ac:dyDescent="0.35">
      <c r="A280" s="17"/>
      <c r="B280" s="17"/>
      <c r="C280" s="17"/>
      <c r="D280" s="17"/>
      <c r="E280" s="17"/>
      <c r="F280" s="17"/>
      <c r="G280" s="17"/>
      <c r="H280" s="17"/>
      <c r="I280" s="17"/>
      <c r="J280" s="60"/>
      <c r="K280" s="60"/>
      <c r="L280" s="60"/>
      <c r="M280" s="60"/>
      <c r="N280" s="60"/>
      <c r="O280" s="60"/>
      <c r="P280" s="60"/>
      <c r="Q280" s="60"/>
      <c r="R280" s="60"/>
      <c r="S280" s="41"/>
      <c r="T280" s="41"/>
      <c r="U280" s="41"/>
      <c r="V280" s="41"/>
      <c r="W280" s="56"/>
      <c r="X280" s="56"/>
      <c r="Y280" s="56"/>
      <c r="Z280" s="56"/>
      <c r="AA280" s="56"/>
      <c r="AB280" s="56"/>
      <c r="AC280" s="56"/>
      <c r="AD280" s="41"/>
      <c r="AE280" s="41"/>
      <c r="AF280" s="41"/>
      <c r="AG280" s="41"/>
      <c r="AH280" s="41"/>
      <c r="AI280" s="41"/>
      <c r="AJ280" s="41"/>
      <c r="AK280" s="41"/>
      <c r="AL280" s="41"/>
      <c r="AM280" s="41"/>
      <c r="AN280" s="41"/>
      <c r="AO280" s="41"/>
    </row>
    <row r="281" spans="1:41" s="16" customFormat="1" x14ac:dyDescent="0.35">
      <c r="A281" s="17"/>
      <c r="B281" s="17"/>
      <c r="C281" s="17"/>
      <c r="D281" s="17"/>
      <c r="E281" s="17"/>
      <c r="F281" s="17"/>
      <c r="G281" s="17"/>
      <c r="H281" s="17"/>
      <c r="I281" s="17"/>
      <c r="J281" s="60"/>
      <c r="K281" s="60"/>
      <c r="L281" s="60"/>
      <c r="M281" s="60"/>
      <c r="N281" s="60"/>
      <c r="O281" s="60"/>
      <c r="P281" s="60"/>
      <c r="Q281" s="60"/>
      <c r="R281" s="60"/>
      <c r="S281" s="41"/>
      <c r="T281" s="41"/>
      <c r="U281" s="41"/>
      <c r="V281" s="41"/>
      <c r="W281" s="56"/>
      <c r="X281" s="56"/>
      <c r="Y281" s="56"/>
      <c r="Z281" s="56"/>
      <c r="AA281" s="56"/>
      <c r="AB281" s="56"/>
      <c r="AC281" s="56"/>
      <c r="AD281" s="41"/>
      <c r="AE281" s="41"/>
      <c r="AF281" s="41"/>
      <c r="AG281" s="41"/>
      <c r="AH281" s="41"/>
      <c r="AI281" s="41"/>
      <c r="AJ281" s="41"/>
      <c r="AK281" s="41"/>
      <c r="AL281" s="41"/>
      <c r="AM281" s="41"/>
      <c r="AN281" s="41"/>
      <c r="AO281" s="41"/>
    </row>
    <row r="282" spans="1:41" s="16" customFormat="1" x14ac:dyDescent="0.35">
      <c r="A282" s="17"/>
      <c r="B282" s="17"/>
      <c r="C282" s="17"/>
      <c r="D282" s="17"/>
      <c r="E282" s="17"/>
      <c r="F282" s="17"/>
      <c r="G282" s="17"/>
      <c r="H282" s="17"/>
      <c r="I282" s="17"/>
      <c r="J282" s="60"/>
      <c r="K282" s="60"/>
      <c r="L282" s="60"/>
      <c r="M282" s="60"/>
      <c r="N282" s="60"/>
      <c r="O282" s="60"/>
      <c r="P282" s="60"/>
      <c r="Q282" s="60"/>
      <c r="R282" s="60"/>
      <c r="S282" s="41"/>
      <c r="T282" s="41"/>
      <c r="U282" s="41"/>
      <c r="V282" s="41"/>
      <c r="W282" s="56"/>
      <c r="X282" s="56"/>
      <c r="Y282" s="56"/>
      <c r="Z282" s="56"/>
      <c r="AA282" s="56"/>
      <c r="AB282" s="56"/>
      <c r="AC282" s="56"/>
      <c r="AD282" s="41"/>
      <c r="AE282" s="41"/>
      <c r="AF282" s="41"/>
      <c r="AG282" s="41"/>
      <c r="AH282" s="41"/>
      <c r="AI282" s="41"/>
      <c r="AJ282" s="41"/>
      <c r="AK282" s="41"/>
      <c r="AL282" s="41"/>
      <c r="AM282" s="41"/>
      <c r="AN282" s="41"/>
      <c r="AO282" s="41"/>
    </row>
    <row r="283" spans="1:41" s="16" customFormat="1" x14ac:dyDescent="0.35">
      <c r="A283" s="17"/>
      <c r="B283" s="17"/>
      <c r="C283" s="17"/>
      <c r="D283" s="17"/>
      <c r="E283" s="17"/>
      <c r="F283" s="17"/>
      <c r="G283" s="17"/>
      <c r="H283" s="17"/>
      <c r="I283" s="17"/>
      <c r="J283" s="60"/>
      <c r="K283" s="60"/>
      <c r="L283" s="60"/>
      <c r="M283" s="60"/>
      <c r="N283" s="60"/>
      <c r="O283" s="60"/>
      <c r="P283" s="60"/>
      <c r="Q283" s="60"/>
      <c r="R283" s="60"/>
      <c r="S283" s="41"/>
      <c r="T283" s="41"/>
      <c r="U283" s="41"/>
      <c r="V283" s="41"/>
      <c r="W283" s="56"/>
      <c r="X283" s="56"/>
      <c r="Y283" s="56"/>
      <c r="Z283" s="56"/>
      <c r="AA283" s="56"/>
      <c r="AB283" s="56"/>
      <c r="AC283" s="56"/>
      <c r="AD283" s="41"/>
      <c r="AE283" s="41"/>
      <c r="AF283" s="41"/>
      <c r="AG283" s="41"/>
      <c r="AH283" s="41"/>
      <c r="AI283" s="41"/>
      <c r="AJ283" s="41"/>
      <c r="AK283" s="41"/>
      <c r="AL283" s="41"/>
      <c r="AM283" s="41"/>
      <c r="AN283" s="41"/>
      <c r="AO283" s="41"/>
    </row>
    <row r="284" spans="1:41" s="16" customFormat="1" x14ac:dyDescent="0.35">
      <c r="A284" s="17"/>
      <c r="B284" s="17"/>
      <c r="C284" s="17"/>
      <c r="D284" s="17"/>
      <c r="E284" s="17"/>
      <c r="F284" s="17"/>
      <c r="G284" s="17"/>
      <c r="H284" s="17"/>
      <c r="I284" s="17"/>
      <c r="J284" s="60"/>
      <c r="K284" s="60"/>
      <c r="L284" s="60"/>
      <c r="M284" s="60"/>
      <c r="N284" s="60"/>
      <c r="O284" s="60"/>
      <c r="P284" s="60"/>
      <c r="Q284" s="60"/>
      <c r="R284" s="60"/>
      <c r="S284" s="41"/>
      <c r="T284" s="41"/>
      <c r="U284" s="41"/>
      <c r="V284" s="41"/>
      <c r="W284" s="56"/>
      <c r="X284" s="56"/>
      <c r="Y284" s="56"/>
      <c r="Z284" s="56"/>
      <c r="AA284" s="56"/>
      <c r="AB284" s="56"/>
      <c r="AC284" s="56"/>
      <c r="AD284" s="41"/>
      <c r="AE284" s="41"/>
      <c r="AF284" s="41"/>
      <c r="AG284" s="41"/>
      <c r="AH284" s="41"/>
      <c r="AI284" s="41"/>
      <c r="AJ284" s="41"/>
      <c r="AK284" s="41"/>
      <c r="AL284" s="41"/>
      <c r="AM284" s="41"/>
      <c r="AN284" s="41"/>
      <c r="AO284" s="41"/>
    </row>
    <row r="285" spans="1:41" s="16" customFormat="1" x14ac:dyDescent="0.35">
      <c r="A285" s="17"/>
      <c r="B285" s="17"/>
      <c r="C285" s="17"/>
      <c r="D285" s="17"/>
      <c r="E285" s="17"/>
      <c r="F285" s="17"/>
      <c r="G285" s="17"/>
      <c r="H285" s="17"/>
      <c r="I285" s="17"/>
      <c r="J285" s="60"/>
      <c r="K285" s="60"/>
      <c r="L285" s="60"/>
      <c r="M285" s="60"/>
      <c r="N285" s="60"/>
      <c r="O285" s="60"/>
      <c r="P285" s="60"/>
      <c r="Q285" s="60"/>
      <c r="R285" s="60"/>
      <c r="S285" s="41"/>
      <c r="T285" s="41"/>
      <c r="U285" s="41"/>
      <c r="V285" s="41"/>
      <c r="W285" s="56"/>
      <c r="X285" s="56"/>
      <c r="Y285" s="56"/>
      <c r="Z285" s="56"/>
      <c r="AA285" s="56"/>
      <c r="AB285" s="56"/>
      <c r="AC285" s="56"/>
      <c r="AD285" s="41"/>
      <c r="AE285" s="41"/>
      <c r="AF285" s="41"/>
      <c r="AG285" s="41"/>
      <c r="AH285" s="41"/>
      <c r="AI285" s="41"/>
      <c r="AJ285" s="41"/>
      <c r="AK285" s="41"/>
      <c r="AL285" s="41"/>
      <c r="AM285" s="41"/>
      <c r="AN285" s="41"/>
      <c r="AO285" s="41"/>
    </row>
    <row r="286" spans="1:41" s="16" customFormat="1" x14ac:dyDescent="0.35">
      <c r="A286" s="17"/>
      <c r="B286" s="17"/>
      <c r="C286" s="17"/>
      <c r="D286" s="17"/>
      <c r="E286" s="17"/>
      <c r="F286" s="17"/>
      <c r="G286" s="17"/>
      <c r="H286" s="17"/>
      <c r="I286" s="17"/>
      <c r="J286" s="60"/>
      <c r="K286" s="60"/>
      <c r="L286" s="60"/>
      <c r="M286" s="60"/>
      <c r="N286" s="60"/>
      <c r="O286" s="60"/>
      <c r="P286" s="60"/>
      <c r="Q286" s="60"/>
      <c r="R286" s="60"/>
      <c r="S286" s="41"/>
      <c r="T286" s="41"/>
      <c r="U286" s="41"/>
      <c r="V286" s="41"/>
      <c r="W286" s="56"/>
      <c r="X286" s="56"/>
      <c r="Y286" s="56"/>
      <c r="Z286" s="56"/>
      <c r="AA286" s="56"/>
      <c r="AB286" s="56"/>
      <c r="AC286" s="56"/>
      <c r="AD286" s="41"/>
      <c r="AE286" s="41"/>
      <c r="AF286" s="41"/>
      <c r="AG286" s="41"/>
      <c r="AH286" s="41"/>
      <c r="AI286" s="41"/>
      <c r="AJ286" s="41"/>
      <c r="AK286" s="41"/>
      <c r="AL286" s="41"/>
      <c r="AM286" s="41"/>
      <c r="AN286" s="41"/>
      <c r="AO286" s="41"/>
    </row>
    <row r="287" spans="1:41" s="16" customFormat="1" x14ac:dyDescent="0.35">
      <c r="A287" s="17"/>
      <c r="B287" s="17"/>
      <c r="C287" s="17"/>
      <c r="D287" s="17"/>
      <c r="E287" s="17"/>
      <c r="F287" s="17"/>
      <c r="G287" s="17"/>
      <c r="H287" s="17"/>
      <c r="I287" s="17"/>
      <c r="J287" s="60"/>
      <c r="K287" s="60"/>
      <c r="L287" s="60"/>
      <c r="M287" s="60"/>
      <c r="N287" s="60"/>
      <c r="O287" s="60"/>
      <c r="P287" s="60"/>
      <c r="Q287" s="60"/>
      <c r="R287" s="60"/>
      <c r="S287" s="41"/>
      <c r="T287" s="41"/>
      <c r="U287" s="41"/>
      <c r="V287" s="41"/>
      <c r="W287" s="56"/>
      <c r="X287" s="56"/>
      <c r="Y287" s="56"/>
      <c r="Z287" s="56"/>
      <c r="AA287" s="56"/>
      <c r="AB287" s="56"/>
      <c r="AC287" s="56"/>
      <c r="AD287" s="41"/>
      <c r="AE287" s="41"/>
      <c r="AF287" s="41"/>
      <c r="AG287" s="41"/>
      <c r="AH287" s="41"/>
      <c r="AI287" s="41"/>
      <c r="AJ287" s="41"/>
      <c r="AK287" s="41"/>
      <c r="AL287" s="41"/>
      <c r="AM287" s="41"/>
      <c r="AN287" s="41"/>
      <c r="AO287" s="41"/>
    </row>
    <row r="288" spans="1:41" s="16" customFormat="1" x14ac:dyDescent="0.35">
      <c r="A288" s="17"/>
      <c r="B288" s="17"/>
      <c r="C288" s="17"/>
      <c r="D288" s="17"/>
      <c r="E288" s="17"/>
      <c r="F288" s="17"/>
      <c r="G288" s="17"/>
      <c r="H288" s="17"/>
      <c r="I288" s="17"/>
      <c r="J288" s="60"/>
      <c r="K288" s="60"/>
      <c r="L288" s="60"/>
      <c r="M288" s="60"/>
      <c r="N288" s="60"/>
      <c r="O288" s="60"/>
      <c r="P288" s="60"/>
      <c r="Q288" s="60"/>
      <c r="R288" s="60"/>
      <c r="S288" s="41"/>
      <c r="T288" s="41"/>
      <c r="U288" s="41"/>
      <c r="V288" s="41"/>
      <c r="W288" s="56"/>
      <c r="X288" s="56"/>
      <c r="Y288" s="56"/>
      <c r="Z288" s="56"/>
      <c r="AA288" s="56"/>
      <c r="AB288" s="56"/>
      <c r="AC288" s="56"/>
      <c r="AD288" s="41"/>
      <c r="AE288" s="41"/>
      <c r="AF288" s="41"/>
      <c r="AG288" s="41"/>
      <c r="AH288" s="41"/>
      <c r="AI288" s="41"/>
      <c r="AJ288" s="41"/>
      <c r="AK288" s="41"/>
      <c r="AL288" s="41"/>
      <c r="AM288" s="41"/>
      <c r="AN288" s="41"/>
      <c r="AO288" s="41"/>
    </row>
    <row r="289" spans="1:41" s="16" customFormat="1" x14ac:dyDescent="0.35">
      <c r="A289" s="17"/>
      <c r="B289" s="17"/>
      <c r="C289" s="17"/>
      <c r="D289" s="17"/>
      <c r="E289" s="17"/>
      <c r="F289" s="17"/>
      <c r="G289" s="17"/>
      <c r="H289" s="17"/>
      <c r="I289" s="17"/>
      <c r="J289" s="60"/>
      <c r="K289" s="60"/>
      <c r="L289" s="60"/>
      <c r="M289" s="60"/>
      <c r="N289" s="60"/>
      <c r="O289" s="60"/>
      <c r="P289" s="60"/>
      <c r="Q289" s="41"/>
      <c r="R289" s="41"/>
      <c r="S289" s="41"/>
      <c r="T289" s="41"/>
      <c r="U289" s="41"/>
      <c r="V289" s="41"/>
      <c r="W289" s="56"/>
      <c r="X289" s="56"/>
      <c r="Y289" s="56"/>
      <c r="Z289" s="56"/>
      <c r="AA289" s="56"/>
      <c r="AB289" s="56"/>
      <c r="AC289" s="56"/>
      <c r="AD289" s="41"/>
      <c r="AE289" s="41"/>
      <c r="AF289" s="41"/>
      <c r="AG289" s="41"/>
      <c r="AH289" s="41"/>
      <c r="AI289" s="41"/>
      <c r="AJ289" s="41"/>
      <c r="AK289" s="41"/>
      <c r="AL289" s="41"/>
      <c r="AM289" s="41"/>
      <c r="AN289" s="41"/>
      <c r="AO289" s="41"/>
    </row>
    <row r="290" spans="1:41" x14ac:dyDescent="0.35">
      <c r="A290" s="17"/>
      <c r="B290" s="1"/>
      <c r="C290" s="1"/>
      <c r="D290" s="1"/>
      <c r="E290" s="1"/>
      <c r="F290" s="1"/>
      <c r="G290" s="1"/>
      <c r="H290" s="1"/>
      <c r="I290" s="1"/>
      <c r="J290" s="60"/>
      <c r="K290" s="60"/>
      <c r="L290" s="60"/>
      <c r="M290" s="60"/>
      <c r="N290" s="60"/>
      <c r="O290" s="60"/>
      <c r="P290" s="60"/>
    </row>
  </sheetData>
  <sheetProtection algorithmName="SHA-512" hashValue="dEuOuz9Yslo9/riJL/BdhCbnNqKQlQyjUn7lR0/bRfP9j8Qqq7MjPwW2m8uv0/7xbCn9ocnbcNR4IrFqNogFPg==" saltValue="ehLclTg2xJ7Em9tPnDdtnQ==" spinCount="100000" sheet="1" objects="1" scenarios="1" formatColumns="0" formatRows="0" selectLockedCells="1"/>
  <mergeCells count="23">
    <mergeCell ref="F2:G2"/>
    <mergeCell ref="C132:D132"/>
    <mergeCell ref="E132:F132"/>
    <mergeCell ref="G132:I132"/>
    <mergeCell ref="C85:E85"/>
    <mergeCell ref="F85:I85"/>
    <mergeCell ref="D82:F82"/>
    <mergeCell ref="K5:T5"/>
    <mergeCell ref="C29:D29"/>
    <mergeCell ref="E29:F29"/>
    <mergeCell ref="G29:I29"/>
    <mergeCell ref="C4:I4"/>
    <mergeCell ref="L4:S4"/>
    <mergeCell ref="K25:L25"/>
    <mergeCell ref="K15:L15"/>
    <mergeCell ref="K20:L20"/>
    <mergeCell ref="N26:O26"/>
    <mergeCell ref="N25:O25"/>
    <mergeCell ref="N20:O20"/>
    <mergeCell ref="N21:O21"/>
    <mergeCell ref="N15:O15"/>
    <mergeCell ref="N16:O16"/>
    <mergeCell ref="K6:L6"/>
  </mergeCells>
  <phoneticPr fontId="16" type="noConversion"/>
  <conditionalFormatting sqref="C17">
    <cfRule type="expression" dxfId="279" priority="128">
      <formula>OR(C6&gt;2)</formula>
    </cfRule>
  </conditionalFormatting>
  <conditionalFormatting sqref="C18">
    <cfRule type="expression" dxfId="278" priority="126">
      <formula>OR($C$6&gt;3)</formula>
    </cfRule>
  </conditionalFormatting>
  <conditionalFormatting sqref="C19">
    <cfRule type="expression" dxfId="277" priority="125">
      <formula>OR($C$6&gt;4)</formula>
    </cfRule>
  </conditionalFormatting>
  <conditionalFormatting sqref="C20">
    <cfRule type="expression" dxfId="276" priority="124">
      <formula>OR($C$6&gt;5)</formula>
    </cfRule>
  </conditionalFormatting>
  <conditionalFormatting sqref="D16">
    <cfRule type="expression" dxfId="275" priority="122">
      <formula>OR($D$6&gt;1)</formula>
    </cfRule>
  </conditionalFormatting>
  <conditionalFormatting sqref="D18">
    <cfRule type="expression" dxfId="274" priority="121">
      <formula>OR($D$6&gt;3)</formula>
    </cfRule>
  </conditionalFormatting>
  <conditionalFormatting sqref="G16">
    <cfRule type="expression" dxfId="273" priority="112">
      <formula>OR($G$6&gt;1)</formula>
    </cfRule>
  </conditionalFormatting>
  <conditionalFormatting sqref="G17">
    <cfRule type="expression" dxfId="272" priority="111">
      <formula>OR($G$6&gt;2)</formula>
    </cfRule>
  </conditionalFormatting>
  <conditionalFormatting sqref="G18">
    <cfRule type="expression" dxfId="271" priority="110">
      <formula>OR($G$6&gt;3)</formula>
    </cfRule>
  </conditionalFormatting>
  <conditionalFormatting sqref="I16">
    <cfRule type="expression" dxfId="270" priority="109">
      <formula>OR($I$6&gt;1)</formula>
    </cfRule>
  </conditionalFormatting>
  <conditionalFormatting sqref="I17">
    <cfRule type="expression" dxfId="269" priority="108">
      <formula>OR($I$6&gt;2)</formula>
    </cfRule>
  </conditionalFormatting>
  <conditionalFormatting sqref="I18">
    <cfRule type="expression" dxfId="268" priority="107">
      <formula>OR($I$6&gt;3)</formula>
    </cfRule>
  </conditionalFormatting>
  <conditionalFormatting sqref="D19">
    <cfRule type="expression" dxfId="267" priority="106">
      <formula>OR($D$6&gt;4)</formula>
    </cfRule>
  </conditionalFormatting>
  <conditionalFormatting sqref="D20">
    <cfRule type="expression" dxfId="266" priority="105">
      <formula>OR($D$6&gt;5)</formula>
    </cfRule>
  </conditionalFormatting>
  <conditionalFormatting sqref="G19">
    <cfRule type="expression" dxfId="265" priority="100">
      <formula>OR($G$6&gt;4)</formula>
    </cfRule>
  </conditionalFormatting>
  <conditionalFormatting sqref="I19">
    <cfRule type="expression" dxfId="264" priority="98">
      <formula>OR($I$6&gt;4)</formula>
    </cfRule>
  </conditionalFormatting>
  <conditionalFormatting sqref="I20">
    <cfRule type="expression" dxfId="263" priority="97">
      <formula>OR($I$6&gt;5)</formula>
    </cfRule>
  </conditionalFormatting>
  <conditionalFormatting sqref="F16">
    <cfRule type="expression" dxfId="262" priority="96">
      <formula>OR($F$6&gt;1)</formula>
    </cfRule>
  </conditionalFormatting>
  <conditionalFormatting sqref="G20">
    <cfRule type="expression" dxfId="261" priority="95">
      <formula>OR($G$6&gt;5)</formula>
    </cfRule>
  </conditionalFormatting>
  <conditionalFormatting sqref="C31:H78">
    <cfRule type="expression" dxfId="260" priority="14">
      <formula>TEXT(C31,"@")=TEXT(C$94,"@")</formula>
    </cfRule>
    <cfRule type="expression" dxfId="259" priority="15">
      <formula>TEXT(C31,"@")=TEXT(C$95,"@")</formula>
    </cfRule>
    <cfRule type="expression" dxfId="258" priority="16">
      <formula>TEXT(C31,"@")=TEXT(C$96,"@")</formula>
    </cfRule>
    <cfRule type="expression" dxfId="257" priority="17">
      <formula>TEXT(C31,"@")=TEXT(C$97,"@")</formula>
    </cfRule>
    <cfRule type="expression" dxfId="256" priority="18">
      <formula>TEXT(C31,"@")=TEXT(C$98,"@")</formula>
    </cfRule>
    <cfRule type="expression" dxfId="255" priority="19">
      <formula>TEXT(C31,"@")=TEXT(C$99,"@")</formula>
    </cfRule>
    <cfRule type="expression" dxfId="254" priority="21">
      <formula>TEXT(C31,"@")=TEXT(C$100,"@")</formula>
    </cfRule>
  </conditionalFormatting>
  <conditionalFormatting sqref="I21">
    <cfRule type="expression" dxfId="253" priority="76">
      <formula>OR($I$6&gt;6)</formula>
    </cfRule>
  </conditionalFormatting>
  <conditionalFormatting sqref="I22">
    <cfRule type="expression" dxfId="252" priority="75">
      <formula>OR($I$6&gt;7)</formula>
    </cfRule>
  </conditionalFormatting>
  <conditionalFormatting sqref="I23">
    <cfRule type="expression" dxfId="251" priority="74">
      <formula>OR($I$6&gt;8)</formula>
    </cfRule>
  </conditionalFormatting>
  <conditionalFormatting sqref="I24">
    <cfRule type="expression" dxfId="250" priority="73">
      <formula>OR($I$6&gt;9)</formula>
    </cfRule>
  </conditionalFormatting>
  <conditionalFormatting sqref="I25">
    <cfRule type="expression" dxfId="249" priority="72">
      <formula>OR($I$6&gt;10)</formula>
    </cfRule>
  </conditionalFormatting>
  <conditionalFormatting sqref="I26">
    <cfRule type="expression" dxfId="248" priority="71">
      <formula>OR($I$6&gt;11)</formula>
    </cfRule>
  </conditionalFormatting>
  <conditionalFormatting sqref="H16">
    <cfRule type="expression" dxfId="247" priority="70">
      <formula>OR($H$6&gt;1)</formula>
    </cfRule>
  </conditionalFormatting>
  <conditionalFormatting sqref="H17">
    <cfRule type="expression" dxfId="246" priority="69">
      <formula>OR($H$6&gt;2)</formula>
    </cfRule>
  </conditionalFormatting>
  <conditionalFormatting sqref="H18">
    <cfRule type="expression" dxfId="245" priority="68">
      <formula>OR($H$6&gt;3)</formula>
    </cfRule>
  </conditionalFormatting>
  <conditionalFormatting sqref="H19">
    <cfRule type="expression" dxfId="244" priority="67">
      <formula>OR($H$6&gt;4)</formula>
    </cfRule>
  </conditionalFormatting>
  <conditionalFormatting sqref="H20">
    <cfRule type="expression" dxfId="243" priority="66">
      <formula>OR($H$6&gt;5)</formula>
    </cfRule>
  </conditionalFormatting>
  <conditionalFormatting sqref="I31:I78">
    <cfRule type="colorScale" priority="130">
      <colorScale>
        <cfvo type="num" val="$J$15"/>
        <cfvo type="num" val="$J$18"/>
        <cfvo type="num" val="$J$19"/>
        <color theme="0"/>
        <color rgb="FF3C69BA"/>
        <color theme="4" tint="-0.249977111117893"/>
      </colorScale>
    </cfRule>
  </conditionalFormatting>
  <conditionalFormatting sqref="K5">
    <cfRule type="containsText" dxfId="242" priority="52" operator="containsText" text="variable">
      <formula>NOT(ISERROR(SEARCH("variable",K5)))</formula>
    </cfRule>
  </conditionalFormatting>
  <conditionalFormatting sqref="C6:I6">
    <cfRule type="cellIs" dxfId="241" priority="51" operator="notEqual">
      <formula>1</formula>
    </cfRule>
  </conditionalFormatting>
  <conditionalFormatting sqref="C7:I7">
    <cfRule type="expression" dxfId="240" priority="48">
      <formula>"$C$3&lt;&gt;1"</formula>
    </cfRule>
  </conditionalFormatting>
  <conditionalFormatting sqref="K5">
    <cfRule type="cellIs" dxfId="239" priority="47" operator="notEqual">
      <formula>0</formula>
    </cfRule>
  </conditionalFormatting>
  <conditionalFormatting sqref="A6">
    <cfRule type="cellIs" dxfId="238" priority="45" operator="equal">
      <formula>"→"</formula>
    </cfRule>
  </conditionalFormatting>
  <conditionalFormatting sqref="A7">
    <cfRule type="cellIs" dxfId="237" priority="44" operator="equal">
      <formula>"→"</formula>
    </cfRule>
  </conditionalFormatting>
  <conditionalFormatting sqref="A8">
    <cfRule type="cellIs" dxfId="236" priority="43" operator="equal">
      <formula>"→"</formula>
    </cfRule>
  </conditionalFormatting>
  <conditionalFormatting sqref="E19">
    <cfRule type="expression" dxfId="235" priority="131">
      <formula>OR($R$15&gt;4)</formula>
    </cfRule>
  </conditionalFormatting>
  <conditionalFormatting sqref="E20">
    <cfRule type="expression" dxfId="234" priority="41">
      <formula>OR($R$15&gt;5)</formula>
    </cfRule>
  </conditionalFormatting>
  <conditionalFormatting sqref="E17">
    <cfRule type="expression" dxfId="233" priority="40">
      <formula>OR(R15&gt;2)</formula>
    </cfRule>
  </conditionalFormatting>
  <conditionalFormatting sqref="E18">
    <cfRule type="expression" dxfId="232" priority="39">
      <formula>OR($R$15&gt;3)</formula>
    </cfRule>
  </conditionalFormatting>
  <conditionalFormatting sqref="C16">
    <cfRule type="expression" dxfId="231" priority="36">
      <formula>OR(C6&gt;1)</formula>
    </cfRule>
  </conditionalFormatting>
  <conditionalFormatting sqref="E16">
    <cfRule type="expression" dxfId="230" priority="133">
      <formula>OR(R15&gt;1)</formula>
    </cfRule>
  </conditionalFormatting>
  <conditionalFormatting sqref="C31:H78">
    <cfRule type="expression" dxfId="229" priority="22">
      <formula>TEXT(C31,"@")=TEXT(C$101,"@")</formula>
    </cfRule>
  </conditionalFormatting>
  <conditionalFormatting sqref="E6:E27">
    <cfRule type="expression" dxfId="228" priority="37">
      <formula>$H$2="Yes"</formula>
    </cfRule>
  </conditionalFormatting>
  <conditionalFormatting sqref="C4:I4">
    <cfRule type="containsText" dxfId="227" priority="7" operator="containsText" text="ERROR">
      <formula>NOT(ISERROR(SEARCH("ERROR",C4)))</formula>
    </cfRule>
  </conditionalFormatting>
  <conditionalFormatting sqref="F17">
    <cfRule type="expression" dxfId="226" priority="6">
      <formula>OR($F$6&gt;2)</formula>
    </cfRule>
  </conditionalFormatting>
  <conditionalFormatting sqref="F18">
    <cfRule type="expression" dxfId="225" priority="5">
      <formula>OR($F$6&gt;3)</formula>
    </cfRule>
  </conditionalFormatting>
  <conditionalFormatting sqref="F19">
    <cfRule type="expression" dxfId="224" priority="4">
      <formula>OR($F$6&gt;4)</formula>
    </cfRule>
  </conditionalFormatting>
  <conditionalFormatting sqref="F20">
    <cfRule type="expression" dxfId="223" priority="3">
      <formula>OR($F$6&gt;5)</formula>
    </cfRule>
  </conditionalFormatting>
  <conditionalFormatting sqref="D17">
    <cfRule type="expression" dxfId="222" priority="2">
      <formula>OR($D$6&gt;2)</formula>
    </cfRule>
  </conditionalFormatting>
  <conditionalFormatting sqref="A2:B2">
    <cfRule type="cellIs" dxfId="221" priority="1" operator="notEqual">
      <formula>1</formula>
    </cfRule>
  </conditionalFormatting>
  <dataValidations disablePrompts="1" count="1">
    <dataValidation type="list" allowBlank="1" showInputMessage="1" showErrorMessage="1" sqref="H2" xr:uid="{2FF4BB31-8869-4529-A2F8-77F889FBCC01}">
      <formula1>$V$14:$W$14</formula1>
    </dataValidation>
  </dataValidations>
  <hyperlinks>
    <hyperlink ref="F85" r:id="rId1" xr:uid="{41AD1D4B-437A-4E60-AD8D-9E2CDF7A899E}"/>
  </hyperlinks>
  <pageMargins left="0.25" right="0.25" top="0.75" bottom="0.75" header="0.3" footer="0.3"/>
  <pageSetup scale="38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Reset">
                <anchor moveWithCells="1" sizeWithCells="1">
                  <from>
                    <xdr:col>2</xdr:col>
                    <xdr:colOff>1200150</xdr:colOff>
                    <xdr:row>0</xdr:row>
                    <xdr:rowOff>438150</xdr:rowOff>
                  </from>
                  <to>
                    <xdr:col>4</xdr:col>
                    <xdr:colOff>1876425</xdr:colOff>
                    <xdr:row>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DD637C-F70E-44F2-8C4B-1F638C430209}">
  <sheetPr codeName="Sheet4"/>
  <dimension ref="B1:DQ205"/>
  <sheetViews>
    <sheetView zoomScale="80" zoomScaleNormal="80" workbookViewId="0">
      <selection activeCell="V15" sqref="V15"/>
    </sheetView>
  </sheetViews>
  <sheetFormatPr defaultColWidth="8.7109375" defaultRowHeight="15" x14ac:dyDescent="0.25"/>
  <cols>
    <col min="1" max="1" width="3.85546875" customWidth="1"/>
    <col min="2" max="2" width="3.7109375" bestFit="1" customWidth="1"/>
    <col min="3" max="3" width="26" bestFit="1" customWidth="1"/>
    <col min="4" max="4" width="11.85546875" customWidth="1"/>
    <col min="5" max="5" width="12.7109375" customWidth="1"/>
    <col min="6" max="6" width="11.85546875" customWidth="1"/>
    <col min="7" max="7" width="8.42578125" customWidth="1"/>
    <col min="8" max="10" width="16.42578125" customWidth="1"/>
    <col min="11" max="11" width="19.85546875" customWidth="1"/>
    <col min="12" max="12" width="21.7109375" customWidth="1"/>
  </cols>
  <sheetData>
    <row r="1" spans="2:121" ht="15.75" thickBot="1" x14ac:dyDescent="0.3">
      <c r="N1" s="220"/>
      <c r="O1" s="220"/>
      <c r="P1" s="220"/>
      <c r="Q1" s="220"/>
      <c r="R1" s="220"/>
      <c r="S1" s="220"/>
      <c r="T1" s="220"/>
      <c r="U1" s="220"/>
      <c r="V1" s="220"/>
      <c r="W1" s="220"/>
      <c r="X1" s="220"/>
      <c r="Y1" s="220"/>
      <c r="Z1" s="220"/>
      <c r="AA1" s="220"/>
      <c r="AB1" s="220"/>
      <c r="AC1" s="220"/>
      <c r="AD1" s="220"/>
      <c r="AE1" s="220"/>
      <c r="AF1" s="220"/>
      <c r="AG1" s="220"/>
      <c r="AH1" s="220"/>
      <c r="AI1" s="220"/>
      <c r="AJ1" s="220"/>
      <c r="AK1" s="220"/>
      <c r="AL1" s="220"/>
      <c r="AM1" s="220"/>
      <c r="AN1" s="220"/>
      <c r="AO1" s="220"/>
      <c r="AP1" s="220"/>
      <c r="AQ1" s="220"/>
      <c r="AR1" s="220"/>
      <c r="AS1" s="220"/>
      <c r="AT1" s="220"/>
      <c r="AU1" s="220"/>
      <c r="AV1" s="220"/>
      <c r="AW1" s="220"/>
      <c r="AX1" s="220"/>
      <c r="AY1" s="220"/>
      <c r="AZ1" s="220"/>
      <c r="BA1" s="220"/>
      <c r="BB1" s="220"/>
      <c r="BC1" s="220"/>
      <c r="BD1" s="220"/>
      <c r="BE1" s="220"/>
      <c r="BF1" s="220"/>
      <c r="BG1" s="220"/>
      <c r="BH1" s="220"/>
      <c r="BI1" s="220"/>
      <c r="BJ1" s="220"/>
      <c r="BK1" s="220"/>
      <c r="BL1" s="220"/>
      <c r="BM1" s="220"/>
      <c r="BN1" s="220"/>
      <c r="BO1" s="220"/>
      <c r="BP1" s="220"/>
      <c r="BQ1" s="220"/>
      <c r="BR1" s="220"/>
      <c r="BS1" s="220"/>
      <c r="BT1" s="220"/>
      <c r="BU1" s="220"/>
      <c r="BV1" s="220"/>
      <c r="BW1" s="220"/>
      <c r="BX1" s="220"/>
      <c r="BY1" s="220"/>
      <c r="BZ1" s="220"/>
      <c r="CA1" s="220"/>
      <c r="CB1" s="220"/>
      <c r="CC1" s="220"/>
      <c r="CD1" s="220"/>
      <c r="CE1" s="220"/>
      <c r="CF1" s="220"/>
      <c r="CG1" s="220"/>
      <c r="CH1" s="220"/>
      <c r="CI1" s="220"/>
      <c r="CJ1" s="220"/>
      <c r="CK1" s="220"/>
      <c r="CL1" s="220"/>
      <c r="CM1" s="220"/>
      <c r="CN1" s="220"/>
      <c r="CO1" s="220"/>
      <c r="CP1" s="220"/>
      <c r="CQ1" s="220"/>
      <c r="CR1" s="220"/>
      <c r="CS1" s="220"/>
      <c r="CT1" s="220"/>
      <c r="CU1" s="220"/>
      <c r="CV1" s="220"/>
      <c r="CW1" s="220"/>
      <c r="CX1" s="220"/>
      <c r="CY1" s="220"/>
      <c r="CZ1" s="220"/>
      <c r="DA1" s="220"/>
      <c r="DB1" s="220"/>
      <c r="DC1" s="220"/>
      <c r="DD1" s="220"/>
      <c r="DE1" s="220"/>
      <c r="DF1" s="220"/>
      <c r="DG1" s="220"/>
      <c r="DH1" s="220"/>
      <c r="DI1" s="220"/>
      <c r="DJ1" s="220"/>
      <c r="DK1" s="220"/>
      <c r="DL1" s="220"/>
      <c r="DM1" s="220"/>
      <c r="DN1" s="220"/>
      <c r="DO1" s="220"/>
      <c r="DP1" s="220"/>
      <c r="DQ1" s="220"/>
    </row>
    <row r="2" spans="2:121" ht="19.5" thickBot="1" x14ac:dyDescent="0.3">
      <c r="C2" s="5" t="s">
        <v>2</v>
      </c>
      <c r="D2" s="6"/>
      <c r="E2" s="6"/>
      <c r="F2" s="6"/>
      <c r="G2" s="7"/>
      <c r="H2" s="8" t="s">
        <v>10</v>
      </c>
      <c r="I2" s="7"/>
      <c r="J2" s="8" t="s">
        <v>11</v>
      </c>
      <c r="K2" s="7"/>
      <c r="L2" s="9" t="s">
        <v>7</v>
      </c>
      <c r="N2" s="220"/>
      <c r="O2" s="220"/>
      <c r="P2" s="220"/>
      <c r="Q2" s="220"/>
      <c r="R2" s="220"/>
      <c r="S2" s="220"/>
      <c r="T2" s="220"/>
      <c r="U2" s="220"/>
      <c r="V2" s="220"/>
      <c r="W2" s="220"/>
      <c r="X2" s="220"/>
      <c r="Y2" s="220"/>
      <c r="Z2" s="220"/>
      <c r="AA2" s="220"/>
      <c r="AB2" s="220"/>
      <c r="AC2" s="220"/>
      <c r="AD2" s="220"/>
      <c r="AE2" s="220"/>
      <c r="AF2" s="220"/>
      <c r="AG2" s="220"/>
      <c r="AH2" s="220"/>
      <c r="AI2" s="220"/>
      <c r="AJ2" s="220"/>
      <c r="AK2" s="220"/>
      <c r="AL2" s="220"/>
      <c r="AM2" s="220"/>
      <c r="AN2" s="220"/>
      <c r="AO2" s="220"/>
      <c r="AP2" s="220"/>
      <c r="AQ2" s="220"/>
      <c r="AR2" s="220"/>
      <c r="AS2" s="220"/>
      <c r="AT2" s="220"/>
      <c r="AU2" s="220"/>
      <c r="AV2" s="220"/>
      <c r="AW2" s="220"/>
      <c r="AX2" s="220"/>
      <c r="AY2" s="220"/>
      <c r="AZ2" s="220"/>
      <c r="BA2" s="220"/>
      <c r="BB2" s="220"/>
      <c r="BC2" s="220"/>
      <c r="BD2" s="220"/>
      <c r="BE2" s="220"/>
      <c r="BF2" s="220"/>
      <c r="BG2" s="220"/>
      <c r="BH2" s="220"/>
      <c r="BI2" s="220"/>
      <c r="BJ2" s="220"/>
      <c r="BK2" s="220"/>
      <c r="BL2" s="220"/>
      <c r="BM2" s="220"/>
      <c r="BN2" s="220"/>
      <c r="BO2" s="220"/>
      <c r="BP2" s="220"/>
      <c r="BQ2" s="220"/>
      <c r="BR2" s="220"/>
      <c r="BS2" s="220"/>
      <c r="BT2" s="220"/>
      <c r="BU2" s="220"/>
      <c r="BV2" s="220"/>
      <c r="BW2" s="220"/>
      <c r="BX2" s="220"/>
      <c r="BY2" s="220"/>
      <c r="BZ2" s="220"/>
      <c r="CA2" s="220"/>
      <c r="CB2" s="220"/>
      <c r="CC2" s="220"/>
      <c r="CD2" s="220"/>
      <c r="CE2" s="220"/>
      <c r="CF2" s="220"/>
      <c r="CG2" s="220"/>
      <c r="CH2" s="220"/>
      <c r="CI2" s="220"/>
      <c r="CJ2" s="220"/>
      <c r="CK2" s="220"/>
      <c r="CL2" s="220"/>
      <c r="CM2" s="220"/>
      <c r="CN2" s="220"/>
      <c r="CO2" s="220"/>
      <c r="CP2" s="220"/>
      <c r="CQ2" s="220"/>
      <c r="CR2" s="220"/>
      <c r="CS2" s="220"/>
      <c r="CT2" s="220"/>
      <c r="CU2" s="220"/>
      <c r="CV2" s="220"/>
      <c r="CW2" s="220"/>
      <c r="CX2" s="220"/>
      <c r="CY2" s="220"/>
      <c r="CZ2" s="220"/>
      <c r="DA2" s="220"/>
      <c r="DB2" s="220"/>
      <c r="DC2" s="220"/>
      <c r="DD2" s="220"/>
      <c r="DE2" s="220"/>
      <c r="DF2" s="220"/>
      <c r="DG2" s="220"/>
      <c r="DH2" s="220"/>
      <c r="DI2" s="220"/>
      <c r="DJ2" s="220"/>
      <c r="DK2" s="220"/>
      <c r="DL2" s="220"/>
      <c r="DM2" s="220"/>
      <c r="DN2" s="220"/>
      <c r="DO2" s="220"/>
      <c r="DP2" s="220"/>
      <c r="DQ2" s="220"/>
    </row>
    <row r="3" spans="2:121" ht="39" customHeight="1" x14ac:dyDescent="0.25">
      <c r="B3" s="10"/>
      <c r="C3" s="11" t="s">
        <v>16</v>
      </c>
      <c r="D3" s="11" t="s">
        <v>12</v>
      </c>
      <c r="E3" s="11" t="s">
        <v>13</v>
      </c>
      <c r="F3" s="11" t="s">
        <v>14</v>
      </c>
      <c r="G3" s="11" t="s">
        <v>15</v>
      </c>
      <c r="H3" s="11" t="s">
        <v>16</v>
      </c>
      <c r="I3" s="11" t="s">
        <v>4</v>
      </c>
      <c r="J3" s="11" t="s">
        <v>16</v>
      </c>
      <c r="K3" s="11" t="s">
        <v>4</v>
      </c>
      <c r="L3" s="12" t="s">
        <v>5</v>
      </c>
      <c r="N3" s="220"/>
      <c r="O3" s="220"/>
      <c r="P3" s="220"/>
      <c r="Q3" s="220"/>
      <c r="R3" s="220"/>
      <c r="S3" s="220"/>
      <c r="T3" s="220"/>
      <c r="U3" s="220"/>
      <c r="V3" s="220"/>
      <c r="W3" s="220"/>
      <c r="X3" s="220"/>
      <c r="Y3" s="220"/>
      <c r="Z3" s="220"/>
      <c r="AA3" s="220"/>
      <c r="AB3" s="220"/>
      <c r="AC3" s="220"/>
      <c r="AD3" s="220"/>
      <c r="AE3" s="220"/>
      <c r="AF3" s="220"/>
      <c r="AG3" s="220"/>
      <c r="AH3" s="220"/>
      <c r="AI3" s="220"/>
      <c r="AJ3" s="220"/>
      <c r="AK3" s="220"/>
      <c r="AL3" s="220"/>
      <c r="AM3" s="220"/>
      <c r="AN3" s="220"/>
      <c r="AO3" s="220"/>
      <c r="AP3" s="220"/>
      <c r="AQ3" s="220"/>
      <c r="AR3" s="220"/>
      <c r="AS3" s="220"/>
      <c r="AT3" s="220"/>
      <c r="AU3" s="220"/>
      <c r="AV3" s="220"/>
      <c r="AW3" s="220"/>
      <c r="AX3" s="220"/>
      <c r="AY3" s="220"/>
      <c r="AZ3" s="220"/>
      <c r="BA3" s="220"/>
      <c r="BB3" s="220"/>
      <c r="BC3" s="220"/>
      <c r="BD3" s="220"/>
      <c r="BE3" s="220"/>
      <c r="BF3" s="220"/>
      <c r="BG3" s="220"/>
      <c r="BH3" s="220"/>
      <c r="BI3" s="220"/>
      <c r="BJ3" s="220"/>
      <c r="BK3" s="220"/>
      <c r="BL3" s="220"/>
      <c r="BM3" s="220"/>
      <c r="BN3" s="220"/>
      <c r="BO3" s="220"/>
      <c r="BP3" s="220"/>
      <c r="BQ3" s="220"/>
      <c r="BR3" s="220"/>
      <c r="BS3" s="220"/>
      <c r="BT3" s="220"/>
      <c r="BU3" s="220"/>
      <c r="BV3" s="220"/>
      <c r="BW3" s="220"/>
      <c r="BX3" s="220"/>
      <c r="BY3" s="220"/>
      <c r="BZ3" s="220"/>
      <c r="CA3" s="220"/>
      <c r="CB3" s="220"/>
      <c r="CC3" s="220"/>
      <c r="CD3" s="220"/>
      <c r="CE3" s="220"/>
      <c r="CF3" s="220"/>
      <c r="CG3" s="220"/>
      <c r="CH3" s="220"/>
      <c r="CI3" s="220"/>
      <c r="CJ3" s="220"/>
      <c r="CK3" s="220"/>
      <c r="CL3" s="220"/>
      <c r="CM3" s="220"/>
      <c r="CN3" s="220"/>
      <c r="CO3" s="220"/>
      <c r="CP3" s="220"/>
      <c r="CQ3" s="220"/>
      <c r="CR3" s="220"/>
      <c r="CS3" s="220"/>
      <c r="CT3" s="220"/>
      <c r="CU3" s="220"/>
      <c r="CV3" s="220"/>
      <c r="CW3" s="220"/>
      <c r="CX3" s="220"/>
      <c r="CY3" s="220"/>
      <c r="CZ3" s="220"/>
      <c r="DA3" s="220"/>
      <c r="DB3" s="220"/>
      <c r="DC3" s="220"/>
      <c r="DD3" s="220"/>
      <c r="DE3" s="220"/>
      <c r="DF3" s="220"/>
      <c r="DG3" s="220"/>
      <c r="DH3" s="220"/>
      <c r="DI3" s="220"/>
      <c r="DJ3" s="220"/>
      <c r="DK3" s="220"/>
      <c r="DL3" s="220"/>
      <c r="DM3" s="220"/>
      <c r="DN3" s="220"/>
      <c r="DO3" s="220"/>
      <c r="DP3" s="220"/>
      <c r="DQ3" s="220"/>
    </row>
    <row r="4" spans="2:121" ht="15.75" x14ac:dyDescent="0.25">
      <c r="B4" s="13">
        <v>1</v>
      </c>
      <c r="C4" s="15" t="str">
        <f>Create!H31</f>
        <v>Standard</v>
      </c>
      <c r="D4" s="15">
        <v>1</v>
      </c>
      <c r="E4" s="15"/>
      <c r="F4" s="15">
        <f>Create!I31</f>
        <v>0</v>
      </c>
      <c r="G4" s="15"/>
      <c r="H4" s="15" t="str">
        <f>Create!C31</f>
        <v>Ab1-Dig</v>
      </c>
      <c r="I4" s="78">
        <f>Create!D31</f>
        <v>10</v>
      </c>
      <c r="J4" s="15" t="str">
        <f>Create!E31</f>
        <v>Ab1-Biot</v>
      </c>
      <c r="K4" s="78">
        <f>Create!F31</f>
        <v>10</v>
      </c>
      <c r="L4" s="79" t="str">
        <f>Create!G31</f>
        <v>1xRD</v>
      </c>
      <c r="N4" s="220"/>
      <c r="O4" s="220"/>
      <c r="P4" s="220"/>
      <c r="Q4" s="220"/>
      <c r="R4" s="220"/>
      <c r="S4" s="220"/>
      <c r="T4" s="220"/>
      <c r="U4" s="220"/>
      <c r="V4" s="220"/>
      <c r="W4" s="220"/>
      <c r="X4" s="220"/>
      <c r="Y4" s="220"/>
      <c r="Z4" s="220"/>
      <c r="AA4" s="220"/>
      <c r="AB4" s="220"/>
      <c r="AC4" s="220"/>
      <c r="AD4" s="220"/>
      <c r="AE4" s="220"/>
      <c r="AF4" s="220"/>
      <c r="AG4" s="220"/>
      <c r="AH4" s="220"/>
      <c r="AI4" s="220"/>
      <c r="AJ4" s="220"/>
      <c r="AK4" s="220"/>
      <c r="AL4" s="220"/>
      <c r="AM4" s="220"/>
      <c r="AN4" s="220"/>
      <c r="AO4" s="220"/>
      <c r="AP4" s="220"/>
      <c r="AQ4" s="220"/>
      <c r="AR4" s="220"/>
      <c r="AS4" s="220"/>
      <c r="AT4" s="220"/>
      <c r="AU4" s="220"/>
      <c r="AV4" s="220"/>
      <c r="AW4" s="220"/>
      <c r="AX4" s="220"/>
      <c r="AY4" s="220"/>
      <c r="AZ4" s="220"/>
      <c r="BA4" s="220"/>
      <c r="BB4" s="220"/>
      <c r="BC4" s="220"/>
      <c r="BD4" s="220"/>
      <c r="BE4" s="220"/>
      <c r="BF4" s="220"/>
      <c r="BG4" s="220"/>
      <c r="BH4" s="220"/>
      <c r="BI4" s="220"/>
      <c r="BJ4" s="220"/>
      <c r="BK4" s="220"/>
      <c r="BL4" s="220"/>
      <c r="BM4" s="220"/>
      <c r="BN4" s="220"/>
      <c r="BO4" s="220"/>
      <c r="BP4" s="220"/>
      <c r="BQ4" s="220"/>
      <c r="BR4" s="220"/>
      <c r="BS4" s="220"/>
      <c r="BT4" s="220"/>
      <c r="BU4" s="220"/>
      <c r="BV4" s="220"/>
      <c r="BW4" s="220"/>
      <c r="BX4" s="220"/>
      <c r="BY4" s="220"/>
      <c r="BZ4" s="220"/>
      <c r="CA4" s="220"/>
      <c r="CB4" s="220"/>
      <c r="CC4" s="220"/>
      <c r="CD4" s="220"/>
      <c r="CE4" s="220"/>
      <c r="CF4" s="220"/>
      <c r="CG4" s="220"/>
      <c r="CH4" s="220"/>
      <c r="CI4" s="220"/>
      <c r="CJ4" s="220"/>
      <c r="CK4" s="220"/>
      <c r="CL4" s="220"/>
      <c r="CM4" s="220"/>
      <c r="CN4" s="220"/>
      <c r="CO4" s="220"/>
      <c r="CP4" s="220"/>
      <c r="CQ4" s="220"/>
      <c r="CR4" s="220"/>
      <c r="CS4" s="220"/>
      <c r="CT4" s="220"/>
      <c r="CU4" s="220"/>
      <c r="CV4" s="220"/>
      <c r="CW4" s="220"/>
      <c r="CX4" s="220"/>
      <c r="CY4" s="220"/>
      <c r="CZ4" s="220"/>
      <c r="DA4" s="220"/>
      <c r="DB4" s="220"/>
      <c r="DC4" s="220"/>
      <c r="DD4" s="220"/>
      <c r="DE4" s="220"/>
      <c r="DF4" s="220"/>
      <c r="DG4" s="220"/>
      <c r="DH4" s="220"/>
      <c r="DI4" s="220"/>
      <c r="DJ4" s="220"/>
      <c r="DK4" s="220"/>
      <c r="DL4" s="220"/>
      <c r="DM4" s="220"/>
      <c r="DN4" s="220"/>
      <c r="DO4" s="220"/>
      <c r="DP4" s="220"/>
      <c r="DQ4" s="220"/>
    </row>
    <row r="5" spans="2:121" ht="15.75" x14ac:dyDescent="0.25">
      <c r="B5" s="13">
        <v>2</v>
      </c>
      <c r="C5" s="15" t="str">
        <f>Create!H32</f>
        <v>Standard</v>
      </c>
      <c r="D5" s="15">
        <v>1</v>
      </c>
      <c r="E5" s="15"/>
      <c r="F5" s="15">
        <f>Create!I32</f>
        <v>100</v>
      </c>
      <c r="G5" s="15"/>
      <c r="H5" s="15" t="str">
        <f>Create!C32</f>
        <v>Ab1-Dig</v>
      </c>
      <c r="I5" s="78">
        <f>Create!D32</f>
        <v>10</v>
      </c>
      <c r="J5" s="15" t="str">
        <f>Create!E32</f>
        <v>Ab1-Biot</v>
      </c>
      <c r="K5" s="78">
        <f>Create!F32</f>
        <v>10</v>
      </c>
      <c r="L5" s="79" t="str">
        <f>Create!G32</f>
        <v>1xRD</v>
      </c>
      <c r="N5" s="220"/>
      <c r="O5" s="220"/>
      <c r="P5" s="220"/>
      <c r="Q5" s="220"/>
      <c r="R5" s="220"/>
      <c r="S5" s="220"/>
      <c r="T5" s="220"/>
      <c r="U5" s="220"/>
      <c r="V5" s="220"/>
      <c r="W5" s="220"/>
      <c r="X5" s="220"/>
      <c r="Y5" s="220"/>
      <c r="Z5" s="220"/>
      <c r="AA5" s="220"/>
      <c r="AB5" s="220"/>
      <c r="AC5" s="220"/>
      <c r="AD5" s="220"/>
      <c r="AE5" s="220"/>
      <c r="AF5" s="220"/>
      <c r="AG5" s="220"/>
      <c r="AH5" s="220"/>
      <c r="AI5" s="220"/>
      <c r="AJ5" s="220"/>
      <c r="AK5" s="220"/>
      <c r="AL5" s="220"/>
      <c r="AM5" s="220"/>
      <c r="AN5" s="220"/>
      <c r="AO5" s="220"/>
      <c r="AP5" s="220"/>
      <c r="AQ5" s="220"/>
      <c r="AR5" s="220"/>
      <c r="AS5" s="220"/>
      <c r="AT5" s="220"/>
      <c r="AU5" s="220"/>
      <c r="AV5" s="220"/>
      <c r="AW5" s="220"/>
      <c r="AX5" s="220"/>
      <c r="AY5" s="220"/>
      <c r="AZ5" s="220"/>
      <c r="BA5" s="220"/>
      <c r="BB5" s="220"/>
      <c r="BC5" s="220"/>
      <c r="BD5" s="220"/>
      <c r="BE5" s="220"/>
      <c r="BF5" s="220"/>
      <c r="BG5" s="220"/>
      <c r="BH5" s="220"/>
      <c r="BI5" s="220"/>
      <c r="BJ5" s="220"/>
      <c r="BK5" s="220"/>
      <c r="BL5" s="220"/>
      <c r="BM5" s="220"/>
      <c r="BN5" s="220"/>
      <c r="BO5" s="220"/>
      <c r="BP5" s="220"/>
      <c r="BQ5" s="220"/>
      <c r="BR5" s="220"/>
      <c r="BS5" s="220"/>
      <c r="BT5" s="220"/>
      <c r="BU5" s="220"/>
      <c r="BV5" s="220"/>
      <c r="BW5" s="220"/>
      <c r="BX5" s="220"/>
      <c r="BY5" s="220"/>
      <c r="BZ5" s="220"/>
      <c r="CA5" s="220"/>
      <c r="CB5" s="220"/>
      <c r="CC5" s="220"/>
      <c r="CD5" s="220"/>
      <c r="CE5" s="220"/>
      <c r="CF5" s="220"/>
      <c r="CG5" s="220"/>
      <c r="CH5" s="220"/>
      <c r="CI5" s="220"/>
      <c r="CJ5" s="220"/>
      <c r="CK5" s="220"/>
      <c r="CL5" s="220"/>
      <c r="CM5" s="220"/>
      <c r="CN5" s="220"/>
      <c r="CO5" s="220"/>
      <c r="CP5" s="220"/>
      <c r="CQ5" s="220"/>
      <c r="CR5" s="220"/>
      <c r="CS5" s="220"/>
      <c r="CT5" s="220"/>
      <c r="CU5" s="220"/>
      <c r="CV5" s="220"/>
      <c r="CW5" s="220"/>
      <c r="CX5" s="220"/>
      <c r="CY5" s="220"/>
      <c r="CZ5" s="220"/>
      <c r="DA5" s="220"/>
      <c r="DB5" s="220"/>
      <c r="DC5" s="220"/>
      <c r="DD5" s="220"/>
      <c r="DE5" s="220"/>
      <c r="DF5" s="220"/>
      <c r="DG5" s="220"/>
      <c r="DH5" s="220"/>
      <c r="DI5" s="220"/>
      <c r="DJ5" s="220"/>
      <c r="DK5" s="220"/>
      <c r="DL5" s="220"/>
      <c r="DM5" s="220"/>
      <c r="DN5" s="220"/>
      <c r="DO5" s="220"/>
      <c r="DP5" s="220"/>
      <c r="DQ5" s="220"/>
    </row>
    <row r="6" spans="2:121" ht="15.75" x14ac:dyDescent="0.25">
      <c r="B6" s="13">
        <v>3</v>
      </c>
      <c r="C6" s="15" t="str">
        <f>Create!H33</f>
        <v>Standard</v>
      </c>
      <c r="D6" s="15">
        <v>1</v>
      </c>
      <c r="E6" s="15"/>
      <c r="F6" s="15">
        <f>Create!I33</f>
        <v>46.415888336127786</v>
      </c>
      <c r="G6" s="15"/>
      <c r="H6" s="15" t="str">
        <f>Create!C33</f>
        <v>Ab1-Dig</v>
      </c>
      <c r="I6" s="78">
        <f>Create!D33</f>
        <v>10</v>
      </c>
      <c r="J6" s="15" t="str">
        <f>Create!E33</f>
        <v>Ab1-Biot</v>
      </c>
      <c r="K6" s="78">
        <f>Create!F33</f>
        <v>10</v>
      </c>
      <c r="L6" s="79" t="str">
        <f>Create!G33</f>
        <v>1xRD</v>
      </c>
      <c r="N6" s="220"/>
      <c r="O6" s="220"/>
      <c r="P6" s="220"/>
      <c r="Q6" s="220"/>
      <c r="R6" s="220"/>
      <c r="S6" s="220"/>
      <c r="T6" s="220"/>
      <c r="U6" s="220"/>
      <c r="V6" s="220"/>
      <c r="W6" s="220"/>
      <c r="X6" s="220"/>
      <c r="Y6" s="220"/>
      <c r="Z6" s="220"/>
      <c r="AA6" s="220"/>
      <c r="AB6" s="220"/>
      <c r="AC6" s="220"/>
      <c r="AD6" s="220"/>
      <c r="AE6" s="220"/>
      <c r="AF6" s="220"/>
      <c r="AG6" s="220"/>
      <c r="AH6" s="220"/>
      <c r="AI6" s="220"/>
      <c r="AJ6" s="220"/>
      <c r="AK6" s="220"/>
      <c r="AL6" s="220"/>
      <c r="AM6" s="220"/>
      <c r="AN6" s="220"/>
      <c r="AO6" s="220"/>
      <c r="AP6" s="220"/>
      <c r="AQ6" s="220"/>
      <c r="AR6" s="220"/>
      <c r="AS6" s="220"/>
      <c r="AT6" s="220"/>
      <c r="AU6" s="220"/>
      <c r="AV6" s="220"/>
      <c r="AW6" s="220"/>
      <c r="AX6" s="220"/>
      <c r="AY6" s="220"/>
      <c r="AZ6" s="220"/>
      <c r="BA6" s="220"/>
      <c r="BB6" s="220"/>
      <c r="BC6" s="220"/>
      <c r="BD6" s="220"/>
      <c r="BE6" s="220"/>
      <c r="BF6" s="220"/>
      <c r="BG6" s="220"/>
      <c r="BH6" s="220"/>
      <c r="BI6" s="220"/>
      <c r="BJ6" s="220"/>
      <c r="BK6" s="220"/>
      <c r="BL6" s="220"/>
      <c r="BM6" s="220"/>
      <c r="BN6" s="220"/>
      <c r="BO6" s="220"/>
      <c r="BP6" s="220"/>
      <c r="BQ6" s="220"/>
      <c r="BR6" s="220"/>
      <c r="BS6" s="220"/>
      <c r="BT6" s="220"/>
      <c r="BU6" s="220"/>
      <c r="BV6" s="220"/>
      <c r="BW6" s="220"/>
      <c r="BX6" s="220"/>
      <c r="BY6" s="220"/>
      <c r="BZ6" s="220"/>
      <c r="CA6" s="220"/>
      <c r="CB6" s="220"/>
      <c r="CC6" s="220"/>
      <c r="CD6" s="220"/>
      <c r="CE6" s="220"/>
      <c r="CF6" s="220"/>
      <c r="CG6" s="220"/>
      <c r="CH6" s="220"/>
      <c r="CI6" s="220"/>
      <c r="CJ6" s="220"/>
      <c r="CK6" s="220"/>
      <c r="CL6" s="220"/>
      <c r="CM6" s="220"/>
      <c r="CN6" s="220"/>
      <c r="CO6" s="220"/>
      <c r="CP6" s="220"/>
      <c r="CQ6" s="220"/>
      <c r="CR6" s="220"/>
      <c r="CS6" s="220"/>
      <c r="CT6" s="220"/>
      <c r="CU6" s="220"/>
      <c r="CV6" s="220"/>
      <c r="CW6" s="220"/>
      <c r="CX6" s="220"/>
      <c r="CY6" s="220"/>
      <c r="CZ6" s="220"/>
      <c r="DA6" s="220"/>
      <c r="DB6" s="220"/>
      <c r="DC6" s="220"/>
      <c r="DD6" s="220"/>
      <c r="DE6" s="220"/>
      <c r="DF6" s="220"/>
      <c r="DG6" s="220"/>
      <c r="DH6" s="220"/>
      <c r="DI6" s="220"/>
      <c r="DJ6" s="220"/>
      <c r="DK6" s="220"/>
      <c r="DL6" s="220"/>
      <c r="DM6" s="220"/>
      <c r="DN6" s="220"/>
      <c r="DO6" s="220"/>
      <c r="DP6" s="220"/>
      <c r="DQ6" s="220"/>
    </row>
    <row r="7" spans="2:121" ht="15.75" x14ac:dyDescent="0.25">
      <c r="B7" s="13">
        <v>4</v>
      </c>
      <c r="C7" s="15" t="str">
        <f>Create!H34</f>
        <v>Standard</v>
      </c>
      <c r="D7" s="15">
        <v>1</v>
      </c>
      <c r="E7" s="15"/>
      <c r="F7" s="15">
        <f>Create!I34</f>
        <v>21.544346900318835</v>
      </c>
      <c r="G7" s="15"/>
      <c r="H7" s="15" t="str">
        <f>Create!C34</f>
        <v>Ab1-Dig</v>
      </c>
      <c r="I7" s="78">
        <f>Create!D34</f>
        <v>10</v>
      </c>
      <c r="J7" s="15" t="str">
        <f>Create!E34</f>
        <v>Ab1-Biot</v>
      </c>
      <c r="K7" s="78">
        <f>Create!F34</f>
        <v>10</v>
      </c>
      <c r="L7" s="79" t="str">
        <f>Create!G34</f>
        <v>1xRD</v>
      </c>
      <c r="N7" s="220"/>
      <c r="O7" s="220"/>
      <c r="P7" s="220"/>
      <c r="Q7" s="220"/>
      <c r="R7" s="220"/>
      <c r="S7" s="220"/>
      <c r="T7" s="220"/>
      <c r="U7" s="220"/>
      <c r="V7" s="220"/>
      <c r="W7" s="220"/>
      <c r="X7" s="220"/>
      <c r="Y7" s="220"/>
      <c r="Z7" s="220"/>
      <c r="AA7" s="220"/>
      <c r="AB7" s="220"/>
      <c r="AC7" s="220"/>
      <c r="AD7" s="220"/>
      <c r="AE7" s="220"/>
      <c r="AF7" s="220"/>
      <c r="AG7" s="220"/>
      <c r="AH7" s="220"/>
      <c r="AI7" s="220"/>
      <c r="AJ7" s="220"/>
      <c r="AK7" s="220"/>
      <c r="AL7" s="220"/>
      <c r="AM7" s="220"/>
      <c r="AN7" s="220"/>
      <c r="AO7" s="220"/>
      <c r="AP7" s="220"/>
      <c r="AQ7" s="220"/>
      <c r="AR7" s="220"/>
      <c r="AS7" s="220"/>
      <c r="AT7" s="220"/>
      <c r="AU7" s="220"/>
      <c r="AV7" s="220"/>
      <c r="AW7" s="220"/>
      <c r="AX7" s="220"/>
      <c r="AY7" s="220"/>
      <c r="AZ7" s="220"/>
      <c r="BA7" s="220"/>
      <c r="BB7" s="220"/>
      <c r="BC7" s="220"/>
      <c r="BD7" s="220"/>
      <c r="BE7" s="220"/>
      <c r="BF7" s="220"/>
      <c r="BG7" s="220"/>
      <c r="BH7" s="220"/>
      <c r="BI7" s="220"/>
      <c r="BJ7" s="220"/>
      <c r="BK7" s="220"/>
      <c r="BL7" s="220"/>
      <c r="BM7" s="220"/>
      <c r="BN7" s="220"/>
      <c r="BO7" s="220"/>
      <c r="BP7" s="220"/>
      <c r="BQ7" s="220"/>
      <c r="BR7" s="220"/>
      <c r="BS7" s="220"/>
      <c r="BT7" s="220"/>
      <c r="BU7" s="220"/>
      <c r="BV7" s="220"/>
      <c r="BW7" s="220"/>
      <c r="BX7" s="220"/>
      <c r="BY7" s="220"/>
      <c r="BZ7" s="220"/>
      <c r="CA7" s="220"/>
      <c r="CB7" s="220"/>
      <c r="CC7" s="220"/>
      <c r="CD7" s="220"/>
      <c r="CE7" s="220"/>
      <c r="CF7" s="220"/>
      <c r="CG7" s="220"/>
      <c r="CH7" s="220"/>
      <c r="CI7" s="220"/>
      <c r="CJ7" s="220"/>
      <c r="CK7" s="220"/>
      <c r="CL7" s="220"/>
      <c r="CM7" s="220"/>
      <c r="CN7" s="220"/>
      <c r="CO7" s="220"/>
      <c r="CP7" s="220"/>
      <c r="CQ7" s="220"/>
      <c r="CR7" s="220"/>
      <c r="CS7" s="220"/>
      <c r="CT7" s="220"/>
      <c r="CU7" s="220"/>
      <c r="CV7" s="220"/>
      <c r="CW7" s="220"/>
      <c r="CX7" s="220"/>
      <c r="CY7" s="220"/>
      <c r="CZ7" s="220"/>
      <c r="DA7" s="220"/>
      <c r="DB7" s="220"/>
      <c r="DC7" s="220"/>
      <c r="DD7" s="220"/>
      <c r="DE7" s="220"/>
      <c r="DF7" s="220"/>
      <c r="DG7" s="220"/>
      <c r="DH7" s="220"/>
      <c r="DI7" s="220"/>
      <c r="DJ7" s="220"/>
      <c r="DK7" s="220"/>
      <c r="DL7" s="220"/>
      <c r="DM7" s="220"/>
      <c r="DN7" s="220"/>
      <c r="DO7" s="220"/>
      <c r="DP7" s="220"/>
      <c r="DQ7" s="220"/>
    </row>
    <row r="8" spans="2:121" ht="15.75" x14ac:dyDescent="0.25">
      <c r="B8" s="13">
        <v>5</v>
      </c>
      <c r="C8" s="15" t="str">
        <f>Create!H35</f>
        <v>Standard</v>
      </c>
      <c r="D8" s="15">
        <v>1</v>
      </c>
      <c r="E8" s="15"/>
      <c r="F8" s="15">
        <f>Create!I35</f>
        <v>9.9999999999999982</v>
      </c>
      <c r="G8" s="15"/>
      <c r="H8" s="15" t="str">
        <f>Create!C35</f>
        <v>Ab1-Dig</v>
      </c>
      <c r="I8" s="78">
        <f>Create!D35</f>
        <v>10</v>
      </c>
      <c r="J8" s="15" t="str">
        <f>Create!E35</f>
        <v>Ab1-Biot</v>
      </c>
      <c r="K8" s="78">
        <f>Create!F35</f>
        <v>10</v>
      </c>
      <c r="L8" s="79" t="str">
        <f>Create!G35</f>
        <v>1xRD</v>
      </c>
      <c r="N8" s="220"/>
      <c r="O8" s="220"/>
      <c r="P8" s="220"/>
      <c r="Q8" s="220"/>
      <c r="R8" s="220"/>
      <c r="S8" s="220"/>
      <c r="T8" s="220"/>
      <c r="U8" s="220"/>
      <c r="V8" s="220"/>
      <c r="W8" s="220"/>
      <c r="X8" s="220"/>
      <c r="Y8" s="220"/>
      <c r="Z8" s="220"/>
      <c r="AA8" s="220"/>
      <c r="AB8" s="220"/>
      <c r="AC8" s="220"/>
      <c r="AD8" s="220"/>
      <c r="AE8" s="220"/>
      <c r="AF8" s="220"/>
      <c r="AG8" s="220"/>
      <c r="AH8" s="220"/>
      <c r="AI8" s="220"/>
      <c r="AJ8" s="220"/>
      <c r="AK8" s="220"/>
      <c r="AL8" s="220"/>
      <c r="AM8" s="220"/>
      <c r="AN8" s="220"/>
      <c r="AO8" s="220"/>
      <c r="AP8" s="220"/>
      <c r="AQ8" s="220"/>
      <c r="AR8" s="220"/>
      <c r="AS8" s="220"/>
      <c r="AT8" s="220"/>
      <c r="AU8" s="220"/>
      <c r="AV8" s="220"/>
      <c r="AW8" s="220"/>
      <c r="AX8" s="220"/>
      <c r="AY8" s="220"/>
      <c r="AZ8" s="220"/>
      <c r="BA8" s="220"/>
      <c r="BB8" s="220"/>
      <c r="BC8" s="220"/>
      <c r="BD8" s="220"/>
      <c r="BE8" s="220"/>
      <c r="BF8" s="220"/>
      <c r="BG8" s="220"/>
      <c r="BH8" s="220"/>
      <c r="BI8" s="220"/>
      <c r="BJ8" s="220"/>
      <c r="BK8" s="220"/>
      <c r="BL8" s="220"/>
      <c r="BM8" s="220"/>
      <c r="BN8" s="220"/>
      <c r="BO8" s="220"/>
      <c r="BP8" s="220"/>
      <c r="BQ8" s="220"/>
      <c r="BR8" s="220"/>
      <c r="BS8" s="220"/>
      <c r="BT8" s="220"/>
      <c r="BU8" s="220"/>
      <c r="BV8" s="220"/>
      <c r="BW8" s="220"/>
      <c r="BX8" s="220"/>
      <c r="BY8" s="220"/>
      <c r="BZ8" s="220"/>
      <c r="CA8" s="220"/>
      <c r="CB8" s="220"/>
      <c r="CC8" s="220"/>
      <c r="CD8" s="220"/>
      <c r="CE8" s="220"/>
      <c r="CF8" s="220"/>
      <c r="CG8" s="220"/>
      <c r="CH8" s="220"/>
      <c r="CI8" s="220"/>
      <c r="CJ8" s="220"/>
      <c r="CK8" s="220"/>
      <c r="CL8" s="220"/>
      <c r="CM8" s="220"/>
      <c r="CN8" s="220"/>
      <c r="CO8" s="220"/>
      <c r="CP8" s="220"/>
      <c r="CQ8" s="220"/>
      <c r="CR8" s="220"/>
      <c r="CS8" s="220"/>
      <c r="CT8" s="220"/>
      <c r="CU8" s="220"/>
      <c r="CV8" s="220"/>
      <c r="CW8" s="220"/>
      <c r="CX8" s="220"/>
      <c r="CY8" s="220"/>
      <c r="CZ8" s="220"/>
      <c r="DA8" s="220"/>
      <c r="DB8" s="220"/>
      <c r="DC8" s="220"/>
      <c r="DD8" s="220"/>
      <c r="DE8" s="220"/>
      <c r="DF8" s="220"/>
      <c r="DG8" s="220"/>
      <c r="DH8" s="220"/>
      <c r="DI8" s="220"/>
      <c r="DJ8" s="220"/>
      <c r="DK8" s="220"/>
      <c r="DL8" s="220"/>
      <c r="DM8" s="220"/>
      <c r="DN8" s="220"/>
      <c r="DO8" s="220"/>
      <c r="DP8" s="220"/>
      <c r="DQ8" s="220"/>
    </row>
    <row r="9" spans="2:121" ht="15.75" x14ac:dyDescent="0.25">
      <c r="B9" s="13">
        <v>6</v>
      </c>
      <c r="C9" s="15" t="str">
        <f>Create!H36</f>
        <v>Standard</v>
      </c>
      <c r="D9" s="15">
        <v>1</v>
      </c>
      <c r="E9" s="15"/>
      <c r="F9" s="15">
        <f>Create!I36</f>
        <v>4.6415888336127775</v>
      </c>
      <c r="G9" s="15"/>
      <c r="H9" s="15" t="str">
        <f>Create!C36</f>
        <v>Ab1-Dig</v>
      </c>
      <c r="I9" s="78">
        <f>Create!D36</f>
        <v>10</v>
      </c>
      <c r="J9" s="15" t="str">
        <f>Create!E36</f>
        <v>Ab1-Biot</v>
      </c>
      <c r="K9" s="78">
        <f>Create!F36</f>
        <v>10</v>
      </c>
      <c r="L9" s="79" t="str">
        <f>Create!G36</f>
        <v>1xRD</v>
      </c>
      <c r="N9" s="220"/>
      <c r="O9" s="220"/>
      <c r="P9" s="220"/>
      <c r="Q9" s="220"/>
      <c r="R9" s="220"/>
      <c r="S9" s="220"/>
      <c r="T9" s="220"/>
      <c r="U9" s="220"/>
      <c r="V9" s="220"/>
      <c r="W9" s="220"/>
      <c r="X9" s="220"/>
      <c r="Y9" s="220"/>
      <c r="Z9" s="220"/>
      <c r="AA9" s="220"/>
      <c r="AB9" s="220"/>
      <c r="AC9" s="220"/>
      <c r="AD9" s="220"/>
      <c r="AE9" s="220"/>
      <c r="AF9" s="220"/>
      <c r="AG9" s="220"/>
      <c r="AH9" s="220"/>
      <c r="AI9" s="220"/>
      <c r="AJ9" s="220"/>
      <c r="AK9" s="220"/>
      <c r="AL9" s="220"/>
      <c r="AM9" s="220"/>
      <c r="AN9" s="220"/>
      <c r="AO9" s="220"/>
      <c r="AP9" s="220"/>
      <c r="AQ9" s="220"/>
      <c r="AR9" s="220"/>
      <c r="AS9" s="220"/>
      <c r="AT9" s="220"/>
      <c r="AU9" s="220"/>
      <c r="AV9" s="220"/>
      <c r="AW9" s="220"/>
      <c r="AX9" s="220"/>
      <c r="AY9" s="220"/>
      <c r="AZ9" s="220"/>
      <c r="BA9" s="220"/>
      <c r="BB9" s="220"/>
      <c r="BC9" s="220"/>
      <c r="BD9" s="220"/>
      <c r="BE9" s="220"/>
      <c r="BF9" s="220"/>
      <c r="BG9" s="220"/>
      <c r="BH9" s="220"/>
      <c r="BI9" s="220"/>
      <c r="BJ9" s="220"/>
      <c r="BK9" s="220"/>
      <c r="BL9" s="220"/>
      <c r="BM9" s="220"/>
      <c r="BN9" s="220"/>
      <c r="BO9" s="220"/>
      <c r="BP9" s="220"/>
      <c r="BQ9" s="220"/>
      <c r="BR9" s="220"/>
      <c r="BS9" s="220"/>
      <c r="BT9" s="220"/>
      <c r="BU9" s="220"/>
      <c r="BV9" s="220"/>
      <c r="BW9" s="220"/>
      <c r="BX9" s="220"/>
      <c r="BY9" s="220"/>
      <c r="BZ9" s="220"/>
      <c r="CA9" s="220"/>
      <c r="CB9" s="220"/>
      <c r="CC9" s="220"/>
      <c r="CD9" s="220"/>
      <c r="CE9" s="220"/>
      <c r="CF9" s="220"/>
      <c r="CG9" s="220"/>
      <c r="CH9" s="220"/>
      <c r="CI9" s="220"/>
      <c r="CJ9" s="220"/>
      <c r="CK9" s="220"/>
      <c r="CL9" s="220"/>
      <c r="CM9" s="220"/>
      <c r="CN9" s="220"/>
      <c r="CO9" s="220"/>
      <c r="CP9" s="220"/>
      <c r="CQ9" s="220"/>
      <c r="CR9" s="220"/>
      <c r="CS9" s="220"/>
      <c r="CT9" s="220"/>
      <c r="CU9" s="220"/>
      <c r="CV9" s="220"/>
      <c r="CW9" s="220"/>
      <c r="CX9" s="220"/>
      <c r="CY9" s="220"/>
      <c r="CZ9" s="220"/>
      <c r="DA9" s="220"/>
      <c r="DB9" s="220"/>
      <c r="DC9" s="220"/>
      <c r="DD9" s="220"/>
      <c r="DE9" s="220"/>
      <c r="DF9" s="220"/>
      <c r="DG9" s="220"/>
      <c r="DH9" s="220"/>
      <c r="DI9" s="220"/>
      <c r="DJ9" s="220"/>
      <c r="DK9" s="220"/>
      <c r="DL9" s="220"/>
      <c r="DM9" s="220"/>
      <c r="DN9" s="220"/>
      <c r="DO9" s="220"/>
      <c r="DP9" s="220"/>
      <c r="DQ9" s="220"/>
    </row>
    <row r="10" spans="2:121" ht="15.75" x14ac:dyDescent="0.25">
      <c r="B10" s="13">
        <v>7</v>
      </c>
      <c r="C10" s="15" t="str">
        <f>Create!H37</f>
        <v>Standard</v>
      </c>
      <c r="D10" s="15">
        <v>1</v>
      </c>
      <c r="E10" s="15"/>
      <c r="F10" s="15">
        <f>Create!I37</f>
        <v>2.1544346900318829</v>
      </c>
      <c r="G10" s="15"/>
      <c r="H10" s="15" t="str">
        <f>Create!C37</f>
        <v>Ab1-Dig</v>
      </c>
      <c r="I10" s="78">
        <f>Create!D37</f>
        <v>10</v>
      </c>
      <c r="J10" s="15" t="str">
        <f>Create!E37</f>
        <v>Ab1-Biot</v>
      </c>
      <c r="K10" s="78">
        <f>Create!F37</f>
        <v>10</v>
      </c>
      <c r="L10" s="79" t="str">
        <f>Create!G37</f>
        <v>1xRD</v>
      </c>
      <c r="N10" s="220"/>
      <c r="O10" s="220"/>
      <c r="P10" s="220"/>
      <c r="Q10" s="220"/>
      <c r="R10" s="220"/>
      <c r="S10" s="220"/>
      <c r="T10" s="220"/>
      <c r="U10" s="220"/>
      <c r="V10" s="220"/>
      <c r="W10" s="220"/>
      <c r="X10" s="220"/>
      <c r="Y10" s="220"/>
      <c r="Z10" s="220"/>
      <c r="AA10" s="220"/>
      <c r="AB10" s="220"/>
      <c r="AC10" s="220"/>
      <c r="AD10" s="220"/>
      <c r="AE10" s="220"/>
      <c r="AF10" s="220"/>
      <c r="AG10" s="220"/>
      <c r="AH10" s="220"/>
      <c r="AI10" s="220"/>
      <c r="AJ10" s="220"/>
      <c r="AK10" s="220"/>
      <c r="AL10" s="220"/>
      <c r="AM10" s="220"/>
      <c r="AN10" s="220"/>
      <c r="AO10" s="220"/>
      <c r="AP10" s="220"/>
      <c r="AQ10" s="220"/>
      <c r="AR10" s="220"/>
      <c r="AS10" s="220"/>
      <c r="AT10" s="220"/>
      <c r="AU10" s="220"/>
      <c r="AV10" s="220"/>
      <c r="AW10" s="220"/>
      <c r="AX10" s="220"/>
      <c r="AY10" s="220"/>
      <c r="AZ10" s="220"/>
      <c r="BA10" s="220"/>
      <c r="BB10" s="220"/>
      <c r="BC10" s="220"/>
      <c r="BD10" s="220"/>
      <c r="BE10" s="220"/>
      <c r="BF10" s="220"/>
      <c r="BG10" s="220"/>
      <c r="BH10" s="220"/>
      <c r="BI10" s="220"/>
      <c r="BJ10" s="220"/>
      <c r="BK10" s="220"/>
      <c r="BL10" s="220"/>
      <c r="BM10" s="220"/>
      <c r="BN10" s="220"/>
      <c r="BO10" s="220"/>
      <c r="BP10" s="220"/>
      <c r="BQ10" s="220"/>
      <c r="BR10" s="220"/>
      <c r="BS10" s="220"/>
      <c r="BT10" s="220"/>
      <c r="BU10" s="220"/>
      <c r="BV10" s="220"/>
      <c r="BW10" s="220"/>
      <c r="BX10" s="220"/>
      <c r="BY10" s="220"/>
      <c r="BZ10" s="220"/>
      <c r="CA10" s="220"/>
      <c r="CB10" s="220"/>
      <c r="CC10" s="220"/>
      <c r="CD10" s="220"/>
      <c r="CE10" s="220"/>
      <c r="CF10" s="220"/>
      <c r="CG10" s="220"/>
      <c r="CH10" s="220"/>
      <c r="CI10" s="220"/>
      <c r="CJ10" s="220"/>
      <c r="CK10" s="220"/>
      <c r="CL10" s="220"/>
      <c r="CM10" s="220"/>
      <c r="CN10" s="220"/>
      <c r="CO10" s="220"/>
      <c r="CP10" s="220"/>
      <c r="CQ10" s="220"/>
      <c r="CR10" s="220"/>
      <c r="CS10" s="220"/>
      <c r="CT10" s="220"/>
      <c r="CU10" s="220"/>
      <c r="CV10" s="220"/>
      <c r="CW10" s="220"/>
      <c r="CX10" s="220"/>
      <c r="CY10" s="220"/>
      <c r="CZ10" s="220"/>
      <c r="DA10" s="220"/>
      <c r="DB10" s="220"/>
      <c r="DC10" s="220"/>
      <c r="DD10" s="220"/>
      <c r="DE10" s="220"/>
      <c r="DF10" s="220"/>
      <c r="DG10" s="220"/>
      <c r="DH10" s="220"/>
      <c r="DI10" s="220"/>
      <c r="DJ10" s="220"/>
      <c r="DK10" s="220"/>
      <c r="DL10" s="220"/>
      <c r="DM10" s="220"/>
      <c r="DN10" s="220"/>
      <c r="DO10" s="220"/>
      <c r="DP10" s="220"/>
      <c r="DQ10" s="220"/>
    </row>
    <row r="11" spans="2:121" ht="15.75" x14ac:dyDescent="0.25">
      <c r="B11" s="13">
        <v>8</v>
      </c>
      <c r="C11" s="15" t="str">
        <f>Create!H38</f>
        <v>Standard</v>
      </c>
      <c r="D11" s="15">
        <v>1</v>
      </c>
      <c r="E11" s="15"/>
      <c r="F11" s="15">
        <f>Create!I38</f>
        <v>0.99999999999999956</v>
      </c>
      <c r="G11" s="15"/>
      <c r="H11" s="15" t="str">
        <f>Create!C38</f>
        <v>Ab1-Dig</v>
      </c>
      <c r="I11" s="78">
        <f>Create!D38</f>
        <v>10</v>
      </c>
      <c r="J11" s="15" t="str">
        <f>Create!E38</f>
        <v>Ab1-Biot</v>
      </c>
      <c r="K11" s="78">
        <f>Create!F38</f>
        <v>10</v>
      </c>
      <c r="L11" s="79" t="str">
        <f>Create!G38</f>
        <v>1xRD</v>
      </c>
      <c r="N11" s="220"/>
      <c r="O11" s="220"/>
      <c r="P11" s="220"/>
      <c r="Q11" s="220"/>
      <c r="R11" s="220"/>
      <c r="S11" s="220"/>
      <c r="T11" s="220"/>
      <c r="U11" s="220"/>
      <c r="V11" s="220"/>
      <c r="W11" s="220"/>
      <c r="X11" s="220"/>
      <c r="Y11" s="220"/>
      <c r="Z11" s="220"/>
      <c r="AA11" s="220"/>
      <c r="AB11" s="220"/>
      <c r="AC11" s="220"/>
      <c r="AD11" s="220"/>
      <c r="AE11" s="220"/>
      <c r="AF11" s="220"/>
      <c r="AG11" s="220"/>
      <c r="AH11" s="220"/>
      <c r="AI11" s="220"/>
      <c r="AJ11" s="220"/>
      <c r="AK11" s="220"/>
      <c r="AL11" s="220"/>
      <c r="AM11" s="220"/>
      <c r="AN11" s="220"/>
      <c r="AO11" s="220"/>
      <c r="AP11" s="220"/>
      <c r="AQ11" s="220"/>
      <c r="AR11" s="220"/>
      <c r="AS11" s="220"/>
      <c r="AT11" s="220"/>
      <c r="AU11" s="220"/>
      <c r="AV11" s="220"/>
      <c r="AW11" s="220"/>
      <c r="AX11" s="220"/>
      <c r="AY11" s="220"/>
      <c r="AZ11" s="220"/>
      <c r="BA11" s="220"/>
      <c r="BB11" s="220"/>
      <c r="BC11" s="220"/>
      <c r="BD11" s="220"/>
      <c r="BE11" s="220"/>
      <c r="BF11" s="220"/>
      <c r="BG11" s="220"/>
      <c r="BH11" s="220"/>
      <c r="BI11" s="220"/>
      <c r="BJ11" s="220"/>
      <c r="BK11" s="220"/>
      <c r="BL11" s="220"/>
      <c r="BM11" s="220"/>
      <c r="BN11" s="220"/>
      <c r="BO11" s="220"/>
      <c r="BP11" s="220"/>
      <c r="BQ11" s="220"/>
      <c r="BR11" s="220"/>
      <c r="BS11" s="220"/>
      <c r="BT11" s="220"/>
      <c r="BU11" s="220"/>
      <c r="BV11" s="220"/>
      <c r="BW11" s="220"/>
      <c r="BX11" s="220"/>
      <c r="BY11" s="220"/>
      <c r="BZ11" s="220"/>
      <c r="CA11" s="220"/>
      <c r="CB11" s="220"/>
      <c r="CC11" s="220"/>
      <c r="CD11" s="220"/>
      <c r="CE11" s="220"/>
      <c r="CF11" s="220"/>
      <c r="CG11" s="220"/>
      <c r="CH11" s="220"/>
      <c r="CI11" s="220"/>
      <c r="CJ11" s="220"/>
      <c r="CK11" s="220"/>
      <c r="CL11" s="220"/>
      <c r="CM11" s="220"/>
      <c r="CN11" s="220"/>
      <c r="CO11" s="220"/>
      <c r="CP11" s="220"/>
      <c r="CQ11" s="220"/>
      <c r="CR11" s="220"/>
      <c r="CS11" s="220"/>
      <c r="CT11" s="220"/>
      <c r="CU11" s="220"/>
      <c r="CV11" s="220"/>
      <c r="CW11" s="220"/>
      <c r="CX11" s="220"/>
      <c r="CY11" s="220"/>
      <c r="CZ11" s="220"/>
      <c r="DA11" s="220"/>
      <c r="DB11" s="220"/>
      <c r="DC11" s="220"/>
      <c r="DD11" s="220"/>
      <c r="DE11" s="220"/>
      <c r="DF11" s="220"/>
      <c r="DG11" s="220"/>
      <c r="DH11" s="220"/>
      <c r="DI11" s="220"/>
      <c r="DJ11" s="220"/>
      <c r="DK11" s="220"/>
      <c r="DL11" s="220"/>
      <c r="DM11" s="220"/>
      <c r="DN11" s="220"/>
      <c r="DO11" s="220"/>
      <c r="DP11" s="220"/>
      <c r="DQ11" s="220"/>
    </row>
    <row r="12" spans="2:121" ht="15.75" x14ac:dyDescent="0.25">
      <c r="B12" s="13">
        <v>9</v>
      </c>
      <c r="C12" s="15" t="str">
        <f>Create!H39</f>
        <v>Standard</v>
      </c>
      <c r="D12" s="15">
        <v>1</v>
      </c>
      <c r="E12" s="15"/>
      <c r="F12" s="15">
        <f>Create!I39</f>
        <v>0</v>
      </c>
      <c r="G12" s="15"/>
      <c r="H12" s="15" t="str">
        <f>Create!C39</f>
        <v>Ab1-Dig</v>
      </c>
      <c r="I12" s="78">
        <f>Create!D39</f>
        <v>10</v>
      </c>
      <c r="J12" s="15" t="str">
        <f>Create!E39</f>
        <v>Ab1-Biot</v>
      </c>
      <c r="K12" s="78">
        <f>Create!F39</f>
        <v>3.5</v>
      </c>
      <c r="L12" s="79" t="str">
        <f>Create!G39</f>
        <v>1xRD</v>
      </c>
      <c r="N12" s="220"/>
      <c r="O12" s="220"/>
      <c r="P12" s="220"/>
      <c r="Q12" s="220"/>
      <c r="R12" s="220"/>
      <c r="S12" s="220"/>
      <c r="T12" s="220"/>
      <c r="U12" s="220"/>
      <c r="V12" s="220"/>
      <c r="W12" s="220"/>
      <c r="X12" s="220"/>
      <c r="Y12" s="220"/>
      <c r="Z12" s="220"/>
      <c r="AA12" s="220"/>
      <c r="AB12" s="220"/>
      <c r="AC12" s="220"/>
      <c r="AD12" s="220"/>
      <c r="AE12" s="220"/>
      <c r="AF12" s="220"/>
      <c r="AG12" s="220"/>
      <c r="AH12" s="220"/>
      <c r="AI12" s="220"/>
      <c r="AJ12" s="220"/>
      <c r="AK12" s="220"/>
      <c r="AL12" s="220"/>
      <c r="AM12" s="220"/>
      <c r="AN12" s="220"/>
      <c r="AO12" s="220"/>
      <c r="AP12" s="220"/>
      <c r="AQ12" s="220"/>
      <c r="AR12" s="220"/>
      <c r="AS12" s="220"/>
      <c r="AT12" s="220"/>
      <c r="AU12" s="220"/>
      <c r="AV12" s="220"/>
      <c r="AW12" s="220"/>
      <c r="AX12" s="220"/>
      <c r="AY12" s="220"/>
      <c r="AZ12" s="220"/>
      <c r="BA12" s="220"/>
      <c r="BB12" s="220"/>
      <c r="BC12" s="220"/>
      <c r="BD12" s="220"/>
      <c r="BE12" s="220"/>
      <c r="BF12" s="220"/>
      <c r="BG12" s="220"/>
      <c r="BH12" s="220"/>
      <c r="BI12" s="220"/>
      <c r="BJ12" s="220"/>
      <c r="BK12" s="220"/>
      <c r="BL12" s="220"/>
      <c r="BM12" s="220"/>
      <c r="BN12" s="220"/>
      <c r="BO12" s="220"/>
      <c r="BP12" s="220"/>
      <c r="BQ12" s="220"/>
      <c r="BR12" s="220"/>
      <c r="BS12" s="220"/>
      <c r="BT12" s="220"/>
      <c r="BU12" s="220"/>
      <c r="BV12" s="220"/>
      <c r="BW12" s="220"/>
      <c r="BX12" s="220"/>
      <c r="BY12" s="220"/>
      <c r="BZ12" s="220"/>
      <c r="CA12" s="220"/>
      <c r="CB12" s="220"/>
      <c r="CC12" s="220"/>
      <c r="CD12" s="220"/>
      <c r="CE12" s="220"/>
      <c r="CF12" s="220"/>
      <c r="CG12" s="220"/>
      <c r="CH12" s="220"/>
      <c r="CI12" s="220"/>
      <c r="CJ12" s="220"/>
      <c r="CK12" s="220"/>
      <c r="CL12" s="220"/>
      <c r="CM12" s="220"/>
      <c r="CN12" s="220"/>
      <c r="CO12" s="220"/>
      <c r="CP12" s="220"/>
      <c r="CQ12" s="220"/>
      <c r="CR12" s="220"/>
      <c r="CS12" s="220"/>
      <c r="CT12" s="220"/>
      <c r="CU12" s="220"/>
      <c r="CV12" s="220"/>
      <c r="CW12" s="220"/>
      <c r="CX12" s="220"/>
      <c r="CY12" s="220"/>
      <c r="CZ12" s="220"/>
      <c r="DA12" s="220"/>
      <c r="DB12" s="220"/>
      <c r="DC12" s="220"/>
      <c r="DD12" s="220"/>
      <c r="DE12" s="220"/>
      <c r="DF12" s="220"/>
      <c r="DG12" s="220"/>
      <c r="DH12" s="220"/>
      <c r="DI12" s="220"/>
      <c r="DJ12" s="220"/>
      <c r="DK12" s="220"/>
      <c r="DL12" s="220"/>
      <c r="DM12" s="220"/>
      <c r="DN12" s="220"/>
      <c r="DO12" s="220"/>
      <c r="DP12" s="220"/>
      <c r="DQ12" s="220"/>
    </row>
    <row r="13" spans="2:121" ht="15.75" x14ac:dyDescent="0.25">
      <c r="B13" s="13">
        <v>10</v>
      </c>
      <c r="C13" s="15" t="str">
        <f>Create!H40</f>
        <v>Standard</v>
      </c>
      <c r="D13" s="15">
        <v>1</v>
      </c>
      <c r="E13" s="15"/>
      <c r="F13" s="15">
        <f>Create!I40</f>
        <v>100</v>
      </c>
      <c r="G13" s="15"/>
      <c r="H13" s="15" t="str">
        <f>Create!C40</f>
        <v>Ab1-Dig</v>
      </c>
      <c r="I13" s="78">
        <f>Create!D40</f>
        <v>10</v>
      </c>
      <c r="J13" s="15" t="str">
        <f>Create!E40</f>
        <v>Ab1-Biot</v>
      </c>
      <c r="K13" s="78">
        <f>Create!F40</f>
        <v>3.5</v>
      </c>
      <c r="L13" s="79" t="str">
        <f>Create!G40</f>
        <v>1xRD</v>
      </c>
      <c r="N13" s="220"/>
      <c r="O13" s="220"/>
      <c r="P13" s="220"/>
      <c r="Q13" s="220"/>
      <c r="R13" s="220"/>
      <c r="S13" s="220"/>
      <c r="T13" s="220"/>
      <c r="U13" s="220"/>
      <c r="V13" s="220"/>
      <c r="W13" s="220"/>
      <c r="X13" s="220"/>
      <c r="Y13" s="220"/>
      <c r="Z13" s="220"/>
      <c r="AA13" s="220"/>
      <c r="AB13" s="220"/>
      <c r="AC13" s="220"/>
      <c r="AD13" s="220"/>
      <c r="AE13" s="220"/>
      <c r="AF13" s="220"/>
      <c r="AG13" s="220"/>
      <c r="AH13" s="220"/>
      <c r="AI13" s="220"/>
      <c r="AJ13" s="220"/>
      <c r="AK13" s="220"/>
      <c r="AL13" s="220"/>
      <c r="AM13" s="220"/>
      <c r="AN13" s="220"/>
      <c r="AO13" s="220"/>
      <c r="AP13" s="220"/>
      <c r="AQ13" s="220"/>
      <c r="AR13" s="220"/>
      <c r="AS13" s="220"/>
      <c r="AT13" s="220"/>
      <c r="AU13" s="220"/>
      <c r="AV13" s="220"/>
      <c r="AW13" s="220"/>
      <c r="AX13" s="220"/>
      <c r="AY13" s="220"/>
      <c r="AZ13" s="220"/>
      <c r="BA13" s="220"/>
      <c r="BB13" s="220"/>
      <c r="BC13" s="220"/>
      <c r="BD13" s="220"/>
      <c r="BE13" s="220"/>
      <c r="BF13" s="220"/>
      <c r="BG13" s="220"/>
      <c r="BH13" s="220"/>
      <c r="BI13" s="220"/>
      <c r="BJ13" s="220"/>
      <c r="BK13" s="220"/>
      <c r="BL13" s="220"/>
      <c r="BM13" s="220"/>
      <c r="BN13" s="220"/>
      <c r="BO13" s="220"/>
      <c r="BP13" s="220"/>
      <c r="BQ13" s="220"/>
      <c r="BR13" s="220"/>
      <c r="BS13" s="220"/>
      <c r="BT13" s="220"/>
      <c r="BU13" s="220"/>
      <c r="BV13" s="220"/>
      <c r="BW13" s="220"/>
      <c r="BX13" s="220"/>
      <c r="BY13" s="220"/>
      <c r="BZ13" s="220"/>
      <c r="CA13" s="220"/>
      <c r="CB13" s="220"/>
      <c r="CC13" s="220"/>
      <c r="CD13" s="220"/>
      <c r="CE13" s="220"/>
      <c r="CF13" s="220"/>
      <c r="CG13" s="220"/>
      <c r="CH13" s="220"/>
      <c r="CI13" s="220"/>
      <c r="CJ13" s="220"/>
      <c r="CK13" s="220"/>
      <c r="CL13" s="220"/>
      <c r="CM13" s="220"/>
      <c r="CN13" s="220"/>
      <c r="CO13" s="220"/>
      <c r="CP13" s="220"/>
      <c r="CQ13" s="220"/>
      <c r="CR13" s="220"/>
      <c r="CS13" s="220"/>
      <c r="CT13" s="220"/>
      <c r="CU13" s="220"/>
      <c r="CV13" s="220"/>
      <c r="CW13" s="220"/>
      <c r="CX13" s="220"/>
      <c r="CY13" s="220"/>
      <c r="CZ13" s="220"/>
      <c r="DA13" s="220"/>
      <c r="DB13" s="220"/>
      <c r="DC13" s="220"/>
      <c r="DD13" s="220"/>
      <c r="DE13" s="220"/>
      <c r="DF13" s="220"/>
      <c r="DG13" s="220"/>
      <c r="DH13" s="220"/>
      <c r="DI13" s="220"/>
      <c r="DJ13" s="220"/>
      <c r="DK13" s="220"/>
      <c r="DL13" s="220"/>
      <c r="DM13" s="220"/>
      <c r="DN13" s="220"/>
      <c r="DO13" s="220"/>
      <c r="DP13" s="220"/>
      <c r="DQ13" s="220"/>
    </row>
    <row r="14" spans="2:121" ht="15.75" x14ac:dyDescent="0.25">
      <c r="B14" s="13">
        <v>11</v>
      </c>
      <c r="C14" s="15" t="str">
        <f>Create!H41</f>
        <v>Standard</v>
      </c>
      <c r="D14" s="15">
        <v>1</v>
      </c>
      <c r="E14" s="15"/>
      <c r="F14" s="15">
        <f>Create!I41</f>
        <v>46.415888336127786</v>
      </c>
      <c r="G14" s="15"/>
      <c r="H14" s="15" t="str">
        <f>Create!C41</f>
        <v>Ab1-Dig</v>
      </c>
      <c r="I14" s="78">
        <f>Create!D41</f>
        <v>10</v>
      </c>
      <c r="J14" s="15" t="str">
        <f>Create!E41</f>
        <v>Ab1-Biot</v>
      </c>
      <c r="K14" s="78">
        <f>Create!F41</f>
        <v>3.5</v>
      </c>
      <c r="L14" s="79" t="str">
        <f>Create!G41</f>
        <v>1xRD</v>
      </c>
      <c r="N14" s="220"/>
      <c r="O14" s="220"/>
      <c r="P14" s="220"/>
      <c r="Q14" s="220"/>
      <c r="R14" s="220"/>
      <c r="S14" s="220"/>
      <c r="T14" s="220"/>
      <c r="U14" s="220"/>
      <c r="V14" s="220"/>
      <c r="W14" s="220"/>
      <c r="X14" s="220"/>
      <c r="Y14" s="220"/>
      <c r="Z14" s="220"/>
      <c r="AA14" s="220"/>
      <c r="AB14" s="220"/>
      <c r="AC14" s="220"/>
      <c r="AD14" s="220"/>
      <c r="AE14" s="220"/>
      <c r="AF14" s="220"/>
      <c r="AG14" s="220"/>
      <c r="AH14" s="220"/>
      <c r="AI14" s="220"/>
      <c r="AJ14" s="220"/>
      <c r="AK14" s="220"/>
      <c r="AL14" s="220"/>
      <c r="AM14" s="220"/>
      <c r="AN14" s="220"/>
      <c r="AO14" s="220"/>
      <c r="AP14" s="220"/>
      <c r="AQ14" s="220"/>
      <c r="AR14" s="220"/>
      <c r="AS14" s="220"/>
      <c r="AT14" s="220"/>
      <c r="AU14" s="220"/>
      <c r="AV14" s="220"/>
      <c r="AW14" s="220"/>
      <c r="AX14" s="220"/>
      <c r="AY14" s="220"/>
      <c r="AZ14" s="220"/>
      <c r="BA14" s="220"/>
      <c r="BB14" s="220"/>
      <c r="BC14" s="220"/>
      <c r="BD14" s="220"/>
      <c r="BE14" s="220"/>
      <c r="BF14" s="220"/>
      <c r="BG14" s="220"/>
      <c r="BH14" s="220"/>
      <c r="BI14" s="220"/>
      <c r="BJ14" s="220"/>
      <c r="BK14" s="220"/>
      <c r="BL14" s="220"/>
      <c r="BM14" s="220"/>
      <c r="BN14" s="220"/>
      <c r="BO14" s="220"/>
      <c r="BP14" s="220"/>
      <c r="BQ14" s="220"/>
      <c r="BR14" s="220"/>
      <c r="BS14" s="220"/>
      <c r="BT14" s="220"/>
      <c r="BU14" s="220"/>
      <c r="BV14" s="220"/>
      <c r="BW14" s="220"/>
      <c r="BX14" s="220"/>
      <c r="BY14" s="220"/>
      <c r="BZ14" s="220"/>
      <c r="CA14" s="220"/>
      <c r="CB14" s="220"/>
      <c r="CC14" s="220"/>
      <c r="CD14" s="220"/>
      <c r="CE14" s="220"/>
      <c r="CF14" s="220"/>
      <c r="CG14" s="220"/>
      <c r="CH14" s="220"/>
      <c r="CI14" s="220"/>
      <c r="CJ14" s="220"/>
      <c r="CK14" s="220"/>
      <c r="CL14" s="220"/>
      <c r="CM14" s="220"/>
      <c r="CN14" s="220"/>
      <c r="CO14" s="220"/>
      <c r="CP14" s="220"/>
      <c r="CQ14" s="220"/>
      <c r="CR14" s="220"/>
      <c r="CS14" s="220"/>
      <c r="CT14" s="220"/>
      <c r="CU14" s="220"/>
      <c r="CV14" s="220"/>
      <c r="CW14" s="220"/>
      <c r="CX14" s="220"/>
      <c r="CY14" s="220"/>
      <c r="CZ14" s="220"/>
      <c r="DA14" s="220"/>
      <c r="DB14" s="220"/>
      <c r="DC14" s="220"/>
      <c r="DD14" s="220"/>
      <c r="DE14" s="220"/>
      <c r="DF14" s="220"/>
      <c r="DG14" s="220"/>
      <c r="DH14" s="220"/>
      <c r="DI14" s="220"/>
      <c r="DJ14" s="220"/>
      <c r="DK14" s="220"/>
      <c r="DL14" s="220"/>
      <c r="DM14" s="220"/>
      <c r="DN14" s="220"/>
      <c r="DO14" s="220"/>
      <c r="DP14" s="220"/>
      <c r="DQ14" s="220"/>
    </row>
    <row r="15" spans="2:121" ht="15.75" x14ac:dyDescent="0.25">
      <c r="B15" s="13">
        <v>12</v>
      </c>
      <c r="C15" s="15" t="str">
        <f>Create!H42</f>
        <v>Standard</v>
      </c>
      <c r="D15" s="15">
        <v>1</v>
      </c>
      <c r="E15" s="15"/>
      <c r="F15" s="15">
        <f>Create!I42</f>
        <v>21.544346900318835</v>
      </c>
      <c r="G15" s="15"/>
      <c r="H15" s="15" t="str">
        <f>Create!C42</f>
        <v>Ab1-Dig</v>
      </c>
      <c r="I15" s="78">
        <f>Create!D42</f>
        <v>10</v>
      </c>
      <c r="J15" s="15" t="str">
        <f>Create!E42</f>
        <v>Ab1-Biot</v>
      </c>
      <c r="K15" s="78">
        <f>Create!F42</f>
        <v>3.5</v>
      </c>
      <c r="L15" s="79" t="str">
        <f>Create!G42</f>
        <v>1xRD</v>
      </c>
      <c r="N15" s="220"/>
      <c r="O15" s="220"/>
      <c r="P15" s="220"/>
      <c r="Q15" s="220"/>
      <c r="R15" s="220"/>
      <c r="S15" s="220"/>
      <c r="T15" s="220"/>
      <c r="U15" s="220"/>
      <c r="V15" s="220"/>
      <c r="W15" s="220"/>
      <c r="X15" s="220"/>
      <c r="Y15" s="220"/>
      <c r="Z15" s="220"/>
      <c r="AA15" s="220"/>
      <c r="AB15" s="220"/>
      <c r="AC15" s="220"/>
      <c r="AD15" s="220"/>
      <c r="AE15" s="220"/>
      <c r="AF15" s="220"/>
      <c r="AG15" s="220"/>
      <c r="AH15" s="220"/>
      <c r="AI15" s="220"/>
      <c r="AJ15" s="220"/>
      <c r="AK15" s="220"/>
      <c r="AL15" s="220"/>
      <c r="AM15" s="220"/>
      <c r="AN15" s="220"/>
      <c r="AO15" s="220"/>
      <c r="AP15" s="220"/>
      <c r="AQ15" s="220"/>
      <c r="AR15" s="220"/>
      <c r="AS15" s="220"/>
      <c r="AT15" s="220"/>
      <c r="AU15" s="220"/>
      <c r="AV15" s="220"/>
      <c r="AW15" s="220"/>
      <c r="AX15" s="220"/>
      <c r="AY15" s="220"/>
      <c r="AZ15" s="220"/>
      <c r="BA15" s="220"/>
      <c r="BB15" s="220"/>
      <c r="BC15" s="220"/>
      <c r="BD15" s="220"/>
      <c r="BE15" s="220"/>
      <c r="BF15" s="220"/>
      <c r="BG15" s="220"/>
      <c r="BH15" s="220"/>
      <c r="BI15" s="220"/>
      <c r="BJ15" s="220"/>
      <c r="BK15" s="220"/>
      <c r="BL15" s="220"/>
      <c r="BM15" s="220"/>
      <c r="BN15" s="220"/>
      <c r="BO15" s="220"/>
      <c r="BP15" s="220"/>
      <c r="BQ15" s="220"/>
      <c r="BR15" s="220"/>
      <c r="BS15" s="220"/>
      <c r="BT15" s="220"/>
      <c r="BU15" s="220"/>
      <c r="BV15" s="220"/>
      <c r="BW15" s="220"/>
      <c r="BX15" s="220"/>
      <c r="BY15" s="220"/>
      <c r="BZ15" s="220"/>
      <c r="CA15" s="220"/>
      <c r="CB15" s="220"/>
      <c r="CC15" s="220"/>
      <c r="CD15" s="220"/>
      <c r="CE15" s="220"/>
      <c r="CF15" s="220"/>
      <c r="CG15" s="220"/>
      <c r="CH15" s="220"/>
      <c r="CI15" s="220"/>
      <c r="CJ15" s="220"/>
      <c r="CK15" s="220"/>
      <c r="CL15" s="220"/>
      <c r="CM15" s="220"/>
      <c r="CN15" s="220"/>
      <c r="CO15" s="220"/>
      <c r="CP15" s="220"/>
      <c r="CQ15" s="220"/>
      <c r="CR15" s="220"/>
      <c r="CS15" s="220"/>
      <c r="CT15" s="220"/>
      <c r="CU15" s="220"/>
      <c r="CV15" s="220"/>
      <c r="CW15" s="220"/>
      <c r="CX15" s="220"/>
      <c r="CY15" s="220"/>
      <c r="CZ15" s="220"/>
      <c r="DA15" s="220"/>
      <c r="DB15" s="220"/>
      <c r="DC15" s="220"/>
      <c r="DD15" s="220"/>
      <c r="DE15" s="220"/>
      <c r="DF15" s="220"/>
      <c r="DG15" s="220"/>
      <c r="DH15" s="220"/>
      <c r="DI15" s="220"/>
      <c r="DJ15" s="220"/>
      <c r="DK15" s="220"/>
      <c r="DL15" s="220"/>
      <c r="DM15" s="220"/>
      <c r="DN15" s="220"/>
      <c r="DO15" s="220"/>
      <c r="DP15" s="220"/>
      <c r="DQ15" s="220"/>
    </row>
    <row r="16" spans="2:121" ht="15.75" x14ac:dyDescent="0.25">
      <c r="B16" s="13">
        <v>13</v>
      </c>
      <c r="C16" s="15" t="str">
        <f>Create!H43</f>
        <v>Standard</v>
      </c>
      <c r="D16" s="15">
        <v>1</v>
      </c>
      <c r="E16" s="15"/>
      <c r="F16" s="15">
        <f>Create!I43</f>
        <v>9.9999999999999982</v>
      </c>
      <c r="G16" s="15"/>
      <c r="H16" s="15" t="str">
        <f>Create!C43</f>
        <v>Ab1-Dig</v>
      </c>
      <c r="I16" s="78">
        <f>Create!D43</f>
        <v>10</v>
      </c>
      <c r="J16" s="15" t="str">
        <f>Create!E43</f>
        <v>Ab1-Biot</v>
      </c>
      <c r="K16" s="78">
        <f>Create!F43</f>
        <v>3.5</v>
      </c>
      <c r="L16" s="79" t="str">
        <f>Create!G43</f>
        <v>1xRD</v>
      </c>
      <c r="N16" s="220"/>
      <c r="O16" s="220"/>
      <c r="P16" s="220"/>
      <c r="Q16" s="220"/>
      <c r="R16" s="220"/>
      <c r="S16" s="220"/>
      <c r="T16" s="220"/>
      <c r="U16" s="220"/>
      <c r="V16" s="220"/>
      <c r="W16" s="220"/>
      <c r="X16" s="220"/>
      <c r="Y16" s="220"/>
      <c r="Z16" s="220"/>
      <c r="AA16" s="220"/>
      <c r="AB16" s="220"/>
      <c r="AC16" s="220"/>
      <c r="AD16" s="220"/>
      <c r="AE16" s="220"/>
      <c r="AF16" s="220"/>
      <c r="AG16" s="220"/>
      <c r="AH16" s="220"/>
      <c r="AI16" s="220"/>
      <c r="AJ16" s="220"/>
      <c r="AK16" s="220"/>
      <c r="AL16" s="220"/>
      <c r="AM16" s="220"/>
      <c r="AN16" s="220"/>
      <c r="AO16" s="220"/>
      <c r="AP16" s="220"/>
      <c r="AQ16" s="220"/>
      <c r="AR16" s="220"/>
      <c r="AS16" s="220"/>
      <c r="AT16" s="220"/>
      <c r="AU16" s="220"/>
      <c r="AV16" s="220"/>
      <c r="AW16" s="220"/>
      <c r="AX16" s="220"/>
      <c r="AY16" s="220"/>
      <c r="AZ16" s="220"/>
      <c r="BA16" s="220"/>
      <c r="BB16" s="220"/>
      <c r="BC16" s="220"/>
      <c r="BD16" s="220"/>
      <c r="BE16" s="220"/>
      <c r="BF16" s="220"/>
      <c r="BG16" s="220"/>
      <c r="BH16" s="220"/>
      <c r="BI16" s="220"/>
      <c r="BJ16" s="220"/>
      <c r="BK16" s="220"/>
      <c r="BL16" s="220"/>
      <c r="BM16" s="220"/>
      <c r="BN16" s="220"/>
      <c r="BO16" s="220"/>
      <c r="BP16" s="220"/>
      <c r="BQ16" s="220"/>
      <c r="BR16" s="220"/>
      <c r="BS16" s="220"/>
      <c r="BT16" s="220"/>
      <c r="BU16" s="220"/>
      <c r="BV16" s="220"/>
      <c r="BW16" s="220"/>
      <c r="BX16" s="220"/>
      <c r="BY16" s="220"/>
      <c r="BZ16" s="220"/>
      <c r="CA16" s="220"/>
      <c r="CB16" s="220"/>
      <c r="CC16" s="220"/>
      <c r="CD16" s="220"/>
      <c r="CE16" s="220"/>
      <c r="CF16" s="220"/>
      <c r="CG16" s="220"/>
      <c r="CH16" s="220"/>
      <c r="CI16" s="220"/>
      <c r="CJ16" s="220"/>
      <c r="CK16" s="220"/>
      <c r="CL16" s="220"/>
      <c r="CM16" s="220"/>
      <c r="CN16" s="220"/>
      <c r="CO16" s="220"/>
      <c r="CP16" s="220"/>
      <c r="CQ16" s="220"/>
      <c r="CR16" s="220"/>
      <c r="CS16" s="220"/>
      <c r="CT16" s="220"/>
      <c r="CU16" s="220"/>
      <c r="CV16" s="220"/>
      <c r="CW16" s="220"/>
      <c r="CX16" s="220"/>
      <c r="CY16" s="220"/>
      <c r="CZ16" s="220"/>
      <c r="DA16" s="220"/>
      <c r="DB16" s="220"/>
      <c r="DC16" s="220"/>
      <c r="DD16" s="220"/>
      <c r="DE16" s="220"/>
      <c r="DF16" s="220"/>
      <c r="DG16" s="220"/>
      <c r="DH16" s="220"/>
      <c r="DI16" s="220"/>
      <c r="DJ16" s="220"/>
      <c r="DK16" s="220"/>
      <c r="DL16" s="220"/>
      <c r="DM16" s="220"/>
      <c r="DN16" s="220"/>
      <c r="DO16" s="220"/>
      <c r="DP16" s="220"/>
      <c r="DQ16" s="220"/>
    </row>
    <row r="17" spans="2:121" ht="15.75" x14ac:dyDescent="0.25">
      <c r="B17" s="13">
        <v>14</v>
      </c>
      <c r="C17" s="15" t="str">
        <f>Create!H44</f>
        <v>Standard</v>
      </c>
      <c r="D17" s="15">
        <v>1</v>
      </c>
      <c r="E17" s="15"/>
      <c r="F17" s="15">
        <f>Create!I44</f>
        <v>4.6415888336127775</v>
      </c>
      <c r="G17" s="15"/>
      <c r="H17" s="15" t="str">
        <f>Create!C44</f>
        <v>Ab1-Dig</v>
      </c>
      <c r="I17" s="78">
        <f>Create!D44</f>
        <v>10</v>
      </c>
      <c r="J17" s="15" t="str">
        <f>Create!E44</f>
        <v>Ab1-Biot</v>
      </c>
      <c r="K17" s="78">
        <f>Create!F44</f>
        <v>3.5</v>
      </c>
      <c r="L17" s="79" t="str">
        <f>Create!G44</f>
        <v>1xRD</v>
      </c>
      <c r="N17" s="220"/>
      <c r="O17" s="220"/>
      <c r="P17" s="220"/>
      <c r="Q17" s="220"/>
      <c r="R17" s="220"/>
      <c r="S17" s="220"/>
      <c r="T17" s="220"/>
      <c r="U17" s="220"/>
      <c r="V17" s="220"/>
      <c r="W17" s="220"/>
      <c r="X17" s="220"/>
      <c r="Y17" s="220"/>
      <c r="Z17" s="220"/>
      <c r="AA17" s="220"/>
      <c r="AB17" s="220"/>
      <c r="AC17" s="220"/>
      <c r="AD17" s="220"/>
      <c r="AE17" s="220"/>
      <c r="AF17" s="220"/>
      <c r="AG17" s="220"/>
      <c r="AH17" s="220"/>
      <c r="AI17" s="220"/>
      <c r="AJ17" s="220"/>
      <c r="AK17" s="220"/>
      <c r="AL17" s="220"/>
      <c r="AM17" s="220"/>
      <c r="AN17" s="220"/>
      <c r="AO17" s="220"/>
      <c r="AP17" s="220"/>
      <c r="AQ17" s="220"/>
      <c r="AR17" s="220"/>
      <c r="AS17" s="220"/>
      <c r="AT17" s="220"/>
      <c r="AU17" s="220"/>
      <c r="AV17" s="220"/>
      <c r="AW17" s="220"/>
      <c r="AX17" s="220"/>
      <c r="AY17" s="220"/>
      <c r="AZ17" s="220"/>
      <c r="BA17" s="220"/>
      <c r="BB17" s="220"/>
      <c r="BC17" s="220"/>
      <c r="BD17" s="220"/>
      <c r="BE17" s="220"/>
      <c r="BF17" s="220"/>
      <c r="BG17" s="220"/>
      <c r="BH17" s="220"/>
      <c r="BI17" s="220"/>
      <c r="BJ17" s="220"/>
      <c r="BK17" s="220"/>
      <c r="BL17" s="220"/>
      <c r="BM17" s="220"/>
      <c r="BN17" s="220"/>
      <c r="BO17" s="220"/>
      <c r="BP17" s="220"/>
      <c r="BQ17" s="220"/>
      <c r="BR17" s="220"/>
      <c r="BS17" s="220"/>
      <c r="BT17" s="220"/>
      <c r="BU17" s="220"/>
      <c r="BV17" s="220"/>
      <c r="BW17" s="220"/>
      <c r="BX17" s="220"/>
      <c r="BY17" s="220"/>
      <c r="BZ17" s="220"/>
      <c r="CA17" s="220"/>
      <c r="CB17" s="220"/>
      <c r="CC17" s="220"/>
      <c r="CD17" s="220"/>
      <c r="CE17" s="220"/>
      <c r="CF17" s="220"/>
      <c r="CG17" s="220"/>
      <c r="CH17" s="220"/>
      <c r="CI17" s="220"/>
      <c r="CJ17" s="220"/>
      <c r="CK17" s="220"/>
      <c r="CL17" s="220"/>
      <c r="CM17" s="220"/>
      <c r="CN17" s="220"/>
      <c r="CO17" s="220"/>
      <c r="CP17" s="220"/>
      <c r="CQ17" s="220"/>
      <c r="CR17" s="220"/>
      <c r="CS17" s="220"/>
      <c r="CT17" s="220"/>
      <c r="CU17" s="220"/>
      <c r="CV17" s="220"/>
      <c r="CW17" s="220"/>
      <c r="CX17" s="220"/>
      <c r="CY17" s="220"/>
      <c r="CZ17" s="220"/>
      <c r="DA17" s="220"/>
      <c r="DB17" s="220"/>
      <c r="DC17" s="220"/>
      <c r="DD17" s="220"/>
      <c r="DE17" s="220"/>
      <c r="DF17" s="220"/>
      <c r="DG17" s="220"/>
      <c r="DH17" s="220"/>
      <c r="DI17" s="220"/>
      <c r="DJ17" s="220"/>
      <c r="DK17" s="220"/>
      <c r="DL17" s="220"/>
      <c r="DM17" s="220"/>
      <c r="DN17" s="220"/>
      <c r="DO17" s="220"/>
      <c r="DP17" s="220"/>
      <c r="DQ17" s="220"/>
    </row>
    <row r="18" spans="2:121" ht="15.75" x14ac:dyDescent="0.25">
      <c r="B18" s="13">
        <v>15</v>
      </c>
      <c r="C18" s="15" t="str">
        <f>Create!H45</f>
        <v>Standard</v>
      </c>
      <c r="D18" s="15">
        <v>1</v>
      </c>
      <c r="E18" s="15"/>
      <c r="F18" s="15">
        <f>Create!I45</f>
        <v>2.1544346900318829</v>
      </c>
      <c r="G18" s="15"/>
      <c r="H18" s="15" t="str">
        <f>Create!C45</f>
        <v>Ab1-Dig</v>
      </c>
      <c r="I18" s="78">
        <f>Create!D45</f>
        <v>10</v>
      </c>
      <c r="J18" s="15" t="str">
        <f>Create!E45</f>
        <v>Ab1-Biot</v>
      </c>
      <c r="K18" s="78">
        <f>Create!F45</f>
        <v>3.5</v>
      </c>
      <c r="L18" s="79" t="str">
        <f>Create!G45</f>
        <v>1xRD</v>
      </c>
      <c r="N18" s="220"/>
      <c r="O18" s="220"/>
      <c r="P18" s="220"/>
      <c r="Q18" s="220"/>
      <c r="R18" s="220"/>
      <c r="S18" s="220"/>
      <c r="T18" s="220"/>
      <c r="U18" s="220"/>
      <c r="V18" s="220"/>
      <c r="W18" s="220"/>
      <c r="X18" s="220"/>
      <c r="Y18" s="220"/>
      <c r="Z18" s="220"/>
      <c r="AA18" s="220"/>
      <c r="AB18" s="220"/>
      <c r="AC18" s="220"/>
      <c r="AD18" s="220"/>
      <c r="AE18" s="220"/>
      <c r="AF18" s="220"/>
      <c r="AG18" s="220"/>
      <c r="AH18" s="220"/>
      <c r="AI18" s="220"/>
      <c r="AJ18" s="220"/>
      <c r="AK18" s="220"/>
      <c r="AL18" s="220"/>
      <c r="AM18" s="220"/>
      <c r="AN18" s="220"/>
      <c r="AO18" s="220"/>
      <c r="AP18" s="220"/>
      <c r="AQ18" s="220"/>
      <c r="AR18" s="220"/>
      <c r="AS18" s="220"/>
      <c r="AT18" s="220"/>
      <c r="AU18" s="220"/>
      <c r="AV18" s="220"/>
      <c r="AW18" s="220"/>
      <c r="AX18" s="220"/>
      <c r="AY18" s="220"/>
      <c r="AZ18" s="220"/>
      <c r="BA18" s="220"/>
      <c r="BB18" s="220"/>
      <c r="BC18" s="220"/>
      <c r="BD18" s="220"/>
      <c r="BE18" s="220"/>
      <c r="BF18" s="220"/>
      <c r="BG18" s="220"/>
      <c r="BH18" s="220"/>
      <c r="BI18" s="220"/>
      <c r="BJ18" s="220"/>
      <c r="BK18" s="220"/>
      <c r="BL18" s="220"/>
      <c r="BM18" s="220"/>
      <c r="BN18" s="220"/>
      <c r="BO18" s="220"/>
      <c r="BP18" s="220"/>
      <c r="BQ18" s="220"/>
      <c r="BR18" s="220"/>
      <c r="BS18" s="220"/>
      <c r="BT18" s="220"/>
      <c r="BU18" s="220"/>
      <c r="BV18" s="220"/>
      <c r="BW18" s="220"/>
      <c r="BX18" s="220"/>
      <c r="BY18" s="220"/>
      <c r="BZ18" s="220"/>
      <c r="CA18" s="220"/>
      <c r="CB18" s="220"/>
      <c r="CC18" s="220"/>
      <c r="CD18" s="220"/>
      <c r="CE18" s="220"/>
      <c r="CF18" s="220"/>
      <c r="CG18" s="220"/>
      <c r="CH18" s="220"/>
      <c r="CI18" s="220"/>
      <c r="CJ18" s="220"/>
      <c r="CK18" s="220"/>
      <c r="CL18" s="220"/>
      <c r="CM18" s="220"/>
      <c r="CN18" s="220"/>
      <c r="CO18" s="220"/>
      <c r="CP18" s="220"/>
      <c r="CQ18" s="220"/>
      <c r="CR18" s="220"/>
      <c r="CS18" s="220"/>
      <c r="CT18" s="220"/>
      <c r="CU18" s="220"/>
      <c r="CV18" s="220"/>
      <c r="CW18" s="220"/>
      <c r="CX18" s="220"/>
      <c r="CY18" s="220"/>
      <c r="CZ18" s="220"/>
      <c r="DA18" s="220"/>
      <c r="DB18" s="220"/>
      <c r="DC18" s="220"/>
      <c r="DD18" s="220"/>
      <c r="DE18" s="220"/>
      <c r="DF18" s="220"/>
      <c r="DG18" s="220"/>
      <c r="DH18" s="220"/>
      <c r="DI18" s="220"/>
      <c r="DJ18" s="220"/>
      <c r="DK18" s="220"/>
      <c r="DL18" s="220"/>
      <c r="DM18" s="220"/>
      <c r="DN18" s="220"/>
      <c r="DO18" s="220"/>
      <c r="DP18" s="220"/>
      <c r="DQ18" s="220"/>
    </row>
    <row r="19" spans="2:121" ht="15.75" x14ac:dyDescent="0.25">
      <c r="B19" s="13">
        <v>16</v>
      </c>
      <c r="C19" s="15" t="str">
        <f>Create!H46</f>
        <v>Standard</v>
      </c>
      <c r="D19" s="15">
        <v>1</v>
      </c>
      <c r="E19" s="15"/>
      <c r="F19" s="15">
        <f>Create!I46</f>
        <v>0.99999999999999956</v>
      </c>
      <c r="G19" s="15"/>
      <c r="H19" s="15" t="str">
        <f>Create!C46</f>
        <v>Ab1-Dig</v>
      </c>
      <c r="I19" s="78">
        <f>Create!D46</f>
        <v>10</v>
      </c>
      <c r="J19" s="15" t="str">
        <f>Create!E46</f>
        <v>Ab1-Biot</v>
      </c>
      <c r="K19" s="78">
        <f>Create!F46</f>
        <v>3.5</v>
      </c>
      <c r="L19" s="79" t="str">
        <f>Create!G46</f>
        <v>1xRD</v>
      </c>
      <c r="N19" s="220"/>
      <c r="O19" s="220"/>
      <c r="P19" s="220"/>
      <c r="Q19" s="220"/>
      <c r="R19" s="220"/>
      <c r="S19" s="220"/>
      <c r="T19" s="220"/>
      <c r="U19" s="220"/>
      <c r="V19" s="220"/>
      <c r="W19" s="220"/>
      <c r="X19" s="220"/>
      <c r="Y19" s="220"/>
      <c r="Z19" s="220"/>
      <c r="AA19" s="220"/>
      <c r="AB19" s="220"/>
      <c r="AC19" s="220"/>
      <c r="AD19" s="220"/>
      <c r="AE19" s="220"/>
      <c r="AF19" s="220"/>
      <c r="AG19" s="220"/>
      <c r="AH19" s="220"/>
      <c r="AI19" s="220"/>
      <c r="AJ19" s="220"/>
      <c r="AK19" s="220"/>
      <c r="AL19" s="220"/>
      <c r="AM19" s="220"/>
      <c r="AN19" s="220"/>
      <c r="AO19" s="220"/>
      <c r="AP19" s="220"/>
      <c r="AQ19" s="220"/>
      <c r="AR19" s="220"/>
      <c r="AS19" s="220"/>
      <c r="AT19" s="220"/>
      <c r="AU19" s="220"/>
      <c r="AV19" s="220"/>
      <c r="AW19" s="220"/>
      <c r="AX19" s="220"/>
      <c r="AY19" s="220"/>
      <c r="AZ19" s="220"/>
      <c r="BA19" s="220"/>
      <c r="BB19" s="220"/>
      <c r="BC19" s="220"/>
      <c r="BD19" s="220"/>
      <c r="BE19" s="220"/>
      <c r="BF19" s="220"/>
      <c r="BG19" s="220"/>
      <c r="BH19" s="220"/>
      <c r="BI19" s="220"/>
      <c r="BJ19" s="220"/>
      <c r="BK19" s="220"/>
      <c r="BL19" s="220"/>
      <c r="BM19" s="220"/>
      <c r="BN19" s="220"/>
      <c r="BO19" s="220"/>
      <c r="BP19" s="220"/>
      <c r="BQ19" s="220"/>
      <c r="BR19" s="220"/>
      <c r="BS19" s="220"/>
      <c r="BT19" s="220"/>
      <c r="BU19" s="220"/>
      <c r="BV19" s="220"/>
      <c r="BW19" s="220"/>
      <c r="BX19" s="220"/>
      <c r="BY19" s="220"/>
      <c r="BZ19" s="220"/>
      <c r="CA19" s="220"/>
      <c r="CB19" s="220"/>
      <c r="CC19" s="220"/>
      <c r="CD19" s="220"/>
      <c r="CE19" s="220"/>
      <c r="CF19" s="220"/>
      <c r="CG19" s="220"/>
      <c r="CH19" s="220"/>
      <c r="CI19" s="220"/>
      <c r="CJ19" s="220"/>
      <c r="CK19" s="220"/>
      <c r="CL19" s="220"/>
      <c r="CM19" s="220"/>
      <c r="CN19" s="220"/>
      <c r="CO19" s="220"/>
      <c r="CP19" s="220"/>
      <c r="CQ19" s="220"/>
      <c r="CR19" s="220"/>
      <c r="CS19" s="220"/>
      <c r="CT19" s="220"/>
      <c r="CU19" s="220"/>
      <c r="CV19" s="220"/>
      <c r="CW19" s="220"/>
      <c r="CX19" s="220"/>
      <c r="CY19" s="220"/>
      <c r="CZ19" s="220"/>
      <c r="DA19" s="220"/>
      <c r="DB19" s="220"/>
      <c r="DC19" s="220"/>
      <c r="DD19" s="220"/>
      <c r="DE19" s="220"/>
      <c r="DF19" s="220"/>
      <c r="DG19" s="220"/>
      <c r="DH19" s="220"/>
      <c r="DI19" s="220"/>
      <c r="DJ19" s="220"/>
      <c r="DK19" s="220"/>
      <c r="DL19" s="220"/>
      <c r="DM19" s="220"/>
      <c r="DN19" s="220"/>
      <c r="DO19" s="220"/>
      <c r="DP19" s="220"/>
      <c r="DQ19" s="220"/>
    </row>
    <row r="20" spans="2:121" ht="15.75" x14ac:dyDescent="0.25">
      <c r="B20" s="13">
        <v>17</v>
      </c>
      <c r="C20" s="15" t="str">
        <f>Create!H47</f>
        <v>Standard</v>
      </c>
      <c r="D20" s="15">
        <v>1</v>
      </c>
      <c r="E20" s="15"/>
      <c r="F20" s="15">
        <f>Create!I47</f>
        <v>0</v>
      </c>
      <c r="G20" s="15"/>
      <c r="H20" s="15" t="str">
        <f>Create!C47</f>
        <v>Ab1-Dig</v>
      </c>
      <c r="I20" s="78">
        <f>Create!D47</f>
        <v>3.1622776601683795</v>
      </c>
      <c r="J20" s="15" t="str">
        <f>Create!E47</f>
        <v>Ab1-Biot</v>
      </c>
      <c r="K20" s="78">
        <f>Create!F47</f>
        <v>10</v>
      </c>
      <c r="L20" s="79" t="str">
        <f>Create!G47</f>
        <v>1xRD</v>
      </c>
      <c r="N20" s="220"/>
      <c r="O20" s="220"/>
      <c r="P20" s="220"/>
      <c r="Q20" s="220"/>
      <c r="R20" s="220"/>
      <c r="S20" s="220"/>
      <c r="T20" s="220"/>
      <c r="U20" s="220"/>
      <c r="V20" s="220"/>
      <c r="W20" s="220"/>
      <c r="X20" s="220"/>
      <c r="Y20" s="220"/>
      <c r="Z20" s="220"/>
      <c r="AA20" s="220"/>
      <c r="AB20" s="220"/>
      <c r="AC20" s="220"/>
      <c r="AD20" s="220"/>
      <c r="AE20" s="220"/>
      <c r="AF20" s="220"/>
      <c r="AG20" s="220"/>
      <c r="AH20" s="220"/>
      <c r="AI20" s="220"/>
      <c r="AJ20" s="220"/>
      <c r="AK20" s="220"/>
      <c r="AL20" s="220"/>
      <c r="AM20" s="220"/>
      <c r="AN20" s="220"/>
      <c r="AO20" s="220"/>
      <c r="AP20" s="220"/>
      <c r="AQ20" s="220"/>
      <c r="AR20" s="220"/>
      <c r="AS20" s="220"/>
      <c r="AT20" s="220"/>
      <c r="AU20" s="220"/>
      <c r="AV20" s="220"/>
      <c r="AW20" s="220"/>
      <c r="AX20" s="220"/>
      <c r="AY20" s="220"/>
      <c r="AZ20" s="220"/>
      <c r="BA20" s="220"/>
      <c r="BB20" s="220"/>
      <c r="BC20" s="220"/>
      <c r="BD20" s="220"/>
      <c r="BE20" s="220"/>
      <c r="BF20" s="220"/>
      <c r="BG20" s="220"/>
      <c r="BH20" s="220"/>
      <c r="BI20" s="220"/>
      <c r="BJ20" s="220"/>
      <c r="BK20" s="220"/>
      <c r="BL20" s="220"/>
      <c r="BM20" s="220"/>
      <c r="BN20" s="220"/>
      <c r="BO20" s="220"/>
      <c r="BP20" s="220"/>
      <c r="BQ20" s="220"/>
      <c r="BR20" s="220"/>
      <c r="BS20" s="220"/>
      <c r="BT20" s="220"/>
      <c r="BU20" s="220"/>
      <c r="BV20" s="220"/>
      <c r="BW20" s="220"/>
      <c r="BX20" s="220"/>
      <c r="BY20" s="220"/>
      <c r="BZ20" s="220"/>
      <c r="CA20" s="220"/>
      <c r="CB20" s="220"/>
      <c r="CC20" s="220"/>
      <c r="CD20" s="220"/>
      <c r="CE20" s="220"/>
      <c r="CF20" s="220"/>
      <c r="CG20" s="220"/>
      <c r="CH20" s="220"/>
      <c r="CI20" s="220"/>
      <c r="CJ20" s="220"/>
      <c r="CK20" s="220"/>
      <c r="CL20" s="220"/>
      <c r="CM20" s="220"/>
      <c r="CN20" s="220"/>
      <c r="CO20" s="220"/>
      <c r="CP20" s="220"/>
      <c r="CQ20" s="220"/>
      <c r="CR20" s="220"/>
      <c r="CS20" s="220"/>
      <c r="CT20" s="220"/>
      <c r="CU20" s="220"/>
      <c r="CV20" s="220"/>
      <c r="CW20" s="220"/>
      <c r="CX20" s="220"/>
      <c r="CY20" s="220"/>
      <c r="CZ20" s="220"/>
      <c r="DA20" s="220"/>
      <c r="DB20" s="220"/>
      <c r="DC20" s="220"/>
      <c r="DD20" s="220"/>
      <c r="DE20" s="220"/>
      <c r="DF20" s="220"/>
      <c r="DG20" s="220"/>
      <c r="DH20" s="220"/>
      <c r="DI20" s="220"/>
      <c r="DJ20" s="220"/>
      <c r="DK20" s="220"/>
      <c r="DL20" s="220"/>
      <c r="DM20" s="220"/>
      <c r="DN20" s="220"/>
      <c r="DO20" s="220"/>
      <c r="DP20" s="220"/>
      <c r="DQ20" s="220"/>
    </row>
    <row r="21" spans="2:121" ht="15.75" x14ac:dyDescent="0.25">
      <c r="B21" s="13">
        <v>18</v>
      </c>
      <c r="C21" s="15" t="str">
        <f>Create!H48</f>
        <v>Standard</v>
      </c>
      <c r="D21" s="15">
        <v>1</v>
      </c>
      <c r="E21" s="15"/>
      <c r="F21" s="15">
        <f>Create!I48</f>
        <v>100</v>
      </c>
      <c r="G21" s="15"/>
      <c r="H21" s="15" t="str">
        <f>Create!C48</f>
        <v>Ab1-Dig</v>
      </c>
      <c r="I21" s="78">
        <f>Create!D48</f>
        <v>3.1622776601683795</v>
      </c>
      <c r="J21" s="15" t="str">
        <f>Create!E48</f>
        <v>Ab1-Biot</v>
      </c>
      <c r="K21" s="78">
        <f>Create!F48</f>
        <v>10</v>
      </c>
      <c r="L21" s="79" t="str">
        <f>Create!G48</f>
        <v>1xRD</v>
      </c>
      <c r="N21" s="220"/>
      <c r="O21" s="220"/>
      <c r="P21" s="220"/>
      <c r="Q21" s="220"/>
      <c r="R21" s="220"/>
      <c r="S21" s="220"/>
      <c r="T21" s="220"/>
      <c r="U21" s="220"/>
      <c r="V21" s="220"/>
      <c r="W21" s="220"/>
      <c r="X21" s="220"/>
      <c r="Y21" s="220"/>
      <c r="Z21" s="220"/>
      <c r="AA21" s="220"/>
      <c r="AB21" s="220"/>
      <c r="AC21" s="220"/>
      <c r="AD21" s="220"/>
      <c r="AE21" s="220"/>
      <c r="AF21" s="220"/>
      <c r="AG21" s="220"/>
      <c r="AH21" s="220"/>
      <c r="AI21" s="220"/>
      <c r="AJ21" s="220"/>
      <c r="AK21" s="220"/>
      <c r="AL21" s="220"/>
      <c r="AM21" s="220"/>
      <c r="AN21" s="220"/>
      <c r="AO21" s="220"/>
      <c r="AP21" s="220"/>
      <c r="AQ21" s="220"/>
      <c r="AR21" s="220"/>
      <c r="AS21" s="220"/>
      <c r="AT21" s="220"/>
      <c r="AU21" s="220"/>
      <c r="AV21" s="220"/>
      <c r="AW21" s="220"/>
      <c r="AX21" s="220"/>
      <c r="AY21" s="220"/>
      <c r="AZ21" s="220"/>
      <c r="BA21" s="220"/>
      <c r="BB21" s="220"/>
      <c r="BC21" s="220"/>
      <c r="BD21" s="220"/>
      <c r="BE21" s="220"/>
      <c r="BF21" s="220"/>
      <c r="BG21" s="220"/>
      <c r="BH21" s="220"/>
      <c r="BI21" s="220"/>
      <c r="BJ21" s="220"/>
      <c r="BK21" s="220"/>
      <c r="BL21" s="220"/>
      <c r="BM21" s="220"/>
      <c r="BN21" s="220"/>
      <c r="BO21" s="220"/>
      <c r="BP21" s="220"/>
      <c r="BQ21" s="220"/>
      <c r="BR21" s="220"/>
      <c r="BS21" s="220"/>
      <c r="BT21" s="220"/>
      <c r="BU21" s="220"/>
      <c r="BV21" s="220"/>
      <c r="BW21" s="220"/>
      <c r="BX21" s="220"/>
      <c r="BY21" s="220"/>
      <c r="BZ21" s="220"/>
      <c r="CA21" s="220"/>
      <c r="CB21" s="220"/>
      <c r="CC21" s="220"/>
      <c r="CD21" s="220"/>
      <c r="CE21" s="220"/>
      <c r="CF21" s="220"/>
      <c r="CG21" s="220"/>
      <c r="CH21" s="220"/>
      <c r="CI21" s="220"/>
      <c r="CJ21" s="220"/>
      <c r="CK21" s="220"/>
      <c r="CL21" s="220"/>
      <c r="CM21" s="220"/>
      <c r="CN21" s="220"/>
      <c r="CO21" s="220"/>
      <c r="CP21" s="220"/>
      <c r="CQ21" s="220"/>
      <c r="CR21" s="220"/>
      <c r="CS21" s="220"/>
      <c r="CT21" s="220"/>
      <c r="CU21" s="220"/>
      <c r="CV21" s="220"/>
      <c r="CW21" s="220"/>
      <c r="CX21" s="220"/>
      <c r="CY21" s="220"/>
      <c r="CZ21" s="220"/>
      <c r="DA21" s="220"/>
      <c r="DB21" s="220"/>
      <c r="DC21" s="220"/>
      <c r="DD21" s="220"/>
      <c r="DE21" s="220"/>
      <c r="DF21" s="220"/>
      <c r="DG21" s="220"/>
      <c r="DH21" s="220"/>
      <c r="DI21" s="220"/>
      <c r="DJ21" s="220"/>
      <c r="DK21" s="220"/>
      <c r="DL21" s="220"/>
      <c r="DM21" s="220"/>
      <c r="DN21" s="220"/>
      <c r="DO21" s="220"/>
      <c r="DP21" s="220"/>
      <c r="DQ21" s="220"/>
    </row>
    <row r="22" spans="2:121" ht="15.75" x14ac:dyDescent="0.25">
      <c r="B22" s="13">
        <v>19</v>
      </c>
      <c r="C22" s="15" t="str">
        <f>Create!H49</f>
        <v>Standard</v>
      </c>
      <c r="D22" s="15">
        <v>1</v>
      </c>
      <c r="E22" s="15"/>
      <c r="F22" s="15">
        <f>Create!I49</f>
        <v>46.415888336127786</v>
      </c>
      <c r="G22" s="15"/>
      <c r="H22" s="15" t="str">
        <f>Create!C49</f>
        <v>Ab1-Dig</v>
      </c>
      <c r="I22" s="78">
        <f>Create!D49</f>
        <v>3.1622776601683795</v>
      </c>
      <c r="J22" s="15" t="str">
        <f>Create!E49</f>
        <v>Ab1-Biot</v>
      </c>
      <c r="K22" s="78">
        <f>Create!F49</f>
        <v>10</v>
      </c>
      <c r="L22" s="79" t="str">
        <f>Create!G49</f>
        <v>1xRD</v>
      </c>
      <c r="N22" s="220"/>
      <c r="O22" s="220"/>
      <c r="P22" s="220"/>
      <c r="Q22" s="220"/>
      <c r="R22" s="220"/>
      <c r="S22" s="220"/>
      <c r="T22" s="220"/>
      <c r="U22" s="220"/>
      <c r="V22" s="220"/>
      <c r="W22" s="220"/>
      <c r="X22" s="220"/>
      <c r="Y22" s="220"/>
      <c r="Z22" s="220"/>
      <c r="AA22" s="220"/>
      <c r="AB22" s="220"/>
      <c r="AC22" s="220"/>
      <c r="AD22" s="220"/>
      <c r="AE22" s="220"/>
      <c r="AF22" s="220"/>
      <c r="AG22" s="220"/>
      <c r="AH22" s="220"/>
      <c r="AI22" s="220"/>
      <c r="AJ22" s="220"/>
      <c r="AK22" s="220"/>
      <c r="AL22" s="220"/>
      <c r="AM22" s="220"/>
      <c r="AN22" s="220"/>
      <c r="AO22" s="220"/>
      <c r="AP22" s="220"/>
      <c r="AQ22" s="220"/>
      <c r="AR22" s="220"/>
      <c r="AS22" s="220"/>
      <c r="AT22" s="220"/>
      <c r="AU22" s="220"/>
      <c r="AV22" s="220"/>
      <c r="AW22" s="220"/>
      <c r="AX22" s="220"/>
      <c r="AY22" s="220"/>
      <c r="AZ22" s="220"/>
      <c r="BA22" s="220"/>
      <c r="BB22" s="220"/>
      <c r="BC22" s="220"/>
      <c r="BD22" s="220"/>
      <c r="BE22" s="220"/>
      <c r="BF22" s="220"/>
      <c r="BG22" s="220"/>
      <c r="BH22" s="220"/>
      <c r="BI22" s="220"/>
      <c r="BJ22" s="220"/>
      <c r="BK22" s="220"/>
      <c r="BL22" s="220"/>
      <c r="BM22" s="220"/>
      <c r="BN22" s="220"/>
      <c r="BO22" s="220"/>
      <c r="BP22" s="220"/>
      <c r="BQ22" s="220"/>
      <c r="BR22" s="220"/>
      <c r="BS22" s="220"/>
      <c r="BT22" s="220"/>
      <c r="BU22" s="220"/>
      <c r="BV22" s="220"/>
      <c r="BW22" s="220"/>
      <c r="BX22" s="220"/>
      <c r="BY22" s="220"/>
      <c r="BZ22" s="220"/>
      <c r="CA22" s="220"/>
      <c r="CB22" s="220"/>
      <c r="CC22" s="220"/>
      <c r="CD22" s="220"/>
      <c r="CE22" s="220"/>
      <c r="CF22" s="220"/>
      <c r="CG22" s="220"/>
      <c r="CH22" s="220"/>
      <c r="CI22" s="220"/>
      <c r="CJ22" s="220"/>
      <c r="CK22" s="220"/>
      <c r="CL22" s="220"/>
      <c r="CM22" s="220"/>
      <c r="CN22" s="220"/>
      <c r="CO22" s="220"/>
      <c r="CP22" s="220"/>
      <c r="CQ22" s="220"/>
      <c r="CR22" s="220"/>
      <c r="CS22" s="220"/>
      <c r="CT22" s="220"/>
      <c r="CU22" s="220"/>
      <c r="CV22" s="220"/>
      <c r="CW22" s="220"/>
      <c r="CX22" s="220"/>
      <c r="CY22" s="220"/>
      <c r="CZ22" s="220"/>
      <c r="DA22" s="220"/>
      <c r="DB22" s="220"/>
      <c r="DC22" s="220"/>
      <c r="DD22" s="220"/>
      <c r="DE22" s="220"/>
      <c r="DF22" s="220"/>
      <c r="DG22" s="220"/>
      <c r="DH22" s="220"/>
      <c r="DI22" s="220"/>
      <c r="DJ22" s="220"/>
      <c r="DK22" s="220"/>
      <c r="DL22" s="220"/>
      <c r="DM22" s="220"/>
      <c r="DN22" s="220"/>
      <c r="DO22" s="220"/>
      <c r="DP22" s="220"/>
      <c r="DQ22" s="220"/>
    </row>
    <row r="23" spans="2:121" ht="15.75" x14ac:dyDescent="0.25">
      <c r="B23" s="13">
        <v>20</v>
      </c>
      <c r="C23" s="15" t="str">
        <f>Create!H50</f>
        <v>Standard</v>
      </c>
      <c r="D23" s="15">
        <v>1</v>
      </c>
      <c r="E23" s="15"/>
      <c r="F23" s="15">
        <f>Create!I50</f>
        <v>21.544346900318835</v>
      </c>
      <c r="G23" s="15"/>
      <c r="H23" s="15" t="str">
        <f>Create!C50</f>
        <v>Ab1-Dig</v>
      </c>
      <c r="I23" s="78">
        <f>Create!D50</f>
        <v>3.1622776601683795</v>
      </c>
      <c r="J23" s="15" t="str">
        <f>Create!E50</f>
        <v>Ab1-Biot</v>
      </c>
      <c r="K23" s="78">
        <f>Create!F50</f>
        <v>10</v>
      </c>
      <c r="L23" s="79" t="str">
        <f>Create!G50</f>
        <v>1xRD</v>
      </c>
      <c r="N23" s="220"/>
      <c r="O23" s="220"/>
      <c r="P23" s="220"/>
      <c r="Q23" s="220"/>
      <c r="R23" s="220"/>
      <c r="S23" s="220"/>
      <c r="T23" s="220"/>
      <c r="U23" s="220"/>
      <c r="V23" s="220"/>
      <c r="W23" s="220"/>
      <c r="X23" s="220"/>
      <c r="Y23" s="220"/>
      <c r="Z23" s="220"/>
      <c r="AA23" s="220"/>
      <c r="AB23" s="220"/>
      <c r="AC23" s="220"/>
      <c r="AD23" s="220"/>
      <c r="AE23" s="220"/>
      <c r="AF23" s="220"/>
      <c r="AG23" s="220"/>
      <c r="AH23" s="220"/>
      <c r="AI23" s="220"/>
      <c r="AJ23" s="220"/>
      <c r="AK23" s="220"/>
      <c r="AL23" s="220"/>
      <c r="AM23" s="220"/>
      <c r="AN23" s="220"/>
      <c r="AO23" s="220"/>
      <c r="AP23" s="220"/>
      <c r="AQ23" s="220"/>
      <c r="AR23" s="220"/>
      <c r="AS23" s="220"/>
      <c r="AT23" s="220"/>
      <c r="AU23" s="220"/>
      <c r="AV23" s="220"/>
      <c r="AW23" s="220"/>
      <c r="AX23" s="220"/>
      <c r="AY23" s="220"/>
      <c r="AZ23" s="220"/>
      <c r="BA23" s="220"/>
      <c r="BB23" s="220"/>
      <c r="BC23" s="220"/>
      <c r="BD23" s="220"/>
      <c r="BE23" s="220"/>
      <c r="BF23" s="220"/>
      <c r="BG23" s="220"/>
      <c r="BH23" s="220"/>
      <c r="BI23" s="220"/>
      <c r="BJ23" s="220"/>
      <c r="BK23" s="220"/>
      <c r="BL23" s="220"/>
      <c r="BM23" s="220"/>
      <c r="BN23" s="220"/>
      <c r="BO23" s="220"/>
      <c r="BP23" s="220"/>
      <c r="BQ23" s="220"/>
      <c r="BR23" s="220"/>
      <c r="BS23" s="220"/>
      <c r="BT23" s="220"/>
      <c r="BU23" s="220"/>
      <c r="BV23" s="220"/>
      <c r="BW23" s="220"/>
      <c r="BX23" s="220"/>
      <c r="BY23" s="220"/>
      <c r="BZ23" s="220"/>
      <c r="CA23" s="220"/>
      <c r="CB23" s="220"/>
      <c r="CC23" s="220"/>
      <c r="CD23" s="220"/>
      <c r="CE23" s="220"/>
      <c r="CF23" s="220"/>
      <c r="CG23" s="220"/>
      <c r="CH23" s="220"/>
      <c r="CI23" s="220"/>
      <c r="CJ23" s="220"/>
      <c r="CK23" s="220"/>
      <c r="CL23" s="220"/>
      <c r="CM23" s="220"/>
      <c r="CN23" s="220"/>
      <c r="CO23" s="220"/>
      <c r="CP23" s="220"/>
      <c r="CQ23" s="220"/>
      <c r="CR23" s="220"/>
      <c r="CS23" s="220"/>
      <c r="CT23" s="220"/>
      <c r="CU23" s="220"/>
      <c r="CV23" s="220"/>
      <c r="CW23" s="220"/>
      <c r="CX23" s="220"/>
      <c r="CY23" s="220"/>
      <c r="CZ23" s="220"/>
      <c r="DA23" s="220"/>
      <c r="DB23" s="220"/>
      <c r="DC23" s="220"/>
      <c r="DD23" s="220"/>
      <c r="DE23" s="220"/>
      <c r="DF23" s="220"/>
      <c r="DG23" s="220"/>
      <c r="DH23" s="220"/>
      <c r="DI23" s="220"/>
      <c r="DJ23" s="220"/>
      <c r="DK23" s="220"/>
      <c r="DL23" s="220"/>
      <c r="DM23" s="220"/>
      <c r="DN23" s="220"/>
      <c r="DO23" s="220"/>
      <c r="DP23" s="220"/>
      <c r="DQ23" s="220"/>
    </row>
    <row r="24" spans="2:121" ht="15.75" x14ac:dyDescent="0.25">
      <c r="B24" s="13">
        <v>21</v>
      </c>
      <c r="C24" s="15" t="str">
        <f>Create!H51</f>
        <v>Standard</v>
      </c>
      <c r="D24" s="15">
        <v>1</v>
      </c>
      <c r="E24" s="15"/>
      <c r="F24" s="15">
        <f>Create!I51</f>
        <v>9.9999999999999982</v>
      </c>
      <c r="G24" s="15"/>
      <c r="H24" s="15" t="str">
        <f>Create!C51</f>
        <v>Ab1-Dig</v>
      </c>
      <c r="I24" s="78">
        <f>Create!D51</f>
        <v>3.1622776601683795</v>
      </c>
      <c r="J24" s="15" t="str">
        <f>Create!E51</f>
        <v>Ab1-Biot</v>
      </c>
      <c r="K24" s="78">
        <f>Create!F51</f>
        <v>10</v>
      </c>
      <c r="L24" s="79" t="str">
        <f>Create!G51</f>
        <v>1xRD</v>
      </c>
      <c r="N24" s="220"/>
      <c r="O24" s="220"/>
      <c r="P24" s="220"/>
      <c r="Q24" s="220"/>
      <c r="R24" s="220"/>
      <c r="S24" s="220"/>
      <c r="T24" s="220"/>
      <c r="U24" s="220"/>
      <c r="V24" s="220"/>
      <c r="W24" s="220"/>
      <c r="X24" s="220"/>
      <c r="Y24" s="220"/>
      <c r="Z24" s="220"/>
      <c r="AA24" s="220"/>
      <c r="AB24" s="220"/>
      <c r="AC24" s="220"/>
      <c r="AD24" s="220"/>
      <c r="AE24" s="220"/>
      <c r="AF24" s="220"/>
      <c r="AG24" s="220"/>
      <c r="AH24" s="220"/>
      <c r="AI24" s="220"/>
      <c r="AJ24" s="220"/>
      <c r="AK24" s="220"/>
      <c r="AL24" s="220"/>
      <c r="AM24" s="220"/>
      <c r="AN24" s="220"/>
      <c r="AO24" s="220"/>
      <c r="AP24" s="220"/>
      <c r="AQ24" s="220"/>
      <c r="AR24" s="220"/>
      <c r="AS24" s="220"/>
      <c r="AT24" s="220"/>
      <c r="AU24" s="220"/>
      <c r="AV24" s="220"/>
      <c r="AW24" s="220"/>
      <c r="AX24" s="220"/>
      <c r="AY24" s="220"/>
      <c r="AZ24" s="220"/>
      <c r="BA24" s="220"/>
      <c r="BB24" s="220"/>
      <c r="BC24" s="220"/>
      <c r="BD24" s="220"/>
      <c r="BE24" s="220"/>
      <c r="BF24" s="220"/>
      <c r="BG24" s="220"/>
      <c r="BH24" s="220"/>
      <c r="BI24" s="220"/>
      <c r="BJ24" s="220"/>
      <c r="BK24" s="220"/>
      <c r="BL24" s="220"/>
      <c r="BM24" s="220"/>
      <c r="BN24" s="220"/>
      <c r="BO24" s="220"/>
      <c r="BP24" s="220"/>
      <c r="BQ24" s="220"/>
      <c r="BR24" s="220"/>
      <c r="BS24" s="220"/>
      <c r="BT24" s="220"/>
      <c r="BU24" s="220"/>
      <c r="BV24" s="220"/>
      <c r="BW24" s="220"/>
      <c r="BX24" s="220"/>
      <c r="BY24" s="220"/>
      <c r="BZ24" s="220"/>
      <c r="CA24" s="220"/>
      <c r="CB24" s="220"/>
      <c r="CC24" s="220"/>
      <c r="CD24" s="220"/>
      <c r="CE24" s="220"/>
      <c r="CF24" s="220"/>
      <c r="CG24" s="220"/>
      <c r="CH24" s="220"/>
      <c r="CI24" s="220"/>
      <c r="CJ24" s="220"/>
      <c r="CK24" s="220"/>
      <c r="CL24" s="220"/>
      <c r="CM24" s="220"/>
      <c r="CN24" s="220"/>
      <c r="CO24" s="220"/>
      <c r="CP24" s="220"/>
      <c r="CQ24" s="220"/>
      <c r="CR24" s="220"/>
      <c r="CS24" s="220"/>
      <c r="CT24" s="220"/>
      <c r="CU24" s="220"/>
      <c r="CV24" s="220"/>
      <c r="CW24" s="220"/>
      <c r="CX24" s="220"/>
      <c r="CY24" s="220"/>
      <c r="CZ24" s="220"/>
      <c r="DA24" s="220"/>
      <c r="DB24" s="220"/>
      <c r="DC24" s="220"/>
      <c r="DD24" s="220"/>
      <c r="DE24" s="220"/>
      <c r="DF24" s="220"/>
      <c r="DG24" s="220"/>
      <c r="DH24" s="220"/>
      <c r="DI24" s="220"/>
      <c r="DJ24" s="220"/>
      <c r="DK24" s="220"/>
      <c r="DL24" s="220"/>
      <c r="DM24" s="220"/>
      <c r="DN24" s="220"/>
      <c r="DO24" s="220"/>
      <c r="DP24" s="220"/>
      <c r="DQ24" s="220"/>
    </row>
    <row r="25" spans="2:121" ht="15.75" x14ac:dyDescent="0.25">
      <c r="B25" s="13">
        <v>22</v>
      </c>
      <c r="C25" s="15" t="str">
        <f>Create!H52</f>
        <v>Standard</v>
      </c>
      <c r="D25" s="15">
        <v>1</v>
      </c>
      <c r="E25" s="15"/>
      <c r="F25" s="15">
        <f>Create!I52</f>
        <v>4.6415888336127775</v>
      </c>
      <c r="G25" s="15"/>
      <c r="H25" s="15" t="str">
        <f>Create!C52</f>
        <v>Ab1-Dig</v>
      </c>
      <c r="I25" s="78">
        <f>Create!D52</f>
        <v>3.1622776601683795</v>
      </c>
      <c r="J25" s="15" t="str">
        <f>Create!E52</f>
        <v>Ab1-Biot</v>
      </c>
      <c r="K25" s="78">
        <f>Create!F52</f>
        <v>10</v>
      </c>
      <c r="L25" s="79" t="str">
        <f>Create!G52</f>
        <v>1xRD</v>
      </c>
      <c r="N25" s="220"/>
      <c r="O25" s="220"/>
      <c r="P25" s="220"/>
      <c r="Q25" s="220"/>
      <c r="R25" s="220"/>
      <c r="S25" s="220"/>
      <c r="T25" s="220"/>
      <c r="U25" s="220"/>
      <c r="V25" s="220"/>
      <c r="W25" s="220"/>
      <c r="X25" s="220"/>
      <c r="Y25" s="220"/>
      <c r="Z25" s="220"/>
      <c r="AA25" s="220"/>
      <c r="AB25" s="220"/>
      <c r="AC25" s="220"/>
      <c r="AD25" s="220"/>
      <c r="AE25" s="220"/>
      <c r="AF25" s="220"/>
      <c r="AG25" s="220"/>
      <c r="AH25" s="220"/>
      <c r="AI25" s="220"/>
      <c r="AJ25" s="220"/>
      <c r="AK25" s="220"/>
      <c r="AL25" s="220"/>
      <c r="AM25" s="220"/>
      <c r="AN25" s="220"/>
      <c r="AO25" s="220"/>
      <c r="AP25" s="220"/>
      <c r="AQ25" s="220"/>
      <c r="AR25" s="220"/>
      <c r="AS25" s="220"/>
      <c r="AT25" s="220"/>
      <c r="AU25" s="220"/>
      <c r="AV25" s="220"/>
      <c r="AW25" s="220"/>
      <c r="AX25" s="220"/>
      <c r="AY25" s="220"/>
      <c r="AZ25" s="220"/>
      <c r="BA25" s="220"/>
      <c r="BB25" s="220"/>
      <c r="BC25" s="220"/>
      <c r="BD25" s="220"/>
      <c r="BE25" s="220"/>
      <c r="BF25" s="220"/>
      <c r="BG25" s="220"/>
      <c r="BH25" s="220"/>
      <c r="BI25" s="220"/>
      <c r="BJ25" s="220"/>
      <c r="BK25" s="220"/>
      <c r="BL25" s="220"/>
      <c r="BM25" s="220"/>
      <c r="BN25" s="220"/>
      <c r="BO25" s="220"/>
      <c r="BP25" s="220"/>
      <c r="BQ25" s="220"/>
      <c r="BR25" s="220"/>
      <c r="BS25" s="220"/>
      <c r="BT25" s="220"/>
      <c r="BU25" s="220"/>
      <c r="BV25" s="220"/>
      <c r="BW25" s="220"/>
      <c r="BX25" s="220"/>
      <c r="BY25" s="220"/>
      <c r="BZ25" s="220"/>
      <c r="CA25" s="220"/>
      <c r="CB25" s="220"/>
      <c r="CC25" s="220"/>
      <c r="CD25" s="220"/>
      <c r="CE25" s="220"/>
      <c r="CF25" s="220"/>
      <c r="CG25" s="220"/>
      <c r="CH25" s="220"/>
      <c r="CI25" s="220"/>
      <c r="CJ25" s="220"/>
      <c r="CK25" s="220"/>
      <c r="CL25" s="220"/>
      <c r="CM25" s="220"/>
      <c r="CN25" s="220"/>
      <c r="CO25" s="220"/>
      <c r="CP25" s="220"/>
      <c r="CQ25" s="220"/>
      <c r="CR25" s="220"/>
      <c r="CS25" s="220"/>
      <c r="CT25" s="220"/>
      <c r="CU25" s="220"/>
      <c r="CV25" s="220"/>
      <c r="CW25" s="220"/>
      <c r="CX25" s="220"/>
      <c r="CY25" s="220"/>
      <c r="CZ25" s="220"/>
      <c r="DA25" s="220"/>
      <c r="DB25" s="220"/>
      <c r="DC25" s="220"/>
      <c r="DD25" s="220"/>
      <c r="DE25" s="220"/>
      <c r="DF25" s="220"/>
      <c r="DG25" s="220"/>
      <c r="DH25" s="220"/>
      <c r="DI25" s="220"/>
      <c r="DJ25" s="220"/>
      <c r="DK25" s="220"/>
      <c r="DL25" s="220"/>
      <c r="DM25" s="220"/>
      <c r="DN25" s="220"/>
      <c r="DO25" s="220"/>
      <c r="DP25" s="220"/>
      <c r="DQ25" s="220"/>
    </row>
    <row r="26" spans="2:121" ht="15.75" x14ac:dyDescent="0.25">
      <c r="B26" s="13">
        <v>23</v>
      </c>
      <c r="C26" s="15" t="str">
        <f>Create!H53</f>
        <v>Standard</v>
      </c>
      <c r="D26" s="15">
        <v>1</v>
      </c>
      <c r="E26" s="15"/>
      <c r="F26" s="15">
        <f>Create!I53</f>
        <v>2.1544346900318829</v>
      </c>
      <c r="G26" s="15"/>
      <c r="H26" s="15" t="str">
        <f>Create!C53</f>
        <v>Ab1-Dig</v>
      </c>
      <c r="I26" s="78">
        <f>Create!D53</f>
        <v>3.1622776601683795</v>
      </c>
      <c r="J26" s="15" t="str">
        <f>Create!E53</f>
        <v>Ab1-Biot</v>
      </c>
      <c r="K26" s="78">
        <f>Create!F53</f>
        <v>10</v>
      </c>
      <c r="L26" s="79" t="str">
        <f>Create!G53</f>
        <v>1xRD</v>
      </c>
      <c r="N26" s="220"/>
      <c r="O26" s="220"/>
      <c r="P26" s="220"/>
      <c r="Q26" s="220"/>
      <c r="R26" s="220"/>
      <c r="S26" s="220"/>
      <c r="T26" s="220"/>
      <c r="U26" s="220"/>
      <c r="V26" s="220"/>
      <c r="W26" s="220"/>
      <c r="X26" s="220"/>
      <c r="Y26" s="220"/>
      <c r="Z26" s="220"/>
      <c r="AA26" s="220"/>
      <c r="AB26" s="220"/>
      <c r="AC26" s="220"/>
      <c r="AD26" s="220"/>
      <c r="AE26" s="220"/>
      <c r="AF26" s="220"/>
      <c r="AG26" s="220"/>
      <c r="AH26" s="220"/>
      <c r="AI26" s="220"/>
      <c r="AJ26" s="220"/>
      <c r="AK26" s="220"/>
      <c r="AL26" s="220"/>
      <c r="AM26" s="220"/>
      <c r="AN26" s="220"/>
      <c r="AO26" s="220"/>
      <c r="AP26" s="220"/>
      <c r="AQ26" s="220"/>
      <c r="AR26" s="220"/>
      <c r="AS26" s="220"/>
      <c r="AT26" s="220"/>
      <c r="AU26" s="220"/>
      <c r="AV26" s="220"/>
      <c r="AW26" s="220"/>
      <c r="AX26" s="220"/>
      <c r="AY26" s="220"/>
      <c r="AZ26" s="220"/>
      <c r="BA26" s="220"/>
      <c r="BB26" s="220"/>
      <c r="BC26" s="220"/>
      <c r="BD26" s="220"/>
      <c r="BE26" s="220"/>
      <c r="BF26" s="220"/>
      <c r="BG26" s="220"/>
      <c r="BH26" s="220"/>
      <c r="BI26" s="220"/>
      <c r="BJ26" s="220"/>
      <c r="BK26" s="220"/>
      <c r="BL26" s="220"/>
      <c r="BM26" s="220"/>
      <c r="BN26" s="220"/>
      <c r="BO26" s="220"/>
      <c r="BP26" s="220"/>
      <c r="BQ26" s="220"/>
      <c r="BR26" s="220"/>
      <c r="BS26" s="220"/>
      <c r="BT26" s="220"/>
      <c r="BU26" s="220"/>
      <c r="BV26" s="220"/>
      <c r="BW26" s="220"/>
      <c r="BX26" s="220"/>
      <c r="BY26" s="220"/>
      <c r="BZ26" s="220"/>
      <c r="CA26" s="220"/>
      <c r="CB26" s="220"/>
      <c r="CC26" s="220"/>
      <c r="CD26" s="220"/>
      <c r="CE26" s="220"/>
      <c r="CF26" s="220"/>
      <c r="CG26" s="220"/>
      <c r="CH26" s="220"/>
      <c r="CI26" s="220"/>
      <c r="CJ26" s="220"/>
      <c r="CK26" s="220"/>
      <c r="CL26" s="220"/>
      <c r="CM26" s="220"/>
      <c r="CN26" s="220"/>
      <c r="CO26" s="220"/>
      <c r="CP26" s="220"/>
      <c r="CQ26" s="220"/>
      <c r="CR26" s="220"/>
      <c r="CS26" s="220"/>
      <c r="CT26" s="220"/>
      <c r="CU26" s="220"/>
      <c r="CV26" s="220"/>
      <c r="CW26" s="220"/>
      <c r="CX26" s="220"/>
      <c r="CY26" s="220"/>
      <c r="CZ26" s="220"/>
      <c r="DA26" s="220"/>
      <c r="DB26" s="220"/>
      <c r="DC26" s="220"/>
      <c r="DD26" s="220"/>
      <c r="DE26" s="220"/>
      <c r="DF26" s="220"/>
      <c r="DG26" s="220"/>
      <c r="DH26" s="220"/>
      <c r="DI26" s="220"/>
      <c r="DJ26" s="220"/>
      <c r="DK26" s="220"/>
      <c r="DL26" s="220"/>
      <c r="DM26" s="220"/>
      <c r="DN26" s="220"/>
      <c r="DO26" s="220"/>
      <c r="DP26" s="220"/>
      <c r="DQ26" s="220"/>
    </row>
    <row r="27" spans="2:121" ht="15.75" x14ac:dyDescent="0.25">
      <c r="B27" s="13">
        <v>24</v>
      </c>
      <c r="C27" s="15" t="str">
        <f>Create!H54</f>
        <v>Standard</v>
      </c>
      <c r="D27" s="15">
        <v>1</v>
      </c>
      <c r="E27" s="15"/>
      <c r="F27" s="15">
        <f>Create!I54</f>
        <v>0.99999999999999956</v>
      </c>
      <c r="G27" s="15"/>
      <c r="H27" s="15" t="str">
        <f>Create!C54</f>
        <v>Ab1-Dig</v>
      </c>
      <c r="I27" s="78">
        <f>Create!D54</f>
        <v>3.1622776601683795</v>
      </c>
      <c r="J27" s="15" t="str">
        <f>Create!E54</f>
        <v>Ab1-Biot</v>
      </c>
      <c r="K27" s="78">
        <f>Create!F54</f>
        <v>10</v>
      </c>
      <c r="L27" s="79" t="str">
        <f>Create!G54</f>
        <v>1xRD</v>
      </c>
      <c r="N27" s="220"/>
      <c r="O27" s="220"/>
      <c r="P27" s="220"/>
      <c r="Q27" s="220"/>
      <c r="R27" s="220"/>
      <c r="S27" s="220"/>
      <c r="T27" s="220"/>
      <c r="U27" s="220"/>
      <c r="V27" s="220"/>
      <c r="W27" s="220"/>
      <c r="X27" s="220"/>
      <c r="Y27" s="220"/>
      <c r="Z27" s="220"/>
      <c r="AA27" s="220"/>
      <c r="AB27" s="220"/>
      <c r="AC27" s="220"/>
      <c r="AD27" s="220"/>
      <c r="AE27" s="220"/>
      <c r="AF27" s="220"/>
      <c r="AG27" s="220"/>
      <c r="AH27" s="220"/>
      <c r="AI27" s="220"/>
      <c r="AJ27" s="220"/>
      <c r="AK27" s="220"/>
      <c r="AL27" s="220"/>
      <c r="AM27" s="220"/>
      <c r="AN27" s="220"/>
      <c r="AO27" s="220"/>
      <c r="AP27" s="220"/>
      <c r="AQ27" s="220"/>
      <c r="AR27" s="220"/>
      <c r="AS27" s="220"/>
      <c r="AT27" s="220"/>
      <c r="AU27" s="220"/>
      <c r="AV27" s="220"/>
      <c r="AW27" s="220"/>
      <c r="AX27" s="220"/>
      <c r="AY27" s="220"/>
      <c r="AZ27" s="220"/>
      <c r="BA27" s="220"/>
      <c r="BB27" s="220"/>
      <c r="BC27" s="220"/>
      <c r="BD27" s="220"/>
      <c r="BE27" s="220"/>
      <c r="BF27" s="220"/>
      <c r="BG27" s="220"/>
      <c r="BH27" s="220"/>
      <c r="BI27" s="220"/>
      <c r="BJ27" s="220"/>
      <c r="BK27" s="220"/>
      <c r="BL27" s="220"/>
      <c r="BM27" s="220"/>
      <c r="BN27" s="220"/>
      <c r="BO27" s="220"/>
      <c r="BP27" s="220"/>
      <c r="BQ27" s="220"/>
      <c r="BR27" s="220"/>
      <c r="BS27" s="220"/>
      <c r="BT27" s="220"/>
      <c r="BU27" s="220"/>
      <c r="BV27" s="220"/>
      <c r="BW27" s="220"/>
      <c r="BX27" s="220"/>
      <c r="BY27" s="220"/>
      <c r="BZ27" s="220"/>
      <c r="CA27" s="220"/>
      <c r="CB27" s="220"/>
      <c r="CC27" s="220"/>
      <c r="CD27" s="220"/>
      <c r="CE27" s="220"/>
      <c r="CF27" s="220"/>
      <c r="CG27" s="220"/>
      <c r="CH27" s="220"/>
      <c r="CI27" s="220"/>
      <c r="CJ27" s="220"/>
      <c r="CK27" s="220"/>
      <c r="CL27" s="220"/>
      <c r="CM27" s="220"/>
      <c r="CN27" s="220"/>
      <c r="CO27" s="220"/>
      <c r="CP27" s="220"/>
      <c r="CQ27" s="220"/>
      <c r="CR27" s="220"/>
      <c r="CS27" s="220"/>
      <c r="CT27" s="220"/>
      <c r="CU27" s="220"/>
      <c r="CV27" s="220"/>
      <c r="CW27" s="220"/>
      <c r="CX27" s="220"/>
      <c r="CY27" s="220"/>
      <c r="CZ27" s="220"/>
      <c r="DA27" s="220"/>
      <c r="DB27" s="220"/>
      <c r="DC27" s="220"/>
      <c r="DD27" s="220"/>
      <c r="DE27" s="220"/>
      <c r="DF27" s="220"/>
      <c r="DG27" s="220"/>
      <c r="DH27" s="220"/>
      <c r="DI27" s="220"/>
      <c r="DJ27" s="220"/>
      <c r="DK27" s="220"/>
      <c r="DL27" s="220"/>
      <c r="DM27" s="220"/>
      <c r="DN27" s="220"/>
      <c r="DO27" s="220"/>
      <c r="DP27" s="220"/>
      <c r="DQ27" s="220"/>
    </row>
    <row r="28" spans="2:121" ht="15.75" x14ac:dyDescent="0.25">
      <c r="B28" s="13">
        <v>25</v>
      </c>
      <c r="C28" s="15" t="str">
        <f>Create!H55</f>
        <v>Standard</v>
      </c>
      <c r="D28" s="15">
        <v>1</v>
      </c>
      <c r="E28" s="15"/>
      <c r="F28" s="15">
        <f>Create!I55</f>
        <v>0</v>
      </c>
      <c r="G28" s="15"/>
      <c r="H28" s="15" t="str">
        <f>Create!C55</f>
        <v>Ab1-Dig</v>
      </c>
      <c r="I28" s="78">
        <f>Create!D55</f>
        <v>3.1622776601683795</v>
      </c>
      <c r="J28" s="15" t="str">
        <f>Create!E55</f>
        <v>Ab1-Biot</v>
      </c>
      <c r="K28" s="78">
        <f>Create!F55</f>
        <v>3.5</v>
      </c>
      <c r="L28" s="79" t="str">
        <f>Create!G55</f>
        <v>1xRD</v>
      </c>
      <c r="N28" s="220"/>
      <c r="O28" s="220"/>
      <c r="P28" s="220"/>
      <c r="Q28" s="220"/>
      <c r="R28" s="220"/>
      <c r="S28" s="220"/>
      <c r="T28" s="220"/>
      <c r="U28" s="220"/>
      <c r="V28" s="220"/>
      <c r="W28" s="220"/>
      <c r="X28" s="220"/>
      <c r="Y28" s="220"/>
      <c r="Z28" s="220"/>
      <c r="AA28" s="220"/>
      <c r="AB28" s="220"/>
      <c r="AC28" s="220"/>
      <c r="AD28" s="220"/>
      <c r="AE28" s="220"/>
      <c r="AF28" s="220"/>
      <c r="AG28" s="220"/>
      <c r="AH28" s="220"/>
      <c r="AI28" s="220"/>
      <c r="AJ28" s="220"/>
      <c r="AK28" s="220"/>
      <c r="AL28" s="220"/>
      <c r="AM28" s="220"/>
      <c r="AN28" s="220"/>
      <c r="AO28" s="220"/>
      <c r="AP28" s="220"/>
      <c r="AQ28" s="220"/>
      <c r="AR28" s="220"/>
      <c r="AS28" s="220"/>
      <c r="AT28" s="220"/>
      <c r="AU28" s="220"/>
      <c r="AV28" s="220"/>
      <c r="AW28" s="220"/>
      <c r="AX28" s="220"/>
      <c r="AY28" s="220"/>
      <c r="AZ28" s="220"/>
      <c r="BA28" s="220"/>
      <c r="BB28" s="220"/>
      <c r="BC28" s="220"/>
      <c r="BD28" s="220"/>
      <c r="BE28" s="220"/>
      <c r="BF28" s="220"/>
      <c r="BG28" s="220"/>
      <c r="BH28" s="220"/>
      <c r="BI28" s="220"/>
      <c r="BJ28" s="220"/>
      <c r="BK28" s="220"/>
      <c r="BL28" s="220"/>
      <c r="BM28" s="220"/>
      <c r="BN28" s="220"/>
      <c r="BO28" s="220"/>
      <c r="BP28" s="220"/>
      <c r="BQ28" s="220"/>
      <c r="BR28" s="220"/>
      <c r="BS28" s="220"/>
      <c r="BT28" s="220"/>
      <c r="BU28" s="220"/>
      <c r="BV28" s="220"/>
      <c r="BW28" s="220"/>
      <c r="BX28" s="220"/>
      <c r="BY28" s="220"/>
      <c r="BZ28" s="220"/>
      <c r="CA28" s="220"/>
      <c r="CB28" s="220"/>
      <c r="CC28" s="220"/>
      <c r="CD28" s="220"/>
      <c r="CE28" s="220"/>
      <c r="CF28" s="220"/>
      <c r="CG28" s="220"/>
      <c r="CH28" s="220"/>
      <c r="CI28" s="220"/>
      <c r="CJ28" s="220"/>
      <c r="CK28" s="220"/>
      <c r="CL28" s="220"/>
      <c r="CM28" s="220"/>
      <c r="CN28" s="220"/>
      <c r="CO28" s="220"/>
      <c r="CP28" s="220"/>
      <c r="CQ28" s="220"/>
      <c r="CR28" s="220"/>
      <c r="CS28" s="220"/>
      <c r="CT28" s="220"/>
      <c r="CU28" s="220"/>
      <c r="CV28" s="220"/>
      <c r="CW28" s="220"/>
      <c r="CX28" s="220"/>
      <c r="CY28" s="220"/>
      <c r="CZ28" s="220"/>
      <c r="DA28" s="220"/>
      <c r="DB28" s="220"/>
      <c r="DC28" s="220"/>
      <c r="DD28" s="220"/>
      <c r="DE28" s="220"/>
      <c r="DF28" s="220"/>
      <c r="DG28" s="220"/>
      <c r="DH28" s="220"/>
      <c r="DI28" s="220"/>
      <c r="DJ28" s="220"/>
      <c r="DK28" s="220"/>
      <c r="DL28" s="220"/>
      <c r="DM28" s="220"/>
      <c r="DN28" s="220"/>
      <c r="DO28" s="220"/>
      <c r="DP28" s="220"/>
      <c r="DQ28" s="220"/>
    </row>
    <row r="29" spans="2:121" ht="15.75" x14ac:dyDescent="0.25">
      <c r="B29" s="13">
        <v>26</v>
      </c>
      <c r="C29" s="15" t="str">
        <f>Create!H56</f>
        <v>Standard</v>
      </c>
      <c r="D29" s="15">
        <v>1</v>
      </c>
      <c r="E29" s="15"/>
      <c r="F29" s="15">
        <f>Create!I56</f>
        <v>100</v>
      </c>
      <c r="G29" s="15"/>
      <c r="H29" s="15" t="str">
        <f>Create!C56</f>
        <v>Ab1-Dig</v>
      </c>
      <c r="I29" s="78">
        <f>Create!D56</f>
        <v>3.1622776601683795</v>
      </c>
      <c r="J29" s="15" t="str">
        <f>Create!E56</f>
        <v>Ab1-Biot</v>
      </c>
      <c r="K29" s="78">
        <f>Create!F56</f>
        <v>3.5</v>
      </c>
      <c r="L29" s="79" t="str">
        <f>Create!G56</f>
        <v>1xRD</v>
      </c>
      <c r="N29" s="220"/>
      <c r="O29" s="220"/>
      <c r="P29" s="220"/>
      <c r="Q29" s="220"/>
      <c r="R29" s="220"/>
      <c r="S29" s="220"/>
      <c r="T29" s="220"/>
      <c r="U29" s="220"/>
      <c r="V29" s="220"/>
      <c r="W29" s="220"/>
      <c r="X29" s="220"/>
      <c r="Y29" s="220"/>
      <c r="Z29" s="220"/>
      <c r="AA29" s="220"/>
      <c r="AB29" s="220"/>
      <c r="AC29" s="220"/>
      <c r="AD29" s="220"/>
      <c r="AE29" s="220"/>
      <c r="AF29" s="220"/>
      <c r="AG29" s="220"/>
      <c r="AH29" s="220"/>
      <c r="AI29" s="220"/>
      <c r="AJ29" s="220"/>
      <c r="AK29" s="220"/>
      <c r="AL29" s="220"/>
      <c r="AM29" s="220"/>
      <c r="AN29" s="220"/>
      <c r="AO29" s="220"/>
      <c r="AP29" s="220"/>
      <c r="AQ29" s="220"/>
      <c r="AR29" s="220"/>
      <c r="AS29" s="220"/>
      <c r="AT29" s="220"/>
      <c r="AU29" s="220"/>
      <c r="AV29" s="220"/>
      <c r="AW29" s="220"/>
      <c r="AX29" s="220"/>
      <c r="AY29" s="220"/>
      <c r="AZ29" s="220"/>
      <c r="BA29" s="220"/>
      <c r="BB29" s="220"/>
      <c r="BC29" s="220"/>
      <c r="BD29" s="220"/>
      <c r="BE29" s="220"/>
      <c r="BF29" s="220"/>
      <c r="BG29" s="220"/>
      <c r="BH29" s="220"/>
      <c r="BI29" s="220"/>
      <c r="BJ29" s="220"/>
      <c r="BK29" s="220"/>
      <c r="BL29" s="220"/>
      <c r="BM29" s="220"/>
      <c r="BN29" s="220"/>
      <c r="BO29" s="220"/>
      <c r="BP29" s="220"/>
      <c r="BQ29" s="220"/>
      <c r="BR29" s="220"/>
      <c r="BS29" s="220"/>
      <c r="BT29" s="220"/>
      <c r="BU29" s="220"/>
      <c r="BV29" s="220"/>
      <c r="BW29" s="220"/>
      <c r="BX29" s="220"/>
      <c r="BY29" s="220"/>
      <c r="BZ29" s="220"/>
      <c r="CA29" s="220"/>
      <c r="CB29" s="220"/>
      <c r="CC29" s="220"/>
      <c r="CD29" s="220"/>
      <c r="CE29" s="220"/>
      <c r="CF29" s="220"/>
      <c r="CG29" s="220"/>
      <c r="CH29" s="220"/>
      <c r="CI29" s="220"/>
      <c r="CJ29" s="220"/>
      <c r="CK29" s="220"/>
      <c r="CL29" s="220"/>
      <c r="CM29" s="220"/>
      <c r="CN29" s="220"/>
      <c r="CO29" s="220"/>
      <c r="CP29" s="220"/>
      <c r="CQ29" s="220"/>
      <c r="CR29" s="220"/>
      <c r="CS29" s="220"/>
      <c r="CT29" s="220"/>
      <c r="CU29" s="220"/>
      <c r="CV29" s="220"/>
      <c r="CW29" s="220"/>
      <c r="CX29" s="220"/>
      <c r="CY29" s="220"/>
      <c r="CZ29" s="220"/>
      <c r="DA29" s="220"/>
      <c r="DB29" s="220"/>
      <c r="DC29" s="220"/>
      <c r="DD29" s="220"/>
      <c r="DE29" s="220"/>
      <c r="DF29" s="220"/>
      <c r="DG29" s="220"/>
      <c r="DH29" s="220"/>
      <c r="DI29" s="220"/>
      <c r="DJ29" s="220"/>
      <c r="DK29" s="220"/>
      <c r="DL29" s="220"/>
      <c r="DM29" s="220"/>
      <c r="DN29" s="220"/>
      <c r="DO29" s="220"/>
      <c r="DP29" s="220"/>
      <c r="DQ29" s="220"/>
    </row>
    <row r="30" spans="2:121" ht="15.75" x14ac:dyDescent="0.25">
      <c r="B30" s="13">
        <v>27</v>
      </c>
      <c r="C30" s="15" t="str">
        <f>Create!H57</f>
        <v>Standard</v>
      </c>
      <c r="D30" s="15">
        <v>1</v>
      </c>
      <c r="E30" s="15"/>
      <c r="F30" s="15">
        <f>Create!I57</f>
        <v>46.415888336127786</v>
      </c>
      <c r="G30" s="15"/>
      <c r="H30" s="15" t="str">
        <f>Create!C57</f>
        <v>Ab1-Dig</v>
      </c>
      <c r="I30" s="78">
        <f>Create!D57</f>
        <v>3.1622776601683795</v>
      </c>
      <c r="J30" s="15" t="str">
        <f>Create!E57</f>
        <v>Ab1-Biot</v>
      </c>
      <c r="K30" s="78">
        <f>Create!F57</f>
        <v>3.5</v>
      </c>
      <c r="L30" s="79" t="str">
        <f>Create!G57</f>
        <v>1xRD</v>
      </c>
      <c r="N30" s="220"/>
      <c r="O30" s="220"/>
      <c r="P30" s="220"/>
      <c r="Q30" s="220"/>
      <c r="R30" s="220"/>
      <c r="S30" s="220"/>
      <c r="T30" s="220"/>
      <c r="U30" s="220"/>
      <c r="V30" s="220"/>
      <c r="W30" s="220"/>
      <c r="X30" s="220"/>
      <c r="Y30" s="220"/>
      <c r="Z30" s="220"/>
      <c r="AA30" s="220"/>
      <c r="AB30" s="220"/>
      <c r="AC30" s="220"/>
      <c r="AD30" s="220"/>
      <c r="AE30" s="220"/>
      <c r="AF30" s="220"/>
      <c r="AG30" s="220"/>
      <c r="AH30" s="220"/>
      <c r="AI30" s="220"/>
      <c r="AJ30" s="220"/>
      <c r="AK30" s="220"/>
      <c r="AL30" s="220"/>
      <c r="AM30" s="220"/>
      <c r="AN30" s="220"/>
      <c r="AO30" s="220"/>
      <c r="AP30" s="220"/>
      <c r="AQ30" s="220"/>
      <c r="AR30" s="220"/>
      <c r="AS30" s="220"/>
      <c r="AT30" s="220"/>
      <c r="AU30" s="220"/>
      <c r="AV30" s="220"/>
      <c r="AW30" s="220"/>
      <c r="AX30" s="220"/>
      <c r="AY30" s="220"/>
      <c r="AZ30" s="220"/>
      <c r="BA30" s="220"/>
      <c r="BB30" s="220"/>
      <c r="BC30" s="220"/>
      <c r="BD30" s="220"/>
      <c r="BE30" s="220"/>
      <c r="BF30" s="220"/>
      <c r="BG30" s="220"/>
      <c r="BH30" s="220"/>
      <c r="BI30" s="220"/>
      <c r="BJ30" s="220"/>
      <c r="BK30" s="220"/>
      <c r="BL30" s="220"/>
      <c r="BM30" s="220"/>
      <c r="BN30" s="220"/>
      <c r="BO30" s="220"/>
      <c r="BP30" s="220"/>
      <c r="BQ30" s="220"/>
      <c r="BR30" s="220"/>
      <c r="BS30" s="220"/>
      <c r="BT30" s="220"/>
      <c r="BU30" s="220"/>
      <c r="BV30" s="220"/>
      <c r="BW30" s="220"/>
      <c r="BX30" s="220"/>
      <c r="BY30" s="220"/>
      <c r="BZ30" s="220"/>
      <c r="CA30" s="220"/>
      <c r="CB30" s="220"/>
      <c r="CC30" s="220"/>
      <c r="CD30" s="220"/>
      <c r="CE30" s="220"/>
      <c r="CF30" s="220"/>
      <c r="CG30" s="220"/>
      <c r="CH30" s="220"/>
      <c r="CI30" s="220"/>
      <c r="CJ30" s="220"/>
      <c r="CK30" s="220"/>
      <c r="CL30" s="220"/>
      <c r="CM30" s="220"/>
      <c r="CN30" s="220"/>
      <c r="CO30" s="220"/>
      <c r="CP30" s="220"/>
      <c r="CQ30" s="220"/>
      <c r="CR30" s="220"/>
      <c r="CS30" s="220"/>
      <c r="CT30" s="220"/>
      <c r="CU30" s="220"/>
      <c r="CV30" s="220"/>
      <c r="CW30" s="220"/>
      <c r="CX30" s="220"/>
      <c r="CY30" s="220"/>
      <c r="CZ30" s="220"/>
      <c r="DA30" s="220"/>
      <c r="DB30" s="220"/>
      <c r="DC30" s="220"/>
      <c r="DD30" s="220"/>
      <c r="DE30" s="220"/>
      <c r="DF30" s="220"/>
      <c r="DG30" s="220"/>
      <c r="DH30" s="220"/>
      <c r="DI30" s="220"/>
      <c r="DJ30" s="220"/>
      <c r="DK30" s="220"/>
      <c r="DL30" s="220"/>
      <c r="DM30" s="220"/>
      <c r="DN30" s="220"/>
      <c r="DO30" s="220"/>
      <c r="DP30" s="220"/>
      <c r="DQ30" s="220"/>
    </row>
    <row r="31" spans="2:121" ht="15.75" x14ac:dyDescent="0.25">
      <c r="B31" s="13">
        <v>28</v>
      </c>
      <c r="C31" s="15" t="str">
        <f>Create!H58</f>
        <v>Standard</v>
      </c>
      <c r="D31" s="15">
        <v>1</v>
      </c>
      <c r="E31" s="15"/>
      <c r="F31" s="15">
        <f>Create!I58</f>
        <v>21.544346900318835</v>
      </c>
      <c r="G31" s="15"/>
      <c r="H31" s="15" t="str">
        <f>Create!C58</f>
        <v>Ab1-Dig</v>
      </c>
      <c r="I31" s="78">
        <f>Create!D58</f>
        <v>3.1622776601683795</v>
      </c>
      <c r="J31" s="15" t="str">
        <f>Create!E58</f>
        <v>Ab1-Biot</v>
      </c>
      <c r="K31" s="78">
        <f>Create!F58</f>
        <v>3.5</v>
      </c>
      <c r="L31" s="79" t="str">
        <f>Create!G58</f>
        <v>1xRD</v>
      </c>
      <c r="N31" s="220"/>
      <c r="O31" s="220"/>
      <c r="P31" s="220"/>
      <c r="Q31" s="220"/>
      <c r="R31" s="220"/>
      <c r="S31" s="220"/>
      <c r="T31" s="220"/>
      <c r="U31" s="220"/>
      <c r="V31" s="220"/>
      <c r="W31" s="220"/>
      <c r="X31" s="220"/>
      <c r="Y31" s="220"/>
      <c r="Z31" s="220"/>
      <c r="AA31" s="220"/>
      <c r="AB31" s="220"/>
      <c r="AC31" s="220"/>
      <c r="AD31" s="220"/>
      <c r="AE31" s="220"/>
      <c r="AF31" s="220"/>
      <c r="AG31" s="220"/>
      <c r="AH31" s="220"/>
      <c r="AI31" s="220"/>
      <c r="AJ31" s="220"/>
      <c r="AK31" s="220"/>
      <c r="AL31" s="220"/>
      <c r="AM31" s="220"/>
      <c r="AN31" s="220"/>
      <c r="AO31" s="220"/>
      <c r="AP31" s="220"/>
      <c r="AQ31" s="220"/>
      <c r="AR31" s="220"/>
      <c r="AS31" s="220"/>
      <c r="AT31" s="220"/>
      <c r="AU31" s="220"/>
      <c r="AV31" s="220"/>
      <c r="AW31" s="220"/>
      <c r="AX31" s="220"/>
      <c r="AY31" s="220"/>
      <c r="AZ31" s="220"/>
      <c r="BA31" s="220"/>
      <c r="BB31" s="220"/>
      <c r="BC31" s="220"/>
      <c r="BD31" s="220"/>
      <c r="BE31" s="220"/>
      <c r="BF31" s="220"/>
      <c r="BG31" s="220"/>
      <c r="BH31" s="220"/>
      <c r="BI31" s="220"/>
      <c r="BJ31" s="220"/>
      <c r="BK31" s="220"/>
      <c r="BL31" s="220"/>
      <c r="BM31" s="220"/>
      <c r="BN31" s="220"/>
      <c r="BO31" s="220"/>
      <c r="BP31" s="220"/>
      <c r="BQ31" s="220"/>
      <c r="BR31" s="220"/>
      <c r="BS31" s="220"/>
      <c r="BT31" s="220"/>
      <c r="BU31" s="220"/>
      <c r="BV31" s="220"/>
      <c r="BW31" s="220"/>
      <c r="BX31" s="220"/>
      <c r="BY31" s="220"/>
      <c r="BZ31" s="220"/>
      <c r="CA31" s="220"/>
      <c r="CB31" s="220"/>
      <c r="CC31" s="220"/>
      <c r="CD31" s="220"/>
      <c r="CE31" s="220"/>
      <c r="CF31" s="220"/>
      <c r="CG31" s="220"/>
      <c r="CH31" s="220"/>
      <c r="CI31" s="220"/>
      <c r="CJ31" s="220"/>
      <c r="CK31" s="220"/>
      <c r="CL31" s="220"/>
      <c r="CM31" s="220"/>
      <c r="CN31" s="220"/>
      <c r="CO31" s="220"/>
      <c r="CP31" s="220"/>
      <c r="CQ31" s="220"/>
      <c r="CR31" s="220"/>
      <c r="CS31" s="220"/>
      <c r="CT31" s="220"/>
      <c r="CU31" s="220"/>
      <c r="CV31" s="220"/>
      <c r="CW31" s="220"/>
      <c r="CX31" s="220"/>
      <c r="CY31" s="220"/>
      <c r="CZ31" s="220"/>
      <c r="DA31" s="220"/>
      <c r="DB31" s="220"/>
      <c r="DC31" s="220"/>
      <c r="DD31" s="220"/>
      <c r="DE31" s="220"/>
      <c r="DF31" s="220"/>
      <c r="DG31" s="220"/>
      <c r="DH31" s="220"/>
      <c r="DI31" s="220"/>
      <c r="DJ31" s="220"/>
      <c r="DK31" s="220"/>
      <c r="DL31" s="220"/>
      <c r="DM31" s="220"/>
      <c r="DN31" s="220"/>
      <c r="DO31" s="220"/>
      <c r="DP31" s="220"/>
      <c r="DQ31" s="220"/>
    </row>
    <row r="32" spans="2:121" ht="15.75" x14ac:dyDescent="0.25">
      <c r="B32" s="13">
        <v>29</v>
      </c>
      <c r="C32" s="15" t="str">
        <f>Create!H59</f>
        <v>Standard</v>
      </c>
      <c r="D32" s="15">
        <v>1</v>
      </c>
      <c r="E32" s="15"/>
      <c r="F32" s="15">
        <f>Create!I59</f>
        <v>9.9999999999999982</v>
      </c>
      <c r="G32" s="15"/>
      <c r="H32" s="15" t="str">
        <f>Create!C59</f>
        <v>Ab1-Dig</v>
      </c>
      <c r="I32" s="78">
        <f>Create!D59</f>
        <v>3.1622776601683795</v>
      </c>
      <c r="J32" s="15" t="str">
        <f>Create!E59</f>
        <v>Ab1-Biot</v>
      </c>
      <c r="K32" s="78">
        <f>Create!F59</f>
        <v>3.5</v>
      </c>
      <c r="L32" s="79" t="str">
        <f>Create!G59</f>
        <v>1xRD</v>
      </c>
      <c r="N32" s="220"/>
      <c r="O32" s="220"/>
      <c r="P32" s="220"/>
      <c r="Q32" s="220"/>
      <c r="R32" s="220"/>
      <c r="S32" s="220"/>
      <c r="T32" s="220"/>
      <c r="U32" s="220"/>
      <c r="V32" s="220"/>
      <c r="W32" s="220"/>
      <c r="X32" s="220"/>
      <c r="Y32" s="220"/>
      <c r="Z32" s="220"/>
      <c r="AA32" s="220"/>
      <c r="AB32" s="220"/>
      <c r="AC32" s="220"/>
      <c r="AD32" s="220"/>
      <c r="AE32" s="220"/>
      <c r="AF32" s="220"/>
      <c r="AG32" s="220"/>
      <c r="AH32" s="220"/>
      <c r="AI32" s="220"/>
      <c r="AJ32" s="220"/>
      <c r="AK32" s="220"/>
      <c r="AL32" s="220"/>
      <c r="AM32" s="220"/>
      <c r="AN32" s="220"/>
      <c r="AO32" s="220"/>
      <c r="AP32" s="220"/>
      <c r="AQ32" s="220"/>
      <c r="AR32" s="220"/>
      <c r="AS32" s="220"/>
      <c r="AT32" s="220"/>
      <c r="AU32" s="220"/>
      <c r="AV32" s="220"/>
      <c r="AW32" s="220"/>
      <c r="AX32" s="220"/>
      <c r="AY32" s="220"/>
      <c r="AZ32" s="220"/>
      <c r="BA32" s="220"/>
      <c r="BB32" s="220"/>
      <c r="BC32" s="220"/>
      <c r="BD32" s="220"/>
      <c r="BE32" s="220"/>
      <c r="BF32" s="220"/>
      <c r="BG32" s="220"/>
      <c r="BH32" s="220"/>
      <c r="BI32" s="220"/>
      <c r="BJ32" s="220"/>
      <c r="BK32" s="220"/>
      <c r="BL32" s="220"/>
      <c r="BM32" s="220"/>
      <c r="BN32" s="220"/>
      <c r="BO32" s="220"/>
      <c r="BP32" s="220"/>
      <c r="BQ32" s="220"/>
      <c r="BR32" s="220"/>
      <c r="BS32" s="220"/>
      <c r="BT32" s="220"/>
      <c r="BU32" s="220"/>
      <c r="BV32" s="220"/>
      <c r="BW32" s="220"/>
      <c r="BX32" s="220"/>
      <c r="BY32" s="220"/>
      <c r="BZ32" s="220"/>
      <c r="CA32" s="220"/>
      <c r="CB32" s="220"/>
      <c r="CC32" s="220"/>
      <c r="CD32" s="220"/>
      <c r="CE32" s="220"/>
      <c r="CF32" s="220"/>
      <c r="CG32" s="220"/>
      <c r="CH32" s="220"/>
      <c r="CI32" s="220"/>
      <c r="CJ32" s="220"/>
      <c r="CK32" s="220"/>
      <c r="CL32" s="220"/>
      <c r="CM32" s="220"/>
      <c r="CN32" s="220"/>
      <c r="CO32" s="220"/>
      <c r="CP32" s="220"/>
      <c r="CQ32" s="220"/>
      <c r="CR32" s="220"/>
      <c r="CS32" s="220"/>
      <c r="CT32" s="220"/>
      <c r="CU32" s="220"/>
      <c r="CV32" s="220"/>
      <c r="CW32" s="220"/>
      <c r="CX32" s="220"/>
      <c r="CY32" s="220"/>
      <c r="CZ32" s="220"/>
      <c r="DA32" s="220"/>
      <c r="DB32" s="220"/>
      <c r="DC32" s="220"/>
      <c r="DD32" s="220"/>
      <c r="DE32" s="220"/>
      <c r="DF32" s="220"/>
      <c r="DG32" s="220"/>
      <c r="DH32" s="220"/>
      <c r="DI32" s="220"/>
      <c r="DJ32" s="220"/>
      <c r="DK32" s="220"/>
      <c r="DL32" s="220"/>
      <c r="DM32" s="220"/>
      <c r="DN32" s="220"/>
      <c r="DO32" s="220"/>
      <c r="DP32" s="220"/>
      <c r="DQ32" s="220"/>
    </row>
    <row r="33" spans="2:121" ht="15.75" x14ac:dyDescent="0.25">
      <c r="B33" s="13">
        <v>30</v>
      </c>
      <c r="C33" s="15" t="str">
        <f>Create!H60</f>
        <v>Standard</v>
      </c>
      <c r="D33" s="15">
        <v>1</v>
      </c>
      <c r="E33" s="15"/>
      <c r="F33" s="15">
        <f>Create!I60</f>
        <v>4.6415888336127775</v>
      </c>
      <c r="G33" s="15"/>
      <c r="H33" s="15" t="str">
        <f>Create!C60</f>
        <v>Ab1-Dig</v>
      </c>
      <c r="I33" s="78">
        <f>Create!D60</f>
        <v>3.1622776601683795</v>
      </c>
      <c r="J33" s="15" t="str">
        <f>Create!E60</f>
        <v>Ab1-Biot</v>
      </c>
      <c r="K33" s="78">
        <f>Create!F60</f>
        <v>3.5</v>
      </c>
      <c r="L33" s="79" t="str">
        <f>Create!G60</f>
        <v>1xRD</v>
      </c>
      <c r="N33" s="220"/>
      <c r="O33" s="220"/>
      <c r="P33" s="220"/>
      <c r="Q33" s="220"/>
      <c r="R33" s="220"/>
      <c r="S33" s="220"/>
      <c r="T33" s="220"/>
      <c r="U33" s="220"/>
      <c r="V33" s="220"/>
      <c r="W33" s="220"/>
      <c r="X33" s="220"/>
      <c r="Y33" s="220"/>
      <c r="Z33" s="220"/>
      <c r="AA33" s="220"/>
      <c r="AB33" s="220"/>
      <c r="AC33" s="220"/>
      <c r="AD33" s="220"/>
      <c r="AE33" s="220"/>
      <c r="AF33" s="220"/>
      <c r="AG33" s="220"/>
      <c r="AH33" s="220"/>
      <c r="AI33" s="220"/>
      <c r="AJ33" s="220"/>
      <c r="AK33" s="220"/>
      <c r="AL33" s="220"/>
      <c r="AM33" s="220"/>
      <c r="AN33" s="220"/>
      <c r="AO33" s="220"/>
      <c r="AP33" s="220"/>
      <c r="AQ33" s="220"/>
      <c r="AR33" s="220"/>
      <c r="AS33" s="220"/>
      <c r="AT33" s="220"/>
      <c r="AU33" s="220"/>
      <c r="AV33" s="220"/>
      <c r="AW33" s="220"/>
      <c r="AX33" s="220"/>
      <c r="AY33" s="220"/>
      <c r="AZ33" s="220"/>
      <c r="BA33" s="220"/>
      <c r="BB33" s="220"/>
      <c r="BC33" s="220"/>
      <c r="BD33" s="220"/>
      <c r="BE33" s="220"/>
      <c r="BF33" s="220"/>
      <c r="BG33" s="220"/>
      <c r="BH33" s="220"/>
      <c r="BI33" s="220"/>
      <c r="BJ33" s="220"/>
      <c r="BK33" s="220"/>
      <c r="BL33" s="220"/>
      <c r="BM33" s="220"/>
      <c r="BN33" s="220"/>
      <c r="BO33" s="220"/>
      <c r="BP33" s="220"/>
      <c r="BQ33" s="220"/>
      <c r="BR33" s="220"/>
      <c r="BS33" s="220"/>
      <c r="BT33" s="220"/>
      <c r="BU33" s="220"/>
      <c r="BV33" s="220"/>
      <c r="BW33" s="220"/>
      <c r="BX33" s="220"/>
      <c r="BY33" s="220"/>
      <c r="BZ33" s="220"/>
      <c r="CA33" s="220"/>
      <c r="CB33" s="220"/>
      <c r="CC33" s="220"/>
      <c r="CD33" s="220"/>
      <c r="CE33" s="220"/>
      <c r="CF33" s="220"/>
      <c r="CG33" s="220"/>
      <c r="CH33" s="220"/>
      <c r="CI33" s="220"/>
      <c r="CJ33" s="220"/>
      <c r="CK33" s="220"/>
      <c r="CL33" s="220"/>
      <c r="CM33" s="220"/>
      <c r="CN33" s="220"/>
      <c r="CO33" s="220"/>
      <c r="CP33" s="220"/>
      <c r="CQ33" s="220"/>
      <c r="CR33" s="220"/>
      <c r="CS33" s="220"/>
      <c r="CT33" s="220"/>
      <c r="CU33" s="220"/>
      <c r="CV33" s="220"/>
      <c r="CW33" s="220"/>
      <c r="CX33" s="220"/>
      <c r="CY33" s="220"/>
      <c r="CZ33" s="220"/>
      <c r="DA33" s="220"/>
      <c r="DB33" s="220"/>
      <c r="DC33" s="220"/>
      <c r="DD33" s="220"/>
      <c r="DE33" s="220"/>
      <c r="DF33" s="220"/>
      <c r="DG33" s="220"/>
      <c r="DH33" s="220"/>
      <c r="DI33" s="220"/>
      <c r="DJ33" s="220"/>
      <c r="DK33" s="220"/>
      <c r="DL33" s="220"/>
      <c r="DM33" s="220"/>
      <c r="DN33" s="220"/>
      <c r="DO33" s="220"/>
      <c r="DP33" s="220"/>
      <c r="DQ33" s="220"/>
    </row>
    <row r="34" spans="2:121" ht="15.75" x14ac:dyDescent="0.25">
      <c r="B34" s="13">
        <v>31</v>
      </c>
      <c r="C34" s="15" t="str">
        <f>Create!H61</f>
        <v>Standard</v>
      </c>
      <c r="D34" s="15">
        <v>1</v>
      </c>
      <c r="E34" s="15"/>
      <c r="F34" s="15">
        <f>Create!I61</f>
        <v>2.1544346900318829</v>
      </c>
      <c r="G34" s="15"/>
      <c r="H34" s="15" t="str">
        <f>Create!C61</f>
        <v>Ab1-Dig</v>
      </c>
      <c r="I34" s="78">
        <f>Create!D61</f>
        <v>3.1622776601683795</v>
      </c>
      <c r="J34" s="15" t="str">
        <f>Create!E61</f>
        <v>Ab1-Biot</v>
      </c>
      <c r="K34" s="78">
        <f>Create!F61</f>
        <v>3.5</v>
      </c>
      <c r="L34" s="79" t="str">
        <f>Create!G61</f>
        <v>1xRD</v>
      </c>
      <c r="N34" s="220"/>
      <c r="O34" s="220"/>
      <c r="P34" s="220"/>
      <c r="Q34" s="220"/>
      <c r="R34" s="220"/>
      <c r="S34" s="220"/>
      <c r="T34" s="220"/>
      <c r="U34" s="220"/>
      <c r="V34" s="220"/>
      <c r="W34" s="220"/>
      <c r="X34" s="220"/>
      <c r="Y34" s="220"/>
      <c r="Z34" s="220"/>
      <c r="AA34" s="220"/>
      <c r="AB34" s="220"/>
      <c r="AC34" s="220"/>
      <c r="AD34" s="220"/>
      <c r="AE34" s="220"/>
      <c r="AF34" s="220"/>
      <c r="AG34" s="220"/>
      <c r="AH34" s="220"/>
      <c r="AI34" s="220"/>
      <c r="AJ34" s="220"/>
      <c r="AK34" s="220"/>
      <c r="AL34" s="220"/>
      <c r="AM34" s="220"/>
      <c r="AN34" s="220"/>
      <c r="AO34" s="220"/>
      <c r="AP34" s="220"/>
      <c r="AQ34" s="220"/>
      <c r="AR34" s="220"/>
      <c r="AS34" s="220"/>
      <c r="AT34" s="220"/>
      <c r="AU34" s="220"/>
      <c r="AV34" s="220"/>
      <c r="AW34" s="220"/>
      <c r="AX34" s="220"/>
      <c r="AY34" s="220"/>
      <c r="AZ34" s="220"/>
      <c r="BA34" s="220"/>
      <c r="BB34" s="220"/>
      <c r="BC34" s="220"/>
      <c r="BD34" s="220"/>
      <c r="BE34" s="220"/>
      <c r="BF34" s="220"/>
      <c r="BG34" s="220"/>
      <c r="BH34" s="220"/>
      <c r="BI34" s="220"/>
      <c r="BJ34" s="220"/>
      <c r="BK34" s="220"/>
      <c r="BL34" s="220"/>
      <c r="BM34" s="220"/>
      <c r="BN34" s="220"/>
      <c r="BO34" s="220"/>
      <c r="BP34" s="220"/>
      <c r="BQ34" s="220"/>
      <c r="BR34" s="220"/>
      <c r="BS34" s="220"/>
      <c r="BT34" s="220"/>
      <c r="BU34" s="220"/>
      <c r="BV34" s="220"/>
      <c r="BW34" s="220"/>
      <c r="BX34" s="220"/>
      <c r="BY34" s="220"/>
      <c r="BZ34" s="220"/>
      <c r="CA34" s="220"/>
      <c r="CB34" s="220"/>
      <c r="CC34" s="220"/>
      <c r="CD34" s="220"/>
      <c r="CE34" s="220"/>
      <c r="CF34" s="220"/>
      <c r="CG34" s="220"/>
      <c r="CH34" s="220"/>
      <c r="CI34" s="220"/>
      <c r="CJ34" s="220"/>
      <c r="CK34" s="220"/>
      <c r="CL34" s="220"/>
      <c r="CM34" s="220"/>
      <c r="CN34" s="220"/>
      <c r="CO34" s="220"/>
      <c r="CP34" s="220"/>
      <c r="CQ34" s="220"/>
      <c r="CR34" s="220"/>
      <c r="CS34" s="220"/>
      <c r="CT34" s="220"/>
      <c r="CU34" s="220"/>
      <c r="CV34" s="220"/>
      <c r="CW34" s="220"/>
      <c r="CX34" s="220"/>
      <c r="CY34" s="220"/>
      <c r="CZ34" s="220"/>
      <c r="DA34" s="220"/>
      <c r="DB34" s="220"/>
      <c r="DC34" s="220"/>
      <c r="DD34" s="220"/>
      <c r="DE34" s="220"/>
      <c r="DF34" s="220"/>
      <c r="DG34" s="220"/>
      <c r="DH34" s="220"/>
      <c r="DI34" s="220"/>
      <c r="DJ34" s="220"/>
      <c r="DK34" s="220"/>
      <c r="DL34" s="220"/>
      <c r="DM34" s="220"/>
      <c r="DN34" s="220"/>
      <c r="DO34" s="220"/>
      <c r="DP34" s="220"/>
      <c r="DQ34" s="220"/>
    </row>
    <row r="35" spans="2:121" ht="15.75" x14ac:dyDescent="0.25">
      <c r="B35" s="13">
        <v>32</v>
      </c>
      <c r="C35" s="15" t="str">
        <f>Create!H62</f>
        <v>Standard</v>
      </c>
      <c r="D35" s="15">
        <v>1</v>
      </c>
      <c r="E35" s="15"/>
      <c r="F35" s="15">
        <f>Create!I62</f>
        <v>0.99999999999999956</v>
      </c>
      <c r="G35" s="15"/>
      <c r="H35" s="15" t="str">
        <f>Create!C62</f>
        <v>Ab1-Dig</v>
      </c>
      <c r="I35" s="78">
        <f>Create!D62</f>
        <v>3.1622776601683795</v>
      </c>
      <c r="J35" s="15" t="str">
        <f>Create!E62</f>
        <v>Ab1-Biot</v>
      </c>
      <c r="K35" s="78">
        <f>Create!F62</f>
        <v>3.5</v>
      </c>
      <c r="L35" s="79" t="str">
        <f>Create!G62</f>
        <v>1xRD</v>
      </c>
      <c r="N35" s="220"/>
      <c r="O35" s="220"/>
      <c r="P35" s="220"/>
      <c r="Q35" s="220"/>
      <c r="R35" s="220"/>
      <c r="S35" s="220"/>
      <c r="T35" s="220"/>
      <c r="U35" s="220"/>
      <c r="V35" s="220"/>
      <c r="W35" s="220"/>
      <c r="X35" s="220"/>
      <c r="Y35" s="220"/>
      <c r="Z35" s="220"/>
      <c r="AA35" s="220"/>
      <c r="AB35" s="220"/>
      <c r="AC35" s="220"/>
      <c r="AD35" s="220"/>
      <c r="AE35" s="220"/>
      <c r="AF35" s="220"/>
      <c r="AG35" s="220"/>
      <c r="AH35" s="220"/>
      <c r="AI35" s="220"/>
      <c r="AJ35" s="220"/>
      <c r="AK35" s="220"/>
      <c r="AL35" s="220"/>
      <c r="AM35" s="220"/>
      <c r="AN35" s="220"/>
      <c r="AO35" s="220"/>
      <c r="AP35" s="220"/>
      <c r="AQ35" s="220"/>
      <c r="AR35" s="220"/>
      <c r="AS35" s="220"/>
      <c r="AT35" s="220"/>
      <c r="AU35" s="220"/>
      <c r="AV35" s="220"/>
      <c r="AW35" s="220"/>
      <c r="AX35" s="220"/>
      <c r="AY35" s="220"/>
      <c r="AZ35" s="220"/>
      <c r="BA35" s="220"/>
      <c r="BB35" s="220"/>
      <c r="BC35" s="220"/>
      <c r="BD35" s="220"/>
      <c r="BE35" s="220"/>
      <c r="BF35" s="220"/>
      <c r="BG35" s="220"/>
      <c r="BH35" s="220"/>
      <c r="BI35" s="220"/>
      <c r="BJ35" s="220"/>
      <c r="BK35" s="220"/>
      <c r="BL35" s="220"/>
      <c r="BM35" s="220"/>
      <c r="BN35" s="220"/>
      <c r="BO35" s="220"/>
      <c r="BP35" s="220"/>
      <c r="BQ35" s="220"/>
      <c r="BR35" s="220"/>
      <c r="BS35" s="220"/>
      <c r="BT35" s="220"/>
      <c r="BU35" s="220"/>
      <c r="BV35" s="220"/>
      <c r="BW35" s="220"/>
      <c r="BX35" s="220"/>
      <c r="BY35" s="220"/>
      <c r="BZ35" s="220"/>
      <c r="CA35" s="220"/>
      <c r="CB35" s="220"/>
      <c r="CC35" s="220"/>
      <c r="CD35" s="220"/>
      <c r="CE35" s="220"/>
      <c r="CF35" s="220"/>
      <c r="CG35" s="220"/>
      <c r="CH35" s="220"/>
      <c r="CI35" s="220"/>
      <c r="CJ35" s="220"/>
      <c r="CK35" s="220"/>
      <c r="CL35" s="220"/>
      <c r="CM35" s="220"/>
      <c r="CN35" s="220"/>
      <c r="CO35" s="220"/>
      <c r="CP35" s="220"/>
      <c r="CQ35" s="220"/>
      <c r="CR35" s="220"/>
      <c r="CS35" s="220"/>
      <c r="CT35" s="220"/>
      <c r="CU35" s="220"/>
      <c r="CV35" s="220"/>
      <c r="CW35" s="220"/>
      <c r="CX35" s="220"/>
      <c r="CY35" s="220"/>
      <c r="CZ35" s="220"/>
      <c r="DA35" s="220"/>
      <c r="DB35" s="220"/>
      <c r="DC35" s="220"/>
      <c r="DD35" s="220"/>
      <c r="DE35" s="220"/>
      <c r="DF35" s="220"/>
      <c r="DG35" s="220"/>
      <c r="DH35" s="220"/>
      <c r="DI35" s="220"/>
      <c r="DJ35" s="220"/>
      <c r="DK35" s="220"/>
      <c r="DL35" s="220"/>
      <c r="DM35" s="220"/>
      <c r="DN35" s="220"/>
      <c r="DO35" s="220"/>
      <c r="DP35" s="220"/>
      <c r="DQ35" s="220"/>
    </row>
    <row r="36" spans="2:121" ht="15.75" x14ac:dyDescent="0.25">
      <c r="B36" s="13">
        <v>33</v>
      </c>
      <c r="C36" s="15" t="str">
        <f>Create!H63</f>
        <v>Standard</v>
      </c>
      <c r="D36" s="15">
        <v>1</v>
      </c>
      <c r="E36" s="15"/>
      <c r="F36" s="15">
        <f>Create!I63</f>
        <v>0</v>
      </c>
      <c r="G36" s="15"/>
      <c r="H36" s="15" t="str">
        <f>Create!C63</f>
        <v>Ab1-Dig</v>
      </c>
      <c r="I36" s="78">
        <f>Create!D63</f>
        <v>1</v>
      </c>
      <c r="J36" s="15" t="str">
        <f>Create!E63</f>
        <v>Ab1-Biot</v>
      </c>
      <c r="K36" s="78">
        <f>Create!F63</f>
        <v>10</v>
      </c>
      <c r="L36" s="79" t="str">
        <f>Create!G63</f>
        <v>1xRD</v>
      </c>
      <c r="N36" s="220"/>
      <c r="O36" s="220"/>
      <c r="P36" s="220"/>
      <c r="Q36" s="220"/>
      <c r="R36" s="220"/>
      <c r="S36" s="220"/>
      <c r="T36" s="220"/>
      <c r="U36" s="220"/>
      <c r="V36" s="220"/>
      <c r="W36" s="220"/>
      <c r="X36" s="220"/>
      <c r="Y36" s="220"/>
      <c r="Z36" s="220"/>
      <c r="AA36" s="220"/>
      <c r="AB36" s="220"/>
      <c r="AC36" s="220"/>
      <c r="AD36" s="220"/>
      <c r="AE36" s="220"/>
      <c r="AF36" s="220"/>
      <c r="AG36" s="220"/>
      <c r="AH36" s="220"/>
      <c r="AI36" s="220"/>
      <c r="AJ36" s="220"/>
      <c r="AK36" s="220"/>
      <c r="AL36" s="220"/>
      <c r="AM36" s="220"/>
      <c r="AN36" s="220"/>
      <c r="AO36" s="220"/>
      <c r="AP36" s="220"/>
      <c r="AQ36" s="220"/>
      <c r="AR36" s="220"/>
      <c r="AS36" s="220"/>
      <c r="AT36" s="220"/>
      <c r="AU36" s="220"/>
      <c r="AV36" s="220"/>
      <c r="AW36" s="220"/>
      <c r="AX36" s="220"/>
      <c r="AY36" s="220"/>
      <c r="AZ36" s="220"/>
      <c r="BA36" s="220"/>
      <c r="BB36" s="220"/>
      <c r="BC36" s="220"/>
      <c r="BD36" s="220"/>
      <c r="BE36" s="220"/>
      <c r="BF36" s="220"/>
      <c r="BG36" s="220"/>
      <c r="BH36" s="220"/>
      <c r="BI36" s="220"/>
      <c r="BJ36" s="220"/>
      <c r="BK36" s="220"/>
      <c r="BL36" s="220"/>
      <c r="BM36" s="220"/>
      <c r="BN36" s="220"/>
      <c r="BO36" s="220"/>
      <c r="BP36" s="220"/>
      <c r="BQ36" s="220"/>
      <c r="BR36" s="220"/>
      <c r="BS36" s="220"/>
      <c r="BT36" s="220"/>
      <c r="BU36" s="220"/>
      <c r="BV36" s="220"/>
      <c r="BW36" s="220"/>
      <c r="BX36" s="220"/>
      <c r="BY36" s="220"/>
      <c r="BZ36" s="220"/>
      <c r="CA36" s="220"/>
      <c r="CB36" s="220"/>
      <c r="CC36" s="220"/>
      <c r="CD36" s="220"/>
      <c r="CE36" s="220"/>
      <c r="CF36" s="220"/>
      <c r="CG36" s="220"/>
      <c r="CH36" s="220"/>
      <c r="CI36" s="220"/>
      <c r="CJ36" s="220"/>
      <c r="CK36" s="220"/>
      <c r="CL36" s="220"/>
      <c r="CM36" s="220"/>
      <c r="CN36" s="220"/>
      <c r="CO36" s="220"/>
      <c r="CP36" s="220"/>
      <c r="CQ36" s="220"/>
      <c r="CR36" s="220"/>
      <c r="CS36" s="220"/>
      <c r="CT36" s="220"/>
      <c r="CU36" s="220"/>
      <c r="CV36" s="220"/>
      <c r="CW36" s="220"/>
      <c r="CX36" s="220"/>
      <c r="CY36" s="220"/>
      <c r="CZ36" s="220"/>
      <c r="DA36" s="220"/>
      <c r="DB36" s="220"/>
      <c r="DC36" s="220"/>
      <c r="DD36" s="220"/>
      <c r="DE36" s="220"/>
      <c r="DF36" s="220"/>
      <c r="DG36" s="220"/>
      <c r="DH36" s="220"/>
      <c r="DI36" s="220"/>
      <c r="DJ36" s="220"/>
      <c r="DK36" s="220"/>
      <c r="DL36" s="220"/>
      <c r="DM36" s="220"/>
      <c r="DN36" s="220"/>
      <c r="DO36" s="220"/>
      <c r="DP36" s="220"/>
      <c r="DQ36" s="220"/>
    </row>
    <row r="37" spans="2:121" ht="15.75" x14ac:dyDescent="0.25">
      <c r="B37" s="13">
        <v>34</v>
      </c>
      <c r="C37" s="15" t="str">
        <f>Create!H64</f>
        <v>Standard</v>
      </c>
      <c r="D37" s="15">
        <v>1</v>
      </c>
      <c r="E37" s="15"/>
      <c r="F37" s="15">
        <f>Create!I64</f>
        <v>100</v>
      </c>
      <c r="G37" s="15"/>
      <c r="H37" s="15" t="str">
        <f>Create!C64</f>
        <v>Ab1-Dig</v>
      </c>
      <c r="I37" s="78">
        <f>Create!D64</f>
        <v>1</v>
      </c>
      <c r="J37" s="15" t="str">
        <f>Create!E64</f>
        <v>Ab1-Biot</v>
      </c>
      <c r="K37" s="78">
        <f>Create!F64</f>
        <v>10</v>
      </c>
      <c r="L37" s="79" t="str">
        <f>Create!G64</f>
        <v>1xRD</v>
      </c>
      <c r="N37" s="220"/>
      <c r="O37" s="220"/>
      <c r="P37" s="220"/>
      <c r="Q37" s="220"/>
      <c r="R37" s="220"/>
      <c r="S37" s="220"/>
      <c r="T37" s="220"/>
      <c r="U37" s="220"/>
      <c r="V37" s="220"/>
      <c r="W37" s="220"/>
      <c r="X37" s="220"/>
      <c r="Y37" s="220"/>
      <c r="Z37" s="220"/>
      <c r="AA37" s="220"/>
      <c r="AB37" s="220"/>
      <c r="AC37" s="220"/>
      <c r="AD37" s="220"/>
      <c r="AE37" s="220"/>
      <c r="AF37" s="220"/>
      <c r="AG37" s="220"/>
      <c r="AH37" s="220"/>
      <c r="AI37" s="220"/>
      <c r="AJ37" s="220"/>
      <c r="AK37" s="220"/>
      <c r="AL37" s="220"/>
      <c r="AM37" s="220"/>
      <c r="AN37" s="220"/>
      <c r="AO37" s="220"/>
      <c r="AP37" s="220"/>
      <c r="AQ37" s="220"/>
      <c r="AR37" s="220"/>
      <c r="AS37" s="220"/>
      <c r="AT37" s="220"/>
      <c r="AU37" s="220"/>
      <c r="AV37" s="220"/>
      <c r="AW37" s="220"/>
      <c r="AX37" s="220"/>
      <c r="AY37" s="220"/>
      <c r="AZ37" s="220"/>
      <c r="BA37" s="220"/>
      <c r="BB37" s="220"/>
      <c r="BC37" s="220"/>
      <c r="BD37" s="220"/>
      <c r="BE37" s="220"/>
      <c r="BF37" s="220"/>
      <c r="BG37" s="220"/>
      <c r="BH37" s="220"/>
      <c r="BI37" s="220"/>
      <c r="BJ37" s="220"/>
      <c r="BK37" s="220"/>
      <c r="BL37" s="220"/>
      <c r="BM37" s="220"/>
      <c r="BN37" s="220"/>
      <c r="BO37" s="220"/>
      <c r="BP37" s="220"/>
      <c r="BQ37" s="220"/>
      <c r="BR37" s="220"/>
      <c r="BS37" s="220"/>
      <c r="BT37" s="220"/>
      <c r="BU37" s="220"/>
      <c r="BV37" s="220"/>
      <c r="BW37" s="220"/>
      <c r="BX37" s="220"/>
      <c r="BY37" s="220"/>
      <c r="BZ37" s="220"/>
      <c r="CA37" s="220"/>
      <c r="CB37" s="220"/>
      <c r="CC37" s="220"/>
      <c r="CD37" s="220"/>
      <c r="CE37" s="220"/>
      <c r="CF37" s="220"/>
      <c r="CG37" s="220"/>
      <c r="CH37" s="220"/>
      <c r="CI37" s="220"/>
      <c r="CJ37" s="220"/>
      <c r="CK37" s="220"/>
      <c r="CL37" s="220"/>
      <c r="CM37" s="220"/>
      <c r="CN37" s="220"/>
      <c r="CO37" s="220"/>
      <c r="CP37" s="220"/>
      <c r="CQ37" s="220"/>
      <c r="CR37" s="220"/>
      <c r="CS37" s="220"/>
      <c r="CT37" s="220"/>
      <c r="CU37" s="220"/>
      <c r="CV37" s="220"/>
      <c r="CW37" s="220"/>
      <c r="CX37" s="220"/>
      <c r="CY37" s="220"/>
      <c r="CZ37" s="220"/>
      <c r="DA37" s="220"/>
      <c r="DB37" s="220"/>
      <c r="DC37" s="220"/>
      <c r="DD37" s="220"/>
      <c r="DE37" s="220"/>
      <c r="DF37" s="220"/>
      <c r="DG37" s="220"/>
      <c r="DH37" s="220"/>
      <c r="DI37" s="220"/>
      <c r="DJ37" s="220"/>
      <c r="DK37" s="220"/>
      <c r="DL37" s="220"/>
      <c r="DM37" s="220"/>
      <c r="DN37" s="220"/>
      <c r="DO37" s="220"/>
      <c r="DP37" s="220"/>
      <c r="DQ37" s="220"/>
    </row>
    <row r="38" spans="2:121" ht="15.75" x14ac:dyDescent="0.25">
      <c r="B38" s="13">
        <v>35</v>
      </c>
      <c r="C38" s="15" t="str">
        <f>Create!H65</f>
        <v>Standard</v>
      </c>
      <c r="D38" s="15">
        <v>1</v>
      </c>
      <c r="E38" s="15"/>
      <c r="F38" s="15">
        <f>Create!I65</f>
        <v>46.415888336127786</v>
      </c>
      <c r="G38" s="15"/>
      <c r="H38" s="15" t="str">
        <f>Create!C65</f>
        <v>Ab1-Dig</v>
      </c>
      <c r="I38" s="78">
        <f>Create!D65</f>
        <v>1</v>
      </c>
      <c r="J38" s="15" t="str">
        <f>Create!E65</f>
        <v>Ab1-Biot</v>
      </c>
      <c r="K38" s="78">
        <f>Create!F65</f>
        <v>10</v>
      </c>
      <c r="L38" s="79" t="str">
        <f>Create!G65</f>
        <v>1xRD</v>
      </c>
      <c r="N38" s="220"/>
      <c r="O38" s="220"/>
      <c r="P38" s="220"/>
      <c r="Q38" s="220"/>
      <c r="R38" s="220"/>
      <c r="S38" s="220"/>
      <c r="T38" s="220"/>
      <c r="U38" s="220"/>
      <c r="V38" s="220"/>
      <c r="W38" s="220"/>
      <c r="X38" s="220"/>
      <c r="Y38" s="220"/>
      <c r="Z38" s="220"/>
      <c r="AA38" s="220"/>
      <c r="AB38" s="220"/>
      <c r="AC38" s="220"/>
      <c r="AD38" s="220"/>
      <c r="AE38" s="220"/>
      <c r="AF38" s="220"/>
      <c r="AG38" s="220"/>
      <c r="AH38" s="220"/>
      <c r="AI38" s="220"/>
      <c r="AJ38" s="220"/>
      <c r="AK38" s="220"/>
      <c r="AL38" s="220"/>
      <c r="AM38" s="220"/>
      <c r="AN38" s="220"/>
      <c r="AO38" s="220"/>
      <c r="AP38" s="220"/>
      <c r="AQ38" s="220"/>
      <c r="AR38" s="220"/>
      <c r="AS38" s="220"/>
      <c r="AT38" s="220"/>
      <c r="AU38" s="220"/>
      <c r="AV38" s="220"/>
      <c r="AW38" s="220"/>
      <c r="AX38" s="220"/>
      <c r="AY38" s="220"/>
      <c r="AZ38" s="220"/>
      <c r="BA38" s="220"/>
      <c r="BB38" s="220"/>
      <c r="BC38" s="220"/>
      <c r="BD38" s="220"/>
      <c r="BE38" s="220"/>
      <c r="BF38" s="220"/>
      <c r="BG38" s="220"/>
      <c r="BH38" s="220"/>
      <c r="BI38" s="220"/>
      <c r="BJ38" s="220"/>
      <c r="BK38" s="220"/>
      <c r="BL38" s="220"/>
      <c r="BM38" s="220"/>
      <c r="BN38" s="220"/>
      <c r="BO38" s="220"/>
      <c r="BP38" s="220"/>
      <c r="BQ38" s="220"/>
      <c r="BR38" s="220"/>
      <c r="BS38" s="220"/>
      <c r="BT38" s="220"/>
      <c r="BU38" s="220"/>
      <c r="BV38" s="220"/>
      <c r="BW38" s="220"/>
      <c r="BX38" s="220"/>
      <c r="BY38" s="220"/>
      <c r="BZ38" s="220"/>
      <c r="CA38" s="220"/>
      <c r="CB38" s="220"/>
      <c r="CC38" s="220"/>
      <c r="CD38" s="220"/>
      <c r="CE38" s="220"/>
      <c r="CF38" s="220"/>
      <c r="CG38" s="220"/>
      <c r="CH38" s="220"/>
      <c r="CI38" s="220"/>
      <c r="CJ38" s="220"/>
      <c r="CK38" s="220"/>
      <c r="CL38" s="220"/>
      <c r="CM38" s="220"/>
      <c r="CN38" s="220"/>
      <c r="CO38" s="220"/>
      <c r="CP38" s="220"/>
      <c r="CQ38" s="220"/>
      <c r="CR38" s="220"/>
      <c r="CS38" s="220"/>
      <c r="CT38" s="220"/>
      <c r="CU38" s="220"/>
      <c r="CV38" s="220"/>
      <c r="CW38" s="220"/>
      <c r="CX38" s="220"/>
      <c r="CY38" s="220"/>
      <c r="CZ38" s="220"/>
      <c r="DA38" s="220"/>
      <c r="DB38" s="220"/>
      <c r="DC38" s="220"/>
      <c r="DD38" s="220"/>
      <c r="DE38" s="220"/>
      <c r="DF38" s="220"/>
      <c r="DG38" s="220"/>
      <c r="DH38" s="220"/>
      <c r="DI38" s="220"/>
      <c r="DJ38" s="220"/>
      <c r="DK38" s="220"/>
      <c r="DL38" s="220"/>
      <c r="DM38" s="220"/>
      <c r="DN38" s="220"/>
      <c r="DO38" s="220"/>
      <c r="DP38" s="220"/>
      <c r="DQ38" s="220"/>
    </row>
    <row r="39" spans="2:121" ht="15.75" x14ac:dyDescent="0.25">
      <c r="B39" s="13">
        <v>36</v>
      </c>
      <c r="C39" s="15" t="str">
        <f>Create!H66</f>
        <v>Standard</v>
      </c>
      <c r="D39" s="15">
        <v>1</v>
      </c>
      <c r="E39" s="15"/>
      <c r="F39" s="15">
        <f>Create!I66</f>
        <v>21.544346900318835</v>
      </c>
      <c r="G39" s="15"/>
      <c r="H39" s="15" t="str">
        <f>Create!C66</f>
        <v>Ab1-Dig</v>
      </c>
      <c r="I39" s="78">
        <f>Create!D66</f>
        <v>1</v>
      </c>
      <c r="J39" s="15" t="str">
        <f>Create!E66</f>
        <v>Ab1-Biot</v>
      </c>
      <c r="K39" s="78">
        <f>Create!F66</f>
        <v>10</v>
      </c>
      <c r="L39" s="79" t="str">
        <f>Create!G66</f>
        <v>1xRD</v>
      </c>
      <c r="N39" s="220"/>
      <c r="O39" s="220"/>
      <c r="P39" s="220"/>
      <c r="Q39" s="220"/>
      <c r="R39" s="220"/>
      <c r="S39" s="220"/>
      <c r="T39" s="220"/>
      <c r="U39" s="220"/>
      <c r="V39" s="220"/>
      <c r="W39" s="220"/>
      <c r="X39" s="220"/>
      <c r="Y39" s="220"/>
      <c r="Z39" s="220"/>
      <c r="AA39" s="220"/>
      <c r="AB39" s="220"/>
      <c r="AC39" s="220"/>
      <c r="AD39" s="220"/>
      <c r="AE39" s="220"/>
      <c r="AF39" s="220"/>
      <c r="AG39" s="220"/>
      <c r="AH39" s="220"/>
      <c r="AI39" s="220"/>
      <c r="AJ39" s="220"/>
      <c r="AK39" s="220"/>
      <c r="AL39" s="220"/>
      <c r="AM39" s="220"/>
      <c r="AN39" s="220"/>
      <c r="AO39" s="220"/>
      <c r="AP39" s="220"/>
      <c r="AQ39" s="220"/>
      <c r="AR39" s="220"/>
      <c r="AS39" s="220"/>
      <c r="AT39" s="220"/>
      <c r="AU39" s="220"/>
      <c r="AV39" s="220"/>
      <c r="AW39" s="220"/>
      <c r="AX39" s="220"/>
      <c r="AY39" s="220"/>
      <c r="AZ39" s="220"/>
      <c r="BA39" s="220"/>
      <c r="BB39" s="220"/>
      <c r="BC39" s="220"/>
      <c r="BD39" s="220"/>
      <c r="BE39" s="220"/>
      <c r="BF39" s="220"/>
      <c r="BG39" s="220"/>
      <c r="BH39" s="220"/>
      <c r="BI39" s="220"/>
      <c r="BJ39" s="220"/>
      <c r="BK39" s="220"/>
      <c r="BL39" s="220"/>
      <c r="BM39" s="220"/>
      <c r="BN39" s="220"/>
      <c r="BO39" s="220"/>
      <c r="BP39" s="220"/>
      <c r="BQ39" s="220"/>
      <c r="BR39" s="220"/>
      <c r="BS39" s="220"/>
      <c r="BT39" s="220"/>
      <c r="BU39" s="220"/>
      <c r="BV39" s="220"/>
      <c r="BW39" s="220"/>
      <c r="BX39" s="220"/>
      <c r="BY39" s="220"/>
      <c r="BZ39" s="220"/>
      <c r="CA39" s="220"/>
      <c r="CB39" s="220"/>
      <c r="CC39" s="220"/>
      <c r="CD39" s="220"/>
      <c r="CE39" s="220"/>
      <c r="CF39" s="220"/>
      <c r="CG39" s="220"/>
      <c r="CH39" s="220"/>
      <c r="CI39" s="220"/>
      <c r="CJ39" s="220"/>
      <c r="CK39" s="220"/>
      <c r="CL39" s="220"/>
      <c r="CM39" s="220"/>
      <c r="CN39" s="220"/>
      <c r="CO39" s="220"/>
      <c r="CP39" s="220"/>
      <c r="CQ39" s="220"/>
      <c r="CR39" s="220"/>
      <c r="CS39" s="220"/>
      <c r="CT39" s="220"/>
      <c r="CU39" s="220"/>
      <c r="CV39" s="220"/>
      <c r="CW39" s="220"/>
      <c r="CX39" s="220"/>
      <c r="CY39" s="220"/>
      <c r="CZ39" s="220"/>
      <c r="DA39" s="220"/>
      <c r="DB39" s="220"/>
      <c r="DC39" s="220"/>
      <c r="DD39" s="220"/>
      <c r="DE39" s="220"/>
      <c r="DF39" s="220"/>
      <c r="DG39" s="220"/>
      <c r="DH39" s="220"/>
      <c r="DI39" s="220"/>
      <c r="DJ39" s="220"/>
      <c r="DK39" s="220"/>
      <c r="DL39" s="220"/>
      <c r="DM39" s="220"/>
      <c r="DN39" s="220"/>
      <c r="DO39" s="220"/>
      <c r="DP39" s="220"/>
      <c r="DQ39" s="220"/>
    </row>
    <row r="40" spans="2:121" ht="15.75" x14ac:dyDescent="0.25">
      <c r="B40" s="13">
        <v>37</v>
      </c>
      <c r="C40" s="15" t="str">
        <f>Create!H67</f>
        <v>Standard</v>
      </c>
      <c r="D40" s="15">
        <v>1</v>
      </c>
      <c r="E40" s="15"/>
      <c r="F40" s="15">
        <f>Create!I67</f>
        <v>9.9999999999999982</v>
      </c>
      <c r="G40" s="15"/>
      <c r="H40" s="15" t="str">
        <f>Create!C67</f>
        <v>Ab1-Dig</v>
      </c>
      <c r="I40" s="78">
        <f>Create!D67</f>
        <v>1</v>
      </c>
      <c r="J40" s="15" t="str">
        <f>Create!E67</f>
        <v>Ab1-Biot</v>
      </c>
      <c r="K40" s="78">
        <f>Create!F67</f>
        <v>10</v>
      </c>
      <c r="L40" s="79" t="str">
        <f>Create!G67</f>
        <v>1xRD</v>
      </c>
      <c r="N40" s="220"/>
      <c r="O40" s="220"/>
      <c r="P40" s="220"/>
      <c r="Q40" s="220"/>
      <c r="R40" s="220"/>
      <c r="S40" s="220"/>
      <c r="T40" s="220"/>
      <c r="U40" s="220"/>
      <c r="V40" s="220"/>
      <c r="W40" s="220"/>
      <c r="X40" s="220"/>
      <c r="Y40" s="220"/>
      <c r="Z40" s="220"/>
      <c r="AA40" s="220"/>
      <c r="AB40" s="220"/>
      <c r="AC40" s="220"/>
      <c r="AD40" s="220"/>
      <c r="AE40" s="220"/>
      <c r="AF40" s="220"/>
      <c r="AG40" s="220"/>
      <c r="AH40" s="220"/>
      <c r="AI40" s="220"/>
      <c r="AJ40" s="220"/>
      <c r="AK40" s="220"/>
      <c r="AL40" s="220"/>
      <c r="AM40" s="220"/>
      <c r="AN40" s="220"/>
      <c r="AO40" s="220"/>
      <c r="AP40" s="220"/>
      <c r="AQ40" s="220"/>
      <c r="AR40" s="220"/>
      <c r="AS40" s="220"/>
      <c r="AT40" s="220"/>
      <c r="AU40" s="220"/>
      <c r="AV40" s="220"/>
      <c r="AW40" s="220"/>
      <c r="AX40" s="220"/>
      <c r="AY40" s="220"/>
      <c r="AZ40" s="220"/>
      <c r="BA40" s="220"/>
      <c r="BB40" s="220"/>
      <c r="BC40" s="220"/>
      <c r="BD40" s="220"/>
      <c r="BE40" s="220"/>
      <c r="BF40" s="220"/>
      <c r="BG40" s="220"/>
      <c r="BH40" s="220"/>
      <c r="BI40" s="220"/>
      <c r="BJ40" s="220"/>
      <c r="BK40" s="220"/>
      <c r="BL40" s="220"/>
      <c r="BM40" s="220"/>
      <c r="BN40" s="220"/>
      <c r="BO40" s="220"/>
      <c r="BP40" s="220"/>
      <c r="BQ40" s="220"/>
      <c r="BR40" s="220"/>
      <c r="BS40" s="220"/>
      <c r="BT40" s="220"/>
      <c r="BU40" s="220"/>
      <c r="BV40" s="220"/>
      <c r="BW40" s="220"/>
      <c r="BX40" s="220"/>
      <c r="BY40" s="220"/>
      <c r="BZ40" s="220"/>
      <c r="CA40" s="220"/>
      <c r="CB40" s="220"/>
      <c r="CC40" s="220"/>
      <c r="CD40" s="220"/>
      <c r="CE40" s="220"/>
      <c r="CF40" s="220"/>
      <c r="CG40" s="220"/>
      <c r="CH40" s="220"/>
      <c r="CI40" s="220"/>
      <c r="CJ40" s="220"/>
      <c r="CK40" s="220"/>
      <c r="CL40" s="220"/>
      <c r="CM40" s="220"/>
      <c r="CN40" s="220"/>
      <c r="CO40" s="220"/>
      <c r="CP40" s="220"/>
      <c r="CQ40" s="220"/>
      <c r="CR40" s="220"/>
      <c r="CS40" s="220"/>
      <c r="CT40" s="220"/>
      <c r="CU40" s="220"/>
      <c r="CV40" s="220"/>
      <c r="CW40" s="220"/>
      <c r="CX40" s="220"/>
      <c r="CY40" s="220"/>
      <c r="CZ40" s="220"/>
      <c r="DA40" s="220"/>
      <c r="DB40" s="220"/>
      <c r="DC40" s="220"/>
      <c r="DD40" s="220"/>
      <c r="DE40" s="220"/>
      <c r="DF40" s="220"/>
      <c r="DG40" s="220"/>
      <c r="DH40" s="220"/>
      <c r="DI40" s="220"/>
      <c r="DJ40" s="220"/>
      <c r="DK40" s="220"/>
      <c r="DL40" s="220"/>
      <c r="DM40" s="220"/>
      <c r="DN40" s="220"/>
      <c r="DO40" s="220"/>
      <c r="DP40" s="220"/>
      <c r="DQ40" s="220"/>
    </row>
    <row r="41" spans="2:121" ht="15.75" x14ac:dyDescent="0.25">
      <c r="B41" s="13">
        <v>38</v>
      </c>
      <c r="C41" s="15" t="str">
        <f>Create!H68</f>
        <v>Standard</v>
      </c>
      <c r="D41" s="15">
        <v>1</v>
      </c>
      <c r="E41" s="15"/>
      <c r="F41" s="15">
        <f>Create!I68</f>
        <v>4.6415888336127775</v>
      </c>
      <c r="G41" s="15"/>
      <c r="H41" s="15" t="str">
        <f>Create!C68</f>
        <v>Ab1-Dig</v>
      </c>
      <c r="I41" s="78">
        <f>Create!D68</f>
        <v>1</v>
      </c>
      <c r="J41" s="15" t="str">
        <f>Create!E68</f>
        <v>Ab1-Biot</v>
      </c>
      <c r="K41" s="78">
        <f>Create!F68</f>
        <v>10</v>
      </c>
      <c r="L41" s="79" t="str">
        <f>Create!G68</f>
        <v>1xRD</v>
      </c>
      <c r="N41" s="220"/>
      <c r="O41" s="220"/>
      <c r="P41" s="220"/>
      <c r="Q41" s="220"/>
      <c r="R41" s="220"/>
      <c r="S41" s="220"/>
      <c r="T41" s="220"/>
      <c r="U41" s="220"/>
      <c r="V41" s="220"/>
      <c r="W41" s="220"/>
      <c r="X41" s="220"/>
      <c r="Y41" s="220"/>
      <c r="Z41" s="220"/>
      <c r="AA41" s="220"/>
      <c r="AB41" s="220"/>
      <c r="AC41" s="220"/>
      <c r="AD41" s="220"/>
      <c r="AE41" s="220"/>
      <c r="AF41" s="220"/>
      <c r="AG41" s="220"/>
      <c r="AH41" s="220"/>
      <c r="AI41" s="220"/>
      <c r="AJ41" s="220"/>
      <c r="AK41" s="220"/>
      <c r="AL41" s="220"/>
      <c r="AM41" s="220"/>
      <c r="AN41" s="220"/>
      <c r="AO41" s="220"/>
      <c r="AP41" s="220"/>
      <c r="AQ41" s="220"/>
      <c r="AR41" s="220"/>
      <c r="AS41" s="220"/>
      <c r="AT41" s="220"/>
      <c r="AU41" s="220"/>
      <c r="AV41" s="220"/>
      <c r="AW41" s="220"/>
      <c r="AX41" s="220"/>
      <c r="AY41" s="220"/>
      <c r="AZ41" s="220"/>
      <c r="BA41" s="220"/>
      <c r="BB41" s="220"/>
      <c r="BC41" s="220"/>
      <c r="BD41" s="220"/>
      <c r="BE41" s="220"/>
      <c r="BF41" s="220"/>
      <c r="BG41" s="220"/>
      <c r="BH41" s="220"/>
      <c r="BI41" s="220"/>
      <c r="BJ41" s="220"/>
      <c r="BK41" s="220"/>
      <c r="BL41" s="220"/>
      <c r="BM41" s="220"/>
      <c r="BN41" s="220"/>
      <c r="BO41" s="220"/>
      <c r="BP41" s="220"/>
      <c r="BQ41" s="220"/>
      <c r="BR41" s="220"/>
      <c r="BS41" s="220"/>
      <c r="BT41" s="220"/>
      <c r="BU41" s="220"/>
      <c r="BV41" s="220"/>
      <c r="BW41" s="220"/>
      <c r="BX41" s="220"/>
      <c r="BY41" s="220"/>
      <c r="BZ41" s="220"/>
      <c r="CA41" s="220"/>
      <c r="CB41" s="220"/>
      <c r="CC41" s="220"/>
      <c r="CD41" s="220"/>
      <c r="CE41" s="220"/>
      <c r="CF41" s="220"/>
      <c r="CG41" s="220"/>
      <c r="CH41" s="220"/>
      <c r="CI41" s="220"/>
      <c r="CJ41" s="220"/>
      <c r="CK41" s="220"/>
      <c r="CL41" s="220"/>
      <c r="CM41" s="220"/>
      <c r="CN41" s="220"/>
      <c r="CO41" s="220"/>
      <c r="CP41" s="220"/>
      <c r="CQ41" s="220"/>
      <c r="CR41" s="220"/>
      <c r="CS41" s="220"/>
      <c r="CT41" s="220"/>
      <c r="CU41" s="220"/>
      <c r="CV41" s="220"/>
      <c r="CW41" s="220"/>
      <c r="CX41" s="220"/>
      <c r="CY41" s="220"/>
      <c r="CZ41" s="220"/>
      <c r="DA41" s="220"/>
      <c r="DB41" s="220"/>
      <c r="DC41" s="220"/>
      <c r="DD41" s="220"/>
      <c r="DE41" s="220"/>
      <c r="DF41" s="220"/>
      <c r="DG41" s="220"/>
      <c r="DH41" s="220"/>
      <c r="DI41" s="220"/>
      <c r="DJ41" s="220"/>
      <c r="DK41" s="220"/>
      <c r="DL41" s="220"/>
      <c r="DM41" s="220"/>
      <c r="DN41" s="220"/>
      <c r="DO41" s="220"/>
      <c r="DP41" s="220"/>
      <c r="DQ41" s="220"/>
    </row>
    <row r="42" spans="2:121" ht="15.75" x14ac:dyDescent="0.25">
      <c r="B42" s="13">
        <v>39</v>
      </c>
      <c r="C42" s="15" t="str">
        <f>Create!H69</f>
        <v>Standard</v>
      </c>
      <c r="D42" s="15">
        <v>1</v>
      </c>
      <c r="E42" s="15"/>
      <c r="F42" s="15">
        <f>Create!I69</f>
        <v>2.1544346900318829</v>
      </c>
      <c r="G42" s="15"/>
      <c r="H42" s="15" t="str">
        <f>Create!C69</f>
        <v>Ab1-Dig</v>
      </c>
      <c r="I42" s="78">
        <f>Create!D69</f>
        <v>1</v>
      </c>
      <c r="J42" s="15" t="str">
        <f>Create!E69</f>
        <v>Ab1-Biot</v>
      </c>
      <c r="K42" s="78">
        <f>Create!F69</f>
        <v>10</v>
      </c>
      <c r="L42" s="79" t="str">
        <f>Create!G69</f>
        <v>1xRD</v>
      </c>
      <c r="N42" s="220"/>
      <c r="O42" s="220"/>
      <c r="P42" s="220"/>
      <c r="Q42" s="220"/>
      <c r="R42" s="220"/>
      <c r="S42" s="220"/>
      <c r="T42" s="220"/>
      <c r="U42" s="220"/>
      <c r="V42" s="220"/>
      <c r="W42" s="220"/>
      <c r="X42" s="220"/>
      <c r="Y42" s="220"/>
      <c r="Z42" s="220"/>
      <c r="AA42" s="220"/>
      <c r="AB42" s="220"/>
      <c r="AC42" s="220"/>
      <c r="AD42" s="220"/>
      <c r="AE42" s="220"/>
      <c r="AF42" s="220"/>
      <c r="AG42" s="220"/>
      <c r="AH42" s="220"/>
      <c r="AI42" s="220"/>
      <c r="AJ42" s="220"/>
      <c r="AK42" s="220"/>
      <c r="AL42" s="220"/>
      <c r="AM42" s="220"/>
      <c r="AN42" s="220"/>
      <c r="AO42" s="220"/>
      <c r="AP42" s="220"/>
      <c r="AQ42" s="220"/>
      <c r="AR42" s="220"/>
      <c r="AS42" s="220"/>
      <c r="AT42" s="220"/>
      <c r="AU42" s="220"/>
      <c r="AV42" s="220"/>
      <c r="AW42" s="220"/>
      <c r="AX42" s="220"/>
      <c r="AY42" s="220"/>
      <c r="AZ42" s="220"/>
      <c r="BA42" s="220"/>
      <c r="BB42" s="220"/>
      <c r="BC42" s="220"/>
      <c r="BD42" s="220"/>
      <c r="BE42" s="220"/>
      <c r="BF42" s="220"/>
      <c r="BG42" s="220"/>
      <c r="BH42" s="220"/>
      <c r="BI42" s="220"/>
      <c r="BJ42" s="220"/>
      <c r="BK42" s="220"/>
      <c r="BL42" s="220"/>
      <c r="BM42" s="220"/>
      <c r="BN42" s="220"/>
      <c r="BO42" s="220"/>
      <c r="BP42" s="220"/>
      <c r="BQ42" s="220"/>
      <c r="BR42" s="220"/>
      <c r="BS42" s="220"/>
      <c r="BT42" s="220"/>
      <c r="BU42" s="220"/>
      <c r="BV42" s="220"/>
      <c r="BW42" s="220"/>
      <c r="BX42" s="220"/>
      <c r="BY42" s="220"/>
      <c r="BZ42" s="220"/>
      <c r="CA42" s="220"/>
      <c r="CB42" s="220"/>
      <c r="CC42" s="220"/>
      <c r="CD42" s="220"/>
      <c r="CE42" s="220"/>
      <c r="CF42" s="220"/>
      <c r="CG42" s="220"/>
      <c r="CH42" s="220"/>
      <c r="CI42" s="220"/>
      <c r="CJ42" s="220"/>
      <c r="CK42" s="220"/>
      <c r="CL42" s="220"/>
      <c r="CM42" s="220"/>
      <c r="CN42" s="220"/>
      <c r="CO42" s="220"/>
      <c r="CP42" s="220"/>
      <c r="CQ42" s="220"/>
      <c r="CR42" s="220"/>
      <c r="CS42" s="220"/>
      <c r="CT42" s="220"/>
      <c r="CU42" s="220"/>
      <c r="CV42" s="220"/>
      <c r="CW42" s="220"/>
      <c r="CX42" s="220"/>
      <c r="CY42" s="220"/>
      <c r="CZ42" s="220"/>
      <c r="DA42" s="220"/>
      <c r="DB42" s="220"/>
      <c r="DC42" s="220"/>
      <c r="DD42" s="220"/>
      <c r="DE42" s="220"/>
      <c r="DF42" s="220"/>
      <c r="DG42" s="220"/>
      <c r="DH42" s="220"/>
      <c r="DI42" s="220"/>
      <c r="DJ42" s="220"/>
      <c r="DK42" s="220"/>
      <c r="DL42" s="220"/>
      <c r="DM42" s="220"/>
      <c r="DN42" s="220"/>
      <c r="DO42" s="220"/>
      <c r="DP42" s="220"/>
      <c r="DQ42" s="220"/>
    </row>
    <row r="43" spans="2:121" ht="15.75" x14ac:dyDescent="0.25">
      <c r="B43" s="13">
        <v>40</v>
      </c>
      <c r="C43" s="15" t="str">
        <f>Create!H70</f>
        <v>Standard</v>
      </c>
      <c r="D43" s="15">
        <v>1</v>
      </c>
      <c r="E43" s="15"/>
      <c r="F43" s="15">
        <f>Create!I70</f>
        <v>0.99999999999999956</v>
      </c>
      <c r="G43" s="15"/>
      <c r="H43" s="15" t="str">
        <f>Create!C70</f>
        <v>Ab1-Dig</v>
      </c>
      <c r="I43" s="78">
        <f>Create!D70</f>
        <v>1</v>
      </c>
      <c r="J43" s="15" t="str">
        <f>Create!E70</f>
        <v>Ab1-Biot</v>
      </c>
      <c r="K43" s="78">
        <f>Create!F70</f>
        <v>10</v>
      </c>
      <c r="L43" s="79" t="str">
        <f>Create!G70</f>
        <v>1xRD</v>
      </c>
      <c r="N43" s="220"/>
      <c r="O43" s="220"/>
      <c r="P43" s="220"/>
      <c r="Q43" s="220"/>
      <c r="R43" s="220"/>
      <c r="S43" s="220"/>
      <c r="T43" s="220"/>
      <c r="U43" s="220"/>
      <c r="V43" s="220"/>
      <c r="W43" s="220"/>
      <c r="X43" s="220"/>
      <c r="Y43" s="220"/>
      <c r="Z43" s="220"/>
      <c r="AA43" s="220"/>
      <c r="AB43" s="220"/>
      <c r="AC43" s="220"/>
      <c r="AD43" s="220"/>
      <c r="AE43" s="220"/>
      <c r="AF43" s="220"/>
      <c r="AG43" s="220"/>
      <c r="AH43" s="220"/>
      <c r="AI43" s="220"/>
      <c r="AJ43" s="220"/>
      <c r="AK43" s="220"/>
      <c r="AL43" s="220"/>
      <c r="AM43" s="220"/>
      <c r="AN43" s="220"/>
      <c r="AO43" s="220"/>
      <c r="AP43" s="220"/>
      <c r="AQ43" s="220"/>
      <c r="AR43" s="220"/>
      <c r="AS43" s="220"/>
      <c r="AT43" s="220"/>
      <c r="AU43" s="220"/>
      <c r="AV43" s="220"/>
      <c r="AW43" s="220"/>
      <c r="AX43" s="220"/>
      <c r="AY43" s="220"/>
      <c r="AZ43" s="220"/>
      <c r="BA43" s="220"/>
      <c r="BB43" s="220"/>
      <c r="BC43" s="220"/>
      <c r="BD43" s="220"/>
      <c r="BE43" s="220"/>
      <c r="BF43" s="220"/>
      <c r="BG43" s="220"/>
      <c r="BH43" s="220"/>
      <c r="BI43" s="220"/>
      <c r="BJ43" s="220"/>
      <c r="BK43" s="220"/>
      <c r="BL43" s="220"/>
      <c r="BM43" s="220"/>
      <c r="BN43" s="220"/>
      <c r="BO43" s="220"/>
      <c r="BP43" s="220"/>
      <c r="BQ43" s="220"/>
      <c r="BR43" s="220"/>
      <c r="BS43" s="220"/>
      <c r="BT43" s="220"/>
      <c r="BU43" s="220"/>
      <c r="BV43" s="220"/>
      <c r="BW43" s="220"/>
      <c r="BX43" s="220"/>
      <c r="BY43" s="220"/>
      <c r="BZ43" s="220"/>
      <c r="CA43" s="220"/>
      <c r="CB43" s="220"/>
      <c r="CC43" s="220"/>
      <c r="CD43" s="220"/>
      <c r="CE43" s="220"/>
      <c r="CF43" s="220"/>
      <c r="CG43" s="220"/>
      <c r="CH43" s="220"/>
      <c r="CI43" s="220"/>
      <c r="CJ43" s="220"/>
      <c r="CK43" s="220"/>
      <c r="CL43" s="220"/>
      <c r="CM43" s="220"/>
      <c r="CN43" s="220"/>
      <c r="CO43" s="220"/>
      <c r="CP43" s="220"/>
      <c r="CQ43" s="220"/>
      <c r="CR43" s="220"/>
      <c r="CS43" s="220"/>
      <c r="CT43" s="220"/>
      <c r="CU43" s="220"/>
      <c r="CV43" s="220"/>
      <c r="CW43" s="220"/>
      <c r="CX43" s="220"/>
      <c r="CY43" s="220"/>
      <c r="CZ43" s="220"/>
      <c r="DA43" s="220"/>
      <c r="DB43" s="220"/>
      <c r="DC43" s="220"/>
      <c r="DD43" s="220"/>
      <c r="DE43" s="220"/>
      <c r="DF43" s="220"/>
      <c r="DG43" s="220"/>
      <c r="DH43" s="220"/>
      <c r="DI43" s="220"/>
      <c r="DJ43" s="220"/>
      <c r="DK43" s="220"/>
      <c r="DL43" s="220"/>
      <c r="DM43" s="220"/>
      <c r="DN43" s="220"/>
      <c r="DO43" s="220"/>
      <c r="DP43" s="220"/>
      <c r="DQ43" s="220"/>
    </row>
    <row r="44" spans="2:121" ht="15.75" x14ac:dyDescent="0.25">
      <c r="B44" s="13">
        <v>41</v>
      </c>
      <c r="C44" s="15" t="str">
        <f>Create!H71</f>
        <v>Standard</v>
      </c>
      <c r="D44" s="15">
        <v>1</v>
      </c>
      <c r="E44" s="15"/>
      <c r="F44" s="15">
        <f>Create!I71</f>
        <v>0</v>
      </c>
      <c r="G44" s="15"/>
      <c r="H44" s="15" t="str">
        <f>Create!C71</f>
        <v>Ab1-Dig</v>
      </c>
      <c r="I44" s="78">
        <f>Create!D71</f>
        <v>1</v>
      </c>
      <c r="J44" s="15" t="str">
        <f>Create!E71</f>
        <v>Ab1-Biot</v>
      </c>
      <c r="K44" s="78">
        <f>Create!F71</f>
        <v>3.5</v>
      </c>
      <c r="L44" s="79" t="str">
        <f>Create!G71</f>
        <v>1xRD</v>
      </c>
      <c r="N44" s="220"/>
      <c r="O44" s="220"/>
      <c r="P44" s="220"/>
      <c r="Q44" s="220"/>
      <c r="R44" s="220"/>
      <c r="S44" s="220"/>
      <c r="T44" s="220"/>
      <c r="U44" s="220"/>
      <c r="V44" s="220"/>
      <c r="W44" s="220"/>
      <c r="X44" s="220"/>
      <c r="Y44" s="220"/>
      <c r="Z44" s="220"/>
      <c r="AA44" s="220"/>
      <c r="AB44" s="220"/>
      <c r="AC44" s="220"/>
      <c r="AD44" s="220"/>
      <c r="AE44" s="220"/>
      <c r="AF44" s="220"/>
      <c r="AG44" s="220"/>
      <c r="AH44" s="220"/>
      <c r="AI44" s="220"/>
      <c r="AJ44" s="220"/>
      <c r="AK44" s="220"/>
      <c r="AL44" s="220"/>
      <c r="AM44" s="220"/>
      <c r="AN44" s="220"/>
      <c r="AO44" s="220"/>
      <c r="AP44" s="220"/>
      <c r="AQ44" s="220"/>
      <c r="AR44" s="220"/>
      <c r="AS44" s="220"/>
      <c r="AT44" s="220"/>
      <c r="AU44" s="220"/>
      <c r="AV44" s="220"/>
      <c r="AW44" s="220"/>
      <c r="AX44" s="220"/>
      <c r="AY44" s="220"/>
      <c r="AZ44" s="220"/>
      <c r="BA44" s="220"/>
      <c r="BB44" s="220"/>
      <c r="BC44" s="220"/>
      <c r="BD44" s="220"/>
      <c r="BE44" s="220"/>
      <c r="BF44" s="220"/>
      <c r="BG44" s="220"/>
      <c r="BH44" s="220"/>
      <c r="BI44" s="220"/>
      <c r="BJ44" s="220"/>
      <c r="BK44" s="220"/>
      <c r="BL44" s="220"/>
      <c r="BM44" s="220"/>
      <c r="BN44" s="220"/>
      <c r="BO44" s="220"/>
      <c r="BP44" s="220"/>
      <c r="BQ44" s="220"/>
      <c r="BR44" s="220"/>
      <c r="BS44" s="220"/>
      <c r="BT44" s="220"/>
      <c r="BU44" s="220"/>
      <c r="BV44" s="220"/>
      <c r="BW44" s="220"/>
      <c r="BX44" s="220"/>
      <c r="BY44" s="220"/>
      <c r="BZ44" s="220"/>
      <c r="CA44" s="220"/>
      <c r="CB44" s="220"/>
      <c r="CC44" s="220"/>
      <c r="CD44" s="220"/>
      <c r="CE44" s="220"/>
      <c r="CF44" s="220"/>
      <c r="CG44" s="220"/>
      <c r="CH44" s="220"/>
      <c r="CI44" s="220"/>
      <c r="CJ44" s="220"/>
      <c r="CK44" s="220"/>
      <c r="CL44" s="220"/>
      <c r="CM44" s="220"/>
      <c r="CN44" s="220"/>
      <c r="CO44" s="220"/>
      <c r="CP44" s="220"/>
      <c r="CQ44" s="220"/>
      <c r="CR44" s="220"/>
      <c r="CS44" s="220"/>
      <c r="CT44" s="220"/>
      <c r="CU44" s="220"/>
      <c r="CV44" s="220"/>
      <c r="CW44" s="220"/>
      <c r="CX44" s="220"/>
      <c r="CY44" s="220"/>
      <c r="CZ44" s="220"/>
      <c r="DA44" s="220"/>
      <c r="DB44" s="220"/>
      <c r="DC44" s="220"/>
      <c r="DD44" s="220"/>
      <c r="DE44" s="220"/>
      <c r="DF44" s="220"/>
      <c r="DG44" s="220"/>
      <c r="DH44" s="220"/>
      <c r="DI44" s="220"/>
      <c r="DJ44" s="220"/>
      <c r="DK44" s="220"/>
      <c r="DL44" s="220"/>
      <c r="DM44" s="220"/>
      <c r="DN44" s="220"/>
      <c r="DO44" s="220"/>
      <c r="DP44" s="220"/>
      <c r="DQ44" s="220"/>
    </row>
    <row r="45" spans="2:121" ht="15.75" x14ac:dyDescent="0.25">
      <c r="B45" s="13">
        <v>42</v>
      </c>
      <c r="C45" s="15" t="str">
        <f>Create!H72</f>
        <v>Standard</v>
      </c>
      <c r="D45" s="15">
        <v>1</v>
      </c>
      <c r="E45" s="15"/>
      <c r="F45" s="15">
        <f>Create!I72</f>
        <v>100</v>
      </c>
      <c r="G45" s="15"/>
      <c r="H45" s="15" t="str">
        <f>Create!C72</f>
        <v>Ab1-Dig</v>
      </c>
      <c r="I45" s="78">
        <f>Create!D72</f>
        <v>1</v>
      </c>
      <c r="J45" s="15" t="str">
        <f>Create!E72</f>
        <v>Ab1-Biot</v>
      </c>
      <c r="K45" s="78">
        <f>Create!F72</f>
        <v>3.5</v>
      </c>
      <c r="L45" s="79" t="str">
        <f>Create!G72</f>
        <v>1xRD</v>
      </c>
      <c r="N45" s="220"/>
      <c r="O45" s="220"/>
      <c r="P45" s="220"/>
      <c r="Q45" s="220"/>
      <c r="R45" s="220"/>
      <c r="S45" s="220"/>
      <c r="T45" s="220"/>
      <c r="U45" s="220"/>
      <c r="V45" s="220"/>
      <c r="W45" s="220"/>
      <c r="X45" s="220"/>
      <c r="Y45" s="220"/>
      <c r="Z45" s="220"/>
      <c r="AA45" s="220"/>
      <c r="AB45" s="220"/>
      <c r="AC45" s="220"/>
      <c r="AD45" s="220"/>
      <c r="AE45" s="220"/>
      <c r="AF45" s="220"/>
      <c r="AG45" s="220"/>
      <c r="AH45" s="220"/>
      <c r="AI45" s="220"/>
      <c r="AJ45" s="220"/>
      <c r="AK45" s="220"/>
      <c r="AL45" s="220"/>
      <c r="AM45" s="220"/>
      <c r="AN45" s="220"/>
      <c r="AO45" s="220"/>
      <c r="AP45" s="220"/>
      <c r="AQ45" s="220"/>
      <c r="AR45" s="220"/>
      <c r="AS45" s="220"/>
      <c r="AT45" s="220"/>
      <c r="AU45" s="220"/>
      <c r="AV45" s="220"/>
      <c r="AW45" s="220"/>
      <c r="AX45" s="220"/>
      <c r="AY45" s="220"/>
      <c r="AZ45" s="220"/>
      <c r="BA45" s="220"/>
      <c r="BB45" s="220"/>
      <c r="BC45" s="220"/>
      <c r="BD45" s="220"/>
      <c r="BE45" s="220"/>
      <c r="BF45" s="220"/>
      <c r="BG45" s="220"/>
      <c r="BH45" s="220"/>
      <c r="BI45" s="220"/>
      <c r="BJ45" s="220"/>
      <c r="BK45" s="220"/>
      <c r="BL45" s="220"/>
      <c r="BM45" s="220"/>
      <c r="BN45" s="220"/>
      <c r="BO45" s="220"/>
      <c r="BP45" s="220"/>
      <c r="BQ45" s="220"/>
      <c r="BR45" s="220"/>
      <c r="BS45" s="220"/>
      <c r="BT45" s="220"/>
      <c r="BU45" s="220"/>
      <c r="BV45" s="220"/>
      <c r="BW45" s="220"/>
      <c r="BX45" s="220"/>
      <c r="BY45" s="220"/>
      <c r="BZ45" s="220"/>
      <c r="CA45" s="220"/>
      <c r="CB45" s="220"/>
      <c r="CC45" s="220"/>
      <c r="CD45" s="220"/>
      <c r="CE45" s="220"/>
      <c r="CF45" s="220"/>
      <c r="CG45" s="220"/>
      <c r="CH45" s="220"/>
      <c r="CI45" s="220"/>
      <c r="CJ45" s="220"/>
      <c r="CK45" s="220"/>
      <c r="CL45" s="220"/>
      <c r="CM45" s="220"/>
      <c r="CN45" s="220"/>
      <c r="CO45" s="220"/>
      <c r="CP45" s="220"/>
      <c r="CQ45" s="220"/>
      <c r="CR45" s="220"/>
      <c r="CS45" s="220"/>
      <c r="CT45" s="220"/>
      <c r="CU45" s="220"/>
      <c r="CV45" s="220"/>
      <c r="CW45" s="220"/>
      <c r="CX45" s="220"/>
      <c r="CY45" s="220"/>
      <c r="CZ45" s="220"/>
      <c r="DA45" s="220"/>
      <c r="DB45" s="220"/>
      <c r="DC45" s="220"/>
      <c r="DD45" s="220"/>
      <c r="DE45" s="220"/>
      <c r="DF45" s="220"/>
      <c r="DG45" s="220"/>
      <c r="DH45" s="220"/>
      <c r="DI45" s="220"/>
      <c r="DJ45" s="220"/>
      <c r="DK45" s="220"/>
      <c r="DL45" s="220"/>
      <c r="DM45" s="220"/>
      <c r="DN45" s="220"/>
      <c r="DO45" s="220"/>
      <c r="DP45" s="220"/>
      <c r="DQ45" s="220"/>
    </row>
    <row r="46" spans="2:121" ht="15.75" x14ac:dyDescent="0.25">
      <c r="B46" s="13">
        <v>43</v>
      </c>
      <c r="C46" s="15" t="str">
        <f>Create!H73</f>
        <v>Standard</v>
      </c>
      <c r="D46" s="15">
        <v>1</v>
      </c>
      <c r="E46" s="15"/>
      <c r="F46" s="15">
        <f>Create!I73</f>
        <v>46.415888336127786</v>
      </c>
      <c r="G46" s="15"/>
      <c r="H46" s="15" t="str">
        <f>Create!C73</f>
        <v>Ab1-Dig</v>
      </c>
      <c r="I46" s="78">
        <f>Create!D73</f>
        <v>1</v>
      </c>
      <c r="J46" s="15" t="str">
        <f>Create!E73</f>
        <v>Ab1-Biot</v>
      </c>
      <c r="K46" s="78">
        <f>Create!F73</f>
        <v>3.5</v>
      </c>
      <c r="L46" s="79" t="str">
        <f>Create!G73</f>
        <v>1xRD</v>
      </c>
      <c r="N46" s="220"/>
      <c r="O46" s="220"/>
      <c r="P46" s="220"/>
      <c r="Q46" s="220"/>
      <c r="R46" s="220"/>
      <c r="S46" s="220"/>
      <c r="T46" s="220"/>
      <c r="U46" s="220"/>
      <c r="V46" s="220"/>
      <c r="W46" s="220"/>
      <c r="X46" s="220"/>
      <c r="Y46" s="220"/>
      <c r="Z46" s="220"/>
      <c r="AA46" s="220"/>
      <c r="AB46" s="220"/>
      <c r="AC46" s="220"/>
      <c r="AD46" s="220"/>
      <c r="AE46" s="220"/>
      <c r="AF46" s="220"/>
      <c r="AG46" s="220"/>
      <c r="AH46" s="220"/>
      <c r="AI46" s="220"/>
      <c r="AJ46" s="220"/>
      <c r="AK46" s="220"/>
      <c r="AL46" s="220"/>
      <c r="AM46" s="220"/>
      <c r="AN46" s="220"/>
      <c r="AO46" s="220"/>
      <c r="AP46" s="220"/>
      <c r="AQ46" s="220"/>
      <c r="AR46" s="220"/>
      <c r="AS46" s="220"/>
      <c r="AT46" s="220"/>
      <c r="AU46" s="220"/>
      <c r="AV46" s="220"/>
      <c r="AW46" s="220"/>
      <c r="AX46" s="220"/>
      <c r="AY46" s="220"/>
      <c r="AZ46" s="220"/>
      <c r="BA46" s="220"/>
      <c r="BB46" s="220"/>
      <c r="BC46" s="220"/>
      <c r="BD46" s="220"/>
      <c r="BE46" s="220"/>
      <c r="BF46" s="220"/>
      <c r="BG46" s="220"/>
      <c r="BH46" s="220"/>
      <c r="BI46" s="220"/>
      <c r="BJ46" s="220"/>
      <c r="BK46" s="220"/>
      <c r="BL46" s="220"/>
      <c r="BM46" s="220"/>
      <c r="BN46" s="220"/>
      <c r="BO46" s="220"/>
      <c r="BP46" s="220"/>
      <c r="BQ46" s="220"/>
      <c r="BR46" s="220"/>
      <c r="BS46" s="220"/>
      <c r="BT46" s="220"/>
      <c r="BU46" s="220"/>
      <c r="BV46" s="220"/>
      <c r="BW46" s="220"/>
      <c r="BX46" s="220"/>
      <c r="BY46" s="220"/>
      <c r="BZ46" s="220"/>
      <c r="CA46" s="220"/>
      <c r="CB46" s="220"/>
      <c r="CC46" s="220"/>
      <c r="CD46" s="220"/>
      <c r="CE46" s="220"/>
      <c r="CF46" s="220"/>
      <c r="CG46" s="220"/>
      <c r="CH46" s="220"/>
      <c r="CI46" s="220"/>
      <c r="CJ46" s="220"/>
      <c r="CK46" s="220"/>
      <c r="CL46" s="220"/>
      <c r="CM46" s="220"/>
      <c r="CN46" s="220"/>
      <c r="CO46" s="220"/>
      <c r="CP46" s="220"/>
      <c r="CQ46" s="220"/>
      <c r="CR46" s="220"/>
      <c r="CS46" s="220"/>
      <c r="CT46" s="220"/>
      <c r="CU46" s="220"/>
      <c r="CV46" s="220"/>
      <c r="CW46" s="220"/>
      <c r="CX46" s="220"/>
      <c r="CY46" s="220"/>
      <c r="CZ46" s="220"/>
      <c r="DA46" s="220"/>
      <c r="DB46" s="220"/>
      <c r="DC46" s="220"/>
      <c r="DD46" s="220"/>
      <c r="DE46" s="220"/>
      <c r="DF46" s="220"/>
      <c r="DG46" s="220"/>
      <c r="DH46" s="220"/>
      <c r="DI46" s="220"/>
      <c r="DJ46" s="220"/>
      <c r="DK46" s="220"/>
      <c r="DL46" s="220"/>
      <c r="DM46" s="220"/>
      <c r="DN46" s="220"/>
      <c r="DO46" s="220"/>
      <c r="DP46" s="220"/>
      <c r="DQ46" s="220"/>
    </row>
    <row r="47" spans="2:121" ht="15.75" x14ac:dyDescent="0.25">
      <c r="B47" s="13">
        <v>44</v>
      </c>
      <c r="C47" s="15" t="str">
        <f>Create!H74</f>
        <v>Standard</v>
      </c>
      <c r="D47" s="15">
        <v>1</v>
      </c>
      <c r="E47" s="15"/>
      <c r="F47" s="15">
        <f>Create!I74</f>
        <v>21.544346900318835</v>
      </c>
      <c r="G47" s="15"/>
      <c r="H47" s="15" t="str">
        <f>Create!C74</f>
        <v>Ab1-Dig</v>
      </c>
      <c r="I47" s="78">
        <f>Create!D74</f>
        <v>1</v>
      </c>
      <c r="J47" s="15" t="str">
        <f>Create!E74</f>
        <v>Ab1-Biot</v>
      </c>
      <c r="K47" s="78">
        <f>Create!F74</f>
        <v>3.5</v>
      </c>
      <c r="L47" s="79" t="str">
        <f>Create!G74</f>
        <v>1xRD</v>
      </c>
      <c r="N47" s="220"/>
      <c r="O47" s="220"/>
      <c r="P47" s="220"/>
      <c r="Q47" s="220"/>
      <c r="R47" s="220"/>
      <c r="S47" s="220"/>
      <c r="T47" s="220"/>
      <c r="U47" s="220"/>
      <c r="V47" s="220"/>
      <c r="W47" s="220"/>
      <c r="X47" s="220"/>
      <c r="Y47" s="220"/>
      <c r="Z47" s="220"/>
      <c r="AA47" s="220"/>
      <c r="AB47" s="220"/>
      <c r="AC47" s="220"/>
      <c r="AD47" s="220"/>
      <c r="AE47" s="220"/>
      <c r="AF47" s="220"/>
      <c r="AG47" s="220"/>
      <c r="AH47" s="220"/>
      <c r="AI47" s="220"/>
      <c r="AJ47" s="220"/>
      <c r="AK47" s="220"/>
      <c r="AL47" s="220"/>
      <c r="AM47" s="220"/>
      <c r="AN47" s="220"/>
      <c r="AO47" s="220"/>
      <c r="AP47" s="220"/>
      <c r="AQ47" s="220"/>
      <c r="AR47" s="220"/>
      <c r="AS47" s="220"/>
      <c r="AT47" s="220"/>
      <c r="AU47" s="220"/>
      <c r="AV47" s="220"/>
      <c r="AW47" s="220"/>
      <c r="AX47" s="220"/>
      <c r="AY47" s="220"/>
      <c r="AZ47" s="220"/>
      <c r="BA47" s="220"/>
      <c r="BB47" s="220"/>
      <c r="BC47" s="220"/>
      <c r="BD47" s="220"/>
      <c r="BE47" s="220"/>
      <c r="BF47" s="220"/>
      <c r="BG47" s="220"/>
      <c r="BH47" s="220"/>
      <c r="BI47" s="220"/>
      <c r="BJ47" s="220"/>
      <c r="BK47" s="220"/>
      <c r="BL47" s="220"/>
      <c r="BM47" s="220"/>
      <c r="BN47" s="220"/>
      <c r="BO47" s="220"/>
      <c r="BP47" s="220"/>
      <c r="BQ47" s="220"/>
      <c r="BR47" s="220"/>
      <c r="BS47" s="220"/>
      <c r="BT47" s="220"/>
      <c r="BU47" s="220"/>
      <c r="BV47" s="220"/>
      <c r="BW47" s="220"/>
      <c r="BX47" s="220"/>
      <c r="BY47" s="220"/>
      <c r="BZ47" s="220"/>
      <c r="CA47" s="220"/>
      <c r="CB47" s="220"/>
      <c r="CC47" s="220"/>
      <c r="CD47" s="220"/>
      <c r="CE47" s="220"/>
      <c r="CF47" s="220"/>
      <c r="CG47" s="220"/>
      <c r="CH47" s="220"/>
      <c r="CI47" s="220"/>
      <c r="CJ47" s="220"/>
      <c r="CK47" s="220"/>
      <c r="CL47" s="220"/>
      <c r="CM47" s="220"/>
      <c r="CN47" s="220"/>
      <c r="CO47" s="220"/>
      <c r="CP47" s="220"/>
      <c r="CQ47" s="220"/>
      <c r="CR47" s="220"/>
      <c r="CS47" s="220"/>
      <c r="CT47" s="220"/>
      <c r="CU47" s="220"/>
      <c r="CV47" s="220"/>
      <c r="CW47" s="220"/>
      <c r="CX47" s="220"/>
      <c r="CY47" s="220"/>
      <c r="CZ47" s="220"/>
      <c r="DA47" s="220"/>
      <c r="DB47" s="220"/>
      <c r="DC47" s="220"/>
      <c r="DD47" s="220"/>
      <c r="DE47" s="220"/>
      <c r="DF47" s="220"/>
      <c r="DG47" s="220"/>
      <c r="DH47" s="220"/>
      <c r="DI47" s="220"/>
      <c r="DJ47" s="220"/>
      <c r="DK47" s="220"/>
      <c r="DL47" s="220"/>
      <c r="DM47" s="220"/>
      <c r="DN47" s="220"/>
      <c r="DO47" s="220"/>
      <c r="DP47" s="220"/>
      <c r="DQ47" s="220"/>
    </row>
    <row r="48" spans="2:121" ht="15.75" x14ac:dyDescent="0.25">
      <c r="B48" s="13">
        <v>45</v>
      </c>
      <c r="C48" s="15" t="str">
        <f>Create!H75</f>
        <v>Standard</v>
      </c>
      <c r="D48" s="15">
        <v>1</v>
      </c>
      <c r="E48" s="15"/>
      <c r="F48" s="15">
        <f>Create!I75</f>
        <v>9.9999999999999982</v>
      </c>
      <c r="G48" s="15"/>
      <c r="H48" s="15" t="str">
        <f>Create!C75</f>
        <v>Ab1-Dig</v>
      </c>
      <c r="I48" s="78">
        <f>Create!D75</f>
        <v>1</v>
      </c>
      <c r="J48" s="15" t="str">
        <f>Create!E75</f>
        <v>Ab1-Biot</v>
      </c>
      <c r="K48" s="78">
        <f>Create!F75</f>
        <v>3.5</v>
      </c>
      <c r="L48" s="79" t="str">
        <f>Create!G75</f>
        <v>1xRD</v>
      </c>
      <c r="N48" s="220"/>
      <c r="O48" s="220"/>
      <c r="P48" s="220"/>
      <c r="Q48" s="220"/>
      <c r="R48" s="220"/>
      <c r="S48" s="220"/>
      <c r="T48" s="220"/>
      <c r="U48" s="220"/>
      <c r="V48" s="220"/>
      <c r="W48" s="220"/>
      <c r="X48" s="220"/>
      <c r="Y48" s="220"/>
      <c r="Z48" s="220"/>
      <c r="AA48" s="220"/>
      <c r="AB48" s="220"/>
      <c r="AC48" s="220"/>
      <c r="AD48" s="220"/>
      <c r="AE48" s="220"/>
      <c r="AF48" s="220"/>
      <c r="AG48" s="220"/>
      <c r="AH48" s="220"/>
      <c r="AI48" s="220"/>
      <c r="AJ48" s="220"/>
      <c r="AK48" s="220"/>
      <c r="AL48" s="220"/>
      <c r="AM48" s="220"/>
      <c r="AN48" s="220"/>
      <c r="AO48" s="220"/>
      <c r="AP48" s="220"/>
      <c r="AQ48" s="220"/>
      <c r="AR48" s="220"/>
      <c r="AS48" s="220"/>
      <c r="AT48" s="220"/>
      <c r="AU48" s="220"/>
      <c r="AV48" s="220"/>
      <c r="AW48" s="220"/>
      <c r="AX48" s="220"/>
      <c r="AY48" s="220"/>
      <c r="AZ48" s="220"/>
      <c r="BA48" s="220"/>
      <c r="BB48" s="220"/>
      <c r="BC48" s="220"/>
      <c r="BD48" s="220"/>
      <c r="BE48" s="220"/>
      <c r="BF48" s="220"/>
      <c r="BG48" s="220"/>
      <c r="BH48" s="220"/>
      <c r="BI48" s="220"/>
      <c r="BJ48" s="220"/>
      <c r="BK48" s="220"/>
      <c r="BL48" s="220"/>
      <c r="BM48" s="220"/>
      <c r="BN48" s="220"/>
      <c r="BO48" s="220"/>
      <c r="BP48" s="220"/>
      <c r="BQ48" s="220"/>
      <c r="BR48" s="220"/>
      <c r="BS48" s="220"/>
      <c r="BT48" s="220"/>
      <c r="BU48" s="220"/>
      <c r="BV48" s="220"/>
      <c r="BW48" s="220"/>
      <c r="BX48" s="220"/>
      <c r="BY48" s="220"/>
      <c r="BZ48" s="220"/>
      <c r="CA48" s="220"/>
      <c r="CB48" s="220"/>
      <c r="CC48" s="220"/>
      <c r="CD48" s="220"/>
      <c r="CE48" s="220"/>
      <c r="CF48" s="220"/>
      <c r="CG48" s="220"/>
      <c r="CH48" s="220"/>
      <c r="CI48" s="220"/>
      <c r="CJ48" s="220"/>
      <c r="CK48" s="220"/>
      <c r="CL48" s="220"/>
      <c r="CM48" s="220"/>
      <c r="CN48" s="220"/>
      <c r="CO48" s="220"/>
      <c r="CP48" s="220"/>
      <c r="CQ48" s="220"/>
      <c r="CR48" s="220"/>
      <c r="CS48" s="220"/>
      <c r="CT48" s="220"/>
      <c r="CU48" s="220"/>
      <c r="CV48" s="220"/>
      <c r="CW48" s="220"/>
      <c r="CX48" s="220"/>
      <c r="CY48" s="220"/>
      <c r="CZ48" s="220"/>
      <c r="DA48" s="220"/>
      <c r="DB48" s="220"/>
      <c r="DC48" s="220"/>
      <c r="DD48" s="220"/>
      <c r="DE48" s="220"/>
      <c r="DF48" s="220"/>
      <c r="DG48" s="220"/>
      <c r="DH48" s="220"/>
      <c r="DI48" s="220"/>
      <c r="DJ48" s="220"/>
      <c r="DK48" s="220"/>
      <c r="DL48" s="220"/>
      <c r="DM48" s="220"/>
      <c r="DN48" s="220"/>
      <c r="DO48" s="220"/>
      <c r="DP48" s="220"/>
      <c r="DQ48" s="220"/>
    </row>
    <row r="49" spans="2:121" ht="15.75" x14ac:dyDescent="0.25">
      <c r="B49" s="13">
        <v>46</v>
      </c>
      <c r="C49" s="15" t="str">
        <f>Create!H76</f>
        <v>Standard</v>
      </c>
      <c r="D49" s="15">
        <v>1</v>
      </c>
      <c r="E49" s="15"/>
      <c r="F49" s="15">
        <f>Create!I76</f>
        <v>4.6415888336127775</v>
      </c>
      <c r="G49" s="15"/>
      <c r="H49" s="15" t="str">
        <f>Create!C76</f>
        <v>Ab1-Dig</v>
      </c>
      <c r="I49" s="78">
        <f>Create!D76</f>
        <v>1</v>
      </c>
      <c r="J49" s="15" t="str">
        <f>Create!E76</f>
        <v>Ab1-Biot</v>
      </c>
      <c r="K49" s="78">
        <f>Create!F76</f>
        <v>3.5</v>
      </c>
      <c r="L49" s="79" t="str">
        <f>Create!G76</f>
        <v>1xRD</v>
      </c>
      <c r="N49" s="220"/>
      <c r="O49" s="220"/>
      <c r="P49" s="220"/>
      <c r="Q49" s="220"/>
      <c r="R49" s="220"/>
      <c r="S49" s="220"/>
      <c r="T49" s="220"/>
      <c r="U49" s="220"/>
      <c r="V49" s="220"/>
      <c r="W49" s="220"/>
      <c r="X49" s="220"/>
      <c r="Y49" s="220"/>
      <c r="Z49" s="220"/>
      <c r="AA49" s="220"/>
      <c r="AB49" s="220"/>
      <c r="AC49" s="220"/>
      <c r="AD49" s="220"/>
      <c r="AE49" s="220"/>
      <c r="AF49" s="220"/>
      <c r="AG49" s="220"/>
      <c r="AH49" s="220"/>
      <c r="AI49" s="220"/>
      <c r="AJ49" s="220"/>
      <c r="AK49" s="220"/>
      <c r="AL49" s="220"/>
      <c r="AM49" s="220"/>
      <c r="AN49" s="220"/>
      <c r="AO49" s="220"/>
      <c r="AP49" s="220"/>
      <c r="AQ49" s="220"/>
      <c r="AR49" s="220"/>
      <c r="AS49" s="220"/>
      <c r="AT49" s="220"/>
      <c r="AU49" s="220"/>
      <c r="AV49" s="220"/>
      <c r="AW49" s="220"/>
      <c r="AX49" s="220"/>
      <c r="AY49" s="220"/>
      <c r="AZ49" s="220"/>
      <c r="BA49" s="220"/>
      <c r="BB49" s="220"/>
      <c r="BC49" s="220"/>
      <c r="BD49" s="220"/>
      <c r="BE49" s="220"/>
      <c r="BF49" s="220"/>
      <c r="BG49" s="220"/>
      <c r="BH49" s="220"/>
      <c r="BI49" s="220"/>
      <c r="BJ49" s="220"/>
      <c r="BK49" s="220"/>
      <c r="BL49" s="220"/>
      <c r="BM49" s="220"/>
      <c r="BN49" s="220"/>
      <c r="BO49" s="220"/>
      <c r="BP49" s="220"/>
      <c r="BQ49" s="220"/>
      <c r="BR49" s="220"/>
      <c r="BS49" s="220"/>
      <c r="BT49" s="220"/>
      <c r="BU49" s="220"/>
      <c r="BV49" s="220"/>
      <c r="BW49" s="220"/>
      <c r="BX49" s="220"/>
      <c r="BY49" s="220"/>
      <c r="BZ49" s="220"/>
      <c r="CA49" s="220"/>
      <c r="CB49" s="220"/>
      <c r="CC49" s="220"/>
      <c r="CD49" s="220"/>
      <c r="CE49" s="220"/>
      <c r="CF49" s="220"/>
      <c r="CG49" s="220"/>
      <c r="CH49" s="220"/>
      <c r="CI49" s="220"/>
      <c r="CJ49" s="220"/>
      <c r="CK49" s="220"/>
      <c r="CL49" s="220"/>
      <c r="CM49" s="220"/>
      <c r="CN49" s="220"/>
      <c r="CO49" s="220"/>
      <c r="CP49" s="220"/>
      <c r="CQ49" s="220"/>
      <c r="CR49" s="220"/>
      <c r="CS49" s="220"/>
      <c r="CT49" s="220"/>
      <c r="CU49" s="220"/>
      <c r="CV49" s="220"/>
      <c r="CW49" s="220"/>
      <c r="CX49" s="220"/>
      <c r="CY49" s="220"/>
      <c r="CZ49" s="220"/>
      <c r="DA49" s="220"/>
      <c r="DB49" s="220"/>
      <c r="DC49" s="220"/>
      <c r="DD49" s="220"/>
      <c r="DE49" s="220"/>
      <c r="DF49" s="220"/>
      <c r="DG49" s="220"/>
      <c r="DH49" s="220"/>
      <c r="DI49" s="220"/>
      <c r="DJ49" s="220"/>
      <c r="DK49" s="220"/>
      <c r="DL49" s="220"/>
      <c r="DM49" s="220"/>
      <c r="DN49" s="220"/>
      <c r="DO49" s="220"/>
      <c r="DP49" s="220"/>
      <c r="DQ49" s="220"/>
    </row>
    <row r="50" spans="2:121" ht="15.75" x14ac:dyDescent="0.25">
      <c r="B50" s="13">
        <v>47</v>
      </c>
      <c r="C50" s="15" t="str">
        <f>Create!H77</f>
        <v>Standard</v>
      </c>
      <c r="D50" s="15">
        <v>1</v>
      </c>
      <c r="E50" s="15"/>
      <c r="F50" s="15">
        <f>Create!I77</f>
        <v>2.1544346900318829</v>
      </c>
      <c r="G50" s="15"/>
      <c r="H50" s="15" t="str">
        <f>Create!C77</f>
        <v>Ab1-Dig</v>
      </c>
      <c r="I50" s="78">
        <f>Create!D77</f>
        <v>1</v>
      </c>
      <c r="J50" s="15" t="str">
        <f>Create!E77</f>
        <v>Ab1-Biot</v>
      </c>
      <c r="K50" s="78">
        <f>Create!F77</f>
        <v>3.5</v>
      </c>
      <c r="L50" s="79" t="str">
        <f>Create!G77</f>
        <v>1xRD</v>
      </c>
      <c r="N50" s="220"/>
      <c r="O50" s="220"/>
      <c r="P50" s="220"/>
      <c r="Q50" s="220"/>
      <c r="R50" s="220"/>
      <c r="S50" s="220"/>
      <c r="T50" s="220"/>
      <c r="U50" s="220"/>
      <c r="V50" s="220"/>
      <c r="W50" s="220"/>
      <c r="X50" s="220"/>
      <c r="Y50" s="220"/>
      <c r="Z50" s="220"/>
      <c r="AA50" s="220"/>
      <c r="AB50" s="220"/>
      <c r="AC50" s="220"/>
      <c r="AD50" s="220"/>
      <c r="AE50" s="220"/>
      <c r="AF50" s="220"/>
      <c r="AG50" s="220"/>
      <c r="AH50" s="220"/>
      <c r="AI50" s="220"/>
      <c r="AJ50" s="220"/>
      <c r="AK50" s="220"/>
      <c r="AL50" s="220"/>
      <c r="AM50" s="220"/>
      <c r="AN50" s="220"/>
      <c r="AO50" s="220"/>
      <c r="AP50" s="220"/>
      <c r="AQ50" s="220"/>
      <c r="AR50" s="220"/>
      <c r="AS50" s="220"/>
      <c r="AT50" s="220"/>
      <c r="AU50" s="220"/>
      <c r="AV50" s="220"/>
      <c r="AW50" s="220"/>
      <c r="AX50" s="220"/>
      <c r="AY50" s="220"/>
      <c r="AZ50" s="220"/>
      <c r="BA50" s="220"/>
      <c r="BB50" s="220"/>
      <c r="BC50" s="220"/>
      <c r="BD50" s="220"/>
      <c r="BE50" s="220"/>
      <c r="BF50" s="220"/>
      <c r="BG50" s="220"/>
      <c r="BH50" s="220"/>
      <c r="BI50" s="220"/>
      <c r="BJ50" s="220"/>
      <c r="BK50" s="220"/>
      <c r="BL50" s="220"/>
      <c r="BM50" s="220"/>
      <c r="BN50" s="220"/>
      <c r="BO50" s="220"/>
      <c r="BP50" s="220"/>
      <c r="BQ50" s="220"/>
      <c r="BR50" s="220"/>
      <c r="BS50" s="220"/>
      <c r="BT50" s="220"/>
      <c r="BU50" s="220"/>
      <c r="BV50" s="220"/>
      <c r="BW50" s="220"/>
      <c r="BX50" s="220"/>
      <c r="BY50" s="220"/>
      <c r="BZ50" s="220"/>
      <c r="CA50" s="220"/>
      <c r="CB50" s="220"/>
      <c r="CC50" s="220"/>
      <c r="CD50" s="220"/>
      <c r="CE50" s="220"/>
      <c r="CF50" s="220"/>
      <c r="CG50" s="220"/>
      <c r="CH50" s="220"/>
      <c r="CI50" s="220"/>
      <c r="CJ50" s="220"/>
      <c r="CK50" s="220"/>
      <c r="CL50" s="220"/>
      <c r="CM50" s="220"/>
      <c r="CN50" s="220"/>
      <c r="CO50" s="220"/>
      <c r="CP50" s="220"/>
      <c r="CQ50" s="220"/>
      <c r="CR50" s="220"/>
      <c r="CS50" s="220"/>
      <c r="CT50" s="220"/>
      <c r="CU50" s="220"/>
      <c r="CV50" s="220"/>
      <c r="CW50" s="220"/>
      <c r="CX50" s="220"/>
      <c r="CY50" s="220"/>
      <c r="CZ50" s="220"/>
      <c r="DA50" s="220"/>
      <c r="DB50" s="220"/>
      <c r="DC50" s="220"/>
      <c r="DD50" s="220"/>
      <c r="DE50" s="220"/>
      <c r="DF50" s="220"/>
      <c r="DG50" s="220"/>
      <c r="DH50" s="220"/>
      <c r="DI50" s="220"/>
      <c r="DJ50" s="220"/>
      <c r="DK50" s="220"/>
      <c r="DL50" s="220"/>
      <c r="DM50" s="220"/>
      <c r="DN50" s="220"/>
      <c r="DO50" s="220"/>
      <c r="DP50" s="220"/>
      <c r="DQ50" s="220"/>
    </row>
    <row r="51" spans="2:121" ht="16.5" thickBot="1" x14ac:dyDescent="0.3">
      <c r="B51" s="14">
        <v>48</v>
      </c>
      <c r="C51" s="15" t="str">
        <f>Create!H78</f>
        <v>Standard</v>
      </c>
      <c r="D51" s="15">
        <v>1</v>
      </c>
      <c r="E51" s="15"/>
      <c r="F51" s="15">
        <f>Create!I78</f>
        <v>0.99999999999999956</v>
      </c>
      <c r="G51" s="15"/>
      <c r="H51" s="15" t="str">
        <f>Create!C78</f>
        <v>Ab1-Dig</v>
      </c>
      <c r="I51" s="78">
        <f>Create!D78</f>
        <v>1</v>
      </c>
      <c r="J51" s="15" t="str">
        <f>Create!E78</f>
        <v>Ab1-Biot</v>
      </c>
      <c r="K51" s="78">
        <f>Create!F78</f>
        <v>3.5</v>
      </c>
      <c r="L51" s="79" t="str">
        <f>Create!G78</f>
        <v>1xRD</v>
      </c>
      <c r="N51" s="220"/>
      <c r="O51" s="220"/>
      <c r="P51" s="220"/>
      <c r="Q51" s="220"/>
      <c r="R51" s="220"/>
      <c r="S51" s="220"/>
      <c r="T51" s="220"/>
      <c r="U51" s="220"/>
      <c r="V51" s="220"/>
      <c r="W51" s="220"/>
      <c r="X51" s="220"/>
      <c r="Y51" s="220"/>
      <c r="Z51" s="220"/>
      <c r="AA51" s="220"/>
      <c r="AB51" s="220"/>
      <c r="AC51" s="220"/>
      <c r="AD51" s="220"/>
      <c r="AE51" s="220"/>
      <c r="AF51" s="220"/>
      <c r="AG51" s="220"/>
      <c r="AH51" s="220"/>
      <c r="AI51" s="220"/>
      <c r="AJ51" s="220"/>
      <c r="AK51" s="220"/>
      <c r="AL51" s="220"/>
      <c r="AM51" s="220"/>
      <c r="AN51" s="220"/>
      <c r="AO51" s="220"/>
      <c r="AP51" s="220"/>
      <c r="AQ51" s="220"/>
      <c r="AR51" s="220"/>
      <c r="AS51" s="220"/>
      <c r="AT51" s="220"/>
      <c r="AU51" s="220"/>
      <c r="AV51" s="220"/>
      <c r="AW51" s="220"/>
      <c r="AX51" s="220"/>
      <c r="AY51" s="220"/>
      <c r="AZ51" s="220"/>
      <c r="BA51" s="220"/>
      <c r="BB51" s="220"/>
      <c r="BC51" s="220"/>
      <c r="BD51" s="220"/>
      <c r="BE51" s="220"/>
      <c r="BF51" s="220"/>
      <c r="BG51" s="220"/>
      <c r="BH51" s="220"/>
      <c r="BI51" s="220"/>
      <c r="BJ51" s="220"/>
      <c r="BK51" s="220"/>
      <c r="BL51" s="220"/>
      <c r="BM51" s="220"/>
      <c r="BN51" s="220"/>
      <c r="BO51" s="220"/>
      <c r="BP51" s="220"/>
      <c r="BQ51" s="220"/>
      <c r="BR51" s="220"/>
      <c r="BS51" s="220"/>
      <c r="BT51" s="220"/>
      <c r="BU51" s="220"/>
      <c r="BV51" s="220"/>
      <c r="BW51" s="220"/>
      <c r="BX51" s="220"/>
      <c r="BY51" s="220"/>
      <c r="BZ51" s="220"/>
      <c r="CA51" s="220"/>
      <c r="CB51" s="220"/>
      <c r="CC51" s="220"/>
      <c r="CD51" s="220"/>
      <c r="CE51" s="220"/>
      <c r="CF51" s="220"/>
      <c r="CG51" s="220"/>
      <c r="CH51" s="220"/>
      <c r="CI51" s="220"/>
      <c r="CJ51" s="220"/>
      <c r="CK51" s="220"/>
      <c r="CL51" s="220"/>
      <c r="CM51" s="220"/>
      <c r="CN51" s="220"/>
      <c r="CO51" s="220"/>
      <c r="CP51" s="220"/>
      <c r="CQ51" s="220"/>
      <c r="CR51" s="220"/>
      <c r="CS51" s="220"/>
      <c r="CT51" s="220"/>
      <c r="CU51" s="220"/>
      <c r="CV51" s="220"/>
      <c r="CW51" s="220"/>
      <c r="CX51" s="220"/>
      <c r="CY51" s="220"/>
      <c r="CZ51" s="220"/>
      <c r="DA51" s="220"/>
      <c r="DB51" s="220"/>
      <c r="DC51" s="220"/>
      <c r="DD51" s="220"/>
      <c r="DE51" s="220"/>
      <c r="DF51" s="220"/>
      <c r="DG51" s="220"/>
      <c r="DH51" s="220"/>
      <c r="DI51" s="220"/>
      <c r="DJ51" s="220"/>
      <c r="DK51" s="220"/>
      <c r="DL51" s="220"/>
      <c r="DM51" s="220"/>
      <c r="DN51" s="220"/>
      <c r="DO51" s="220"/>
      <c r="DP51" s="220"/>
      <c r="DQ51" s="220"/>
    </row>
    <row r="52" spans="2:121" x14ac:dyDescent="0.25">
      <c r="N52" s="220"/>
      <c r="O52" s="220"/>
      <c r="P52" s="220"/>
      <c r="Q52" s="220"/>
      <c r="R52" s="220"/>
      <c r="S52" s="220"/>
      <c r="T52" s="220"/>
      <c r="U52" s="220"/>
      <c r="V52" s="220"/>
      <c r="W52" s="220"/>
      <c r="X52" s="220"/>
      <c r="Y52" s="220"/>
      <c r="Z52" s="220"/>
      <c r="AA52" s="220"/>
      <c r="AB52" s="220"/>
      <c r="AC52" s="220"/>
      <c r="AD52" s="220"/>
      <c r="AE52" s="220"/>
      <c r="AF52" s="220"/>
      <c r="AG52" s="220"/>
      <c r="AH52" s="220"/>
      <c r="AI52" s="220"/>
      <c r="AJ52" s="220"/>
      <c r="AK52" s="220"/>
      <c r="AL52" s="220"/>
      <c r="AM52" s="220"/>
      <c r="AN52" s="220"/>
      <c r="AO52" s="220"/>
      <c r="AP52" s="220"/>
      <c r="AQ52" s="220"/>
      <c r="AR52" s="220"/>
      <c r="AS52" s="220"/>
      <c r="AT52" s="220"/>
      <c r="AU52" s="220"/>
      <c r="AV52" s="220"/>
      <c r="AW52" s="220"/>
      <c r="AX52" s="220"/>
      <c r="AY52" s="220"/>
      <c r="AZ52" s="220"/>
      <c r="BA52" s="220"/>
      <c r="BB52" s="220"/>
      <c r="BC52" s="220"/>
      <c r="BD52" s="220"/>
      <c r="BE52" s="220"/>
      <c r="BF52" s="220"/>
      <c r="BG52" s="220"/>
      <c r="BH52" s="220"/>
      <c r="BI52" s="220"/>
      <c r="BJ52" s="220"/>
      <c r="BK52" s="220"/>
      <c r="BL52" s="220"/>
      <c r="BM52" s="220"/>
      <c r="BN52" s="220"/>
      <c r="BO52" s="220"/>
      <c r="BP52" s="220"/>
      <c r="BQ52" s="220"/>
      <c r="BR52" s="220"/>
      <c r="BS52" s="220"/>
      <c r="BT52" s="220"/>
      <c r="BU52" s="220"/>
      <c r="BV52" s="220"/>
      <c r="BW52" s="220"/>
      <c r="BX52" s="220"/>
      <c r="BY52" s="220"/>
      <c r="BZ52" s="220"/>
      <c r="CA52" s="220"/>
      <c r="CB52" s="220"/>
      <c r="CC52" s="220"/>
      <c r="CD52" s="220"/>
      <c r="CE52" s="220"/>
      <c r="CF52" s="220"/>
      <c r="CG52" s="220"/>
      <c r="CH52" s="220"/>
      <c r="CI52" s="220"/>
      <c r="CJ52" s="220"/>
      <c r="CK52" s="220"/>
      <c r="CL52" s="220"/>
      <c r="CM52" s="220"/>
      <c r="CN52" s="220"/>
      <c r="CO52" s="220"/>
      <c r="CP52" s="220"/>
      <c r="CQ52" s="220"/>
      <c r="CR52" s="220"/>
      <c r="CS52" s="220"/>
      <c r="CT52" s="220"/>
      <c r="CU52" s="220"/>
      <c r="CV52" s="220"/>
      <c r="CW52" s="220"/>
      <c r="CX52" s="220"/>
      <c r="CY52" s="220"/>
      <c r="CZ52" s="220"/>
      <c r="DA52" s="220"/>
      <c r="DB52" s="220"/>
      <c r="DC52" s="220"/>
      <c r="DD52" s="220"/>
      <c r="DE52" s="220"/>
      <c r="DF52" s="220"/>
      <c r="DG52" s="220"/>
      <c r="DH52" s="220"/>
      <c r="DI52" s="220"/>
      <c r="DJ52" s="220"/>
      <c r="DK52" s="220"/>
      <c r="DL52" s="220"/>
      <c r="DM52" s="220"/>
      <c r="DN52" s="220"/>
      <c r="DO52" s="220"/>
      <c r="DP52" s="220"/>
      <c r="DQ52" s="220"/>
    </row>
    <row r="53" spans="2:121" x14ac:dyDescent="0.25">
      <c r="N53" s="220"/>
      <c r="O53" s="220"/>
      <c r="P53" s="220"/>
      <c r="Q53" s="220"/>
      <c r="R53" s="220"/>
      <c r="S53" s="220"/>
      <c r="T53" s="220"/>
      <c r="U53" s="220"/>
      <c r="V53" s="220"/>
      <c r="W53" s="220"/>
      <c r="X53" s="220"/>
      <c r="Y53" s="220"/>
      <c r="Z53" s="220"/>
      <c r="AA53" s="220"/>
      <c r="AB53" s="220"/>
      <c r="AC53" s="220"/>
      <c r="AD53" s="220"/>
      <c r="AE53" s="220"/>
      <c r="AF53" s="220"/>
      <c r="AG53" s="220"/>
      <c r="AH53" s="220"/>
      <c r="AI53" s="220"/>
      <c r="AJ53" s="220"/>
      <c r="AK53" s="220"/>
      <c r="AL53" s="220"/>
      <c r="AM53" s="220"/>
      <c r="AN53" s="220"/>
      <c r="AO53" s="220"/>
      <c r="AP53" s="220"/>
      <c r="AQ53" s="220"/>
      <c r="AR53" s="220"/>
      <c r="AS53" s="220"/>
      <c r="AT53" s="220"/>
      <c r="AU53" s="220"/>
      <c r="AV53" s="220"/>
      <c r="AW53" s="220"/>
      <c r="AX53" s="220"/>
      <c r="AY53" s="220"/>
      <c r="AZ53" s="220"/>
      <c r="BA53" s="220"/>
      <c r="BB53" s="220"/>
      <c r="BC53" s="220"/>
      <c r="BD53" s="220"/>
      <c r="BE53" s="220"/>
      <c r="BF53" s="220"/>
      <c r="BG53" s="220"/>
      <c r="BH53" s="220"/>
      <c r="BI53" s="220"/>
      <c r="BJ53" s="220"/>
      <c r="BK53" s="220"/>
      <c r="BL53" s="220"/>
      <c r="BM53" s="220"/>
      <c r="BN53" s="220"/>
      <c r="BO53" s="220"/>
      <c r="BP53" s="220"/>
      <c r="BQ53" s="220"/>
      <c r="BR53" s="220"/>
      <c r="BS53" s="220"/>
      <c r="BT53" s="220"/>
      <c r="BU53" s="220"/>
      <c r="BV53" s="220"/>
      <c r="BW53" s="220"/>
      <c r="BX53" s="220"/>
      <c r="BY53" s="220"/>
      <c r="BZ53" s="220"/>
      <c r="CA53" s="220"/>
      <c r="CB53" s="220"/>
      <c r="CC53" s="220"/>
      <c r="CD53" s="220"/>
      <c r="CE53" s="220"/>
      <c r="CF53" s="220"/>
      <c r="CG53" s="220"/>
      <c r="CH53" s="220"/>
      <c r="CI53" s="220"/>
      <c r="CJ53" s="220"/>
      <c r="CK53" s="220"/>
      <c r="CL53" s="220"/>
      <c r="CM53" s="220"/>
      <c r="CN53" s="220"/>
      <c r="CO53" s="220"/>
      <c r="CP53" s="220"/>
      <c r="CQ53" s="220"/>
      <c r="CR53" s="220"/>
      <c r="CS53" s="220"/>
      <c r="CT53" s="220"/>
      <c r="CU53" s="220"/>
      <c r="CV53" s="220"/>
      <c r="CW53" s="220"/>
      <c r="CX53" s="220"/>
      <c r="CY53" s="220"/>
      <c r="CZ53" s="220"/>
      <c r="DA53" s="220"/>
      <c r="DB53" s="220"/>
      <c r="DC53" s="220"/>
      <c r="DD53" s="220"/>
      <c r="DE53" s="220"/>
      <c r="DF53" s="220"/>
      <c r="DG53" s="220"/>
      <c r="DH53" s="220"/>
      <c r="DI53" s="220"/>
      <c r="DJ53" s="220"/>
      <c r="DK53" s="220"/>
      <c r="DL53" s="220"/>
      <c r="DM53" s="220"/>
      <c r="DN53" s="220"/>
      <c r="DO53" s="220"/>
      <c r="DP53" s="220"/>
      <c r="DQ53" s="220"/>
    </row>
    <row r="54" spans="2:121" x14ac:dyDescent="0.25">
      <c r="N54" s="220"/>
      <c r="O54" s="220"/>
      <c r="P54" s="220"/>
      <c r="Q54" s="220"/>
      <c r="R54" s="220"/>
      <c r="S54" s="220"/>
      <c r="T54" s="220"/>
      <c r="U54" s="220"/>
      <c r="V54" s="220"/>
      <c r="W54" s="220"/>
      <c r="X54" s="220"/>
      <c r="Y54" s="220"/>
      <c r="Z54" s="220"/>
      <c r="AA54" s="220"/>
      <c r="AB54" s="220"/>
      <c r="AC54" s="220"/>
      <c r="AD54" s="220"/>
      <c r="AE54" s="220"/>
      <c r="AF54" s="220"/>
      <c r="AG54" s="220"/>
      <c r="AH54" s="220"/>
      <c r="AI54" s="220"/>
      <c r="AJ54" s="220"/>
      <c r="AK54" s="220"/>
      <c r="AL54" s="220"/>
      <c r="AM54" s="220"/>
      <c r="AN54" s="220"/>
      <c r="AO54" s="220"/>
      <c r="AP54" s="220"/>
      <c r="AQ54" s="220"/>
      <c r="AR54" s="220"/>
      <c r="AS54" s="220"/>
      <c r="AT54" s="220"/>
      <c r="AU54" s="220"/>
      <c r="AV54" s="220"/>
      <c r="AW54" s="220"/>
      <c r="AX54" s="220"/>
      <c r="AY54" s="220"/>
      <c r="AZ54" s="220"/>
      <c r="BA54" s="220"/>
      <c r="BB54" s="220"/>
      <c r="BC54" s="220"/>
      <c r="BD54" s="220"/>
      <c r="BE54" s="220"/>
      <c r="BF54" s="220"/>
      <c r="BG54" s="220"/>
      <c r="BH54" s="220"/>
      <c r="BI54" s="220"/>
      <c r="BJ54" s="220"/>
      <c r="BK54" s="220"/>
      <c r="BL54" s="220"/>
      <c r="BM54" s="220"/>
      <c r="BN54" s="220"/>
      <c r="BO54" s="220"/>
      <c r="BP54" s="220"/>
      <c r="BQ54" s="220"/>
      <c r="BR54" s="220"/>
      <c r="BS54" s="220"/>
      <c r="BT54" s="220"/>
      <c r="BU54" s="220"/>
      <c r="BV54" s="220"/>
      <c r="BW54" s="220"/>
      <c r="BX54" s="220"/>
      <c r="BY54" s="220"/>
      <c r="BZ54" s="220"/>
      <c r="CA54" s="220"/>
      <c r="CB54" s="220"/>
      <c r="CC54" s="220"/>
      <c r="CD54" s="220"/>
      <c r="CE54" s="220"/>
      <c r="CF54" s="220"/>
      <c r="CG54" s="220"/>
      <c r="CH54" s="220"/>
      <c r="CI54" s="220"/>
      <c r="CJ54" s="220"/>
      <c r="CK54" s="220"/>
      <c r="CL54" s="220"/>
      <c r="CM54" s="220"/>
      <c r="CN54" s="220"/>
      <c r="CO54" s="220"/>
      <c r="CP54" s="220"/>
      <c r="CQ54" s="220"/>
      <c r="CR54" s="220"/>
      <c r="CS54" s="220"/>
      <c r="CT54" s="220"/>
      <c r="CU54" s="220"/>
      <c r="CV54" s="220"/>
      <c r="CW54" s="220"/>
      <c r="CX54" s="220"/>
      <c r="CY54" s="220"/>
      <c r="CZ54" s="220"/>
      <c r="DA54" s="220"/>
      <c r="DB54" s="220"/>
      <c r="DC54" s="220"/>
      <c r="DD54" s="220"/>
      <c r="DE54" s="220"/>
      <c r="DF54" s="220"/>
      <c r="DG54" s="220"/>
      <c r="DH54" s="220"/>
      <c r="DI54" s="220"/>
      <c r="DJ54" s="220"/>
      <c r="DK54" s="220"/>
      <c r="DL54" s="220"/>
      <c r="DM54" s="220"/>
      <c r="DN54" s="220"/>
      <c r="DO54" s="220"/>
      <c r="DP54" s="220"/>
      <c r="DQ54" s="220"/>
    </row>
    <row r="55" spans="2:121" x14ac:dyDescent="0.25">
      <c r="N55" s="220"/>
      <c r="O55" s="220"/>
      <c r="P55" s="220"/>
      <c r="Q55" s="220"/>
      <c r="R55" s="220"/>
      <c r="S55" s="220"/>
      <c r="T55" s="220"/>
      <c r="U55" s="220"/>
      <c r="V55" s="220"/>
      <c r="W55" s="220"/>
      <c r="X55" s="220"/>
      <c r="Y55" s="220"/>
      <c r="Z55" s="220"/>
      <c r="AA55" s="220"/>
      <c r="AB55" s="220"/>
      <c r="AC55" s="220"/>
      <c r="AD55" s="220"/>
      <c r="AE55" s="220"/>
      <c r="AF55" s="220"/>
      <c r="AG55" s="220"/>
      <c r="AH55" s="220"/>
      <c r="AI55" s="220"/>
      <c r="AJ55" s="220"/>
      <c r="AK55" s="220"/>
      <c r="AL55" s="220"/>
      <c r="AM55" s="220"/>
      <c r="AN55" s="220"/>
      <c r="AO55" s="220"/>
      <c r="AP55" s="220"/>
      <c r="AQ55" s="220"/>
      <c r="AR55" s="220"/>
      <c r="AS55" s="220"/>
      <c r="AT55" s="220"/>
      <c r="AU55" s="220"/>
      <c r="AV55" s="220"/>
      <c r="AW55" s="220"/>
      <c r="AX55" s="220"/>
      <c r="AY55" s="220"/>
      <c r="AZ55" s="220"/>
      <c r="BA55" s="220"/>
      <c r="BB55" s="220"/>
      <c r="BC55" s="220"/>
      <c r="BD55" s="220"/>
      <c r="BE55" s="220"/>
      <c r="BF55" s="220"/>
      <c r="BG55" s="220"/>
      <c r="BH55" s="220"/>
      <c r="BI55" s="220"/>
      <c r="BJ55" s="220"/>
      <c r="BK55" s="220"/>
      <c r="BL55" s="220"/>
      <c r="BM55" s="220"/>
      <c r="BN55" s="220"/>
      <c r="BO55" s="220"/>
      <c r="BP55" s="220"/>
      <c r="BQ55" s="220"/>
      <c r="BR55" s="220"/>
      <c r="BS55" s="220"/>
      <c r="BT55" s="220"/>
      <c r="BU55" s="220"/>
      <c r="BV55" s="220"/>
      <c r="BW55" s="220"/>
      <c r="BX55" s="220"/>
      <c r="BY55" s="220"/>
      <c r="BZ55" s="220"/>
      <c r="CA55" s="220"/>
      <c r="CB55" s="220"/>
      <c r="CC55" s="220"/>
      <c r="CD55" s="220"/>
      <c r="CE55" s="220"/>
      <c r="CF55" s="220"/>
      <c r="CG55" s="220"/>
      <c r="CH55" s="220"/>
      <c r="CI55" s="220"/>
      <c r="CJ55" s="220"/>
      <c r="CK55" s="220"/>
      <c r="CL55" s="220"/>
      <c r="CM55" s="220"/>
      <c r="CN55" s="220"/>
      <c r="CO55" s="220"/>
      <c r="CP55" s="220"/>
      <c r="CQ55" s="220"/>
      <c r="CR55" s="220"/>
      <c r="CS55" s="220"/>
      <c r="CT55" s="220"/>
      <c r="CU55" s="220"/>
      <c r="CV55" s="220"/>
      <c r="CW55" s="220"/>
      <c r="CX55" s="220"/>
      <c r="CY55" s="220"/>
      <c r="CZ55" s="220"/>
      <c r="DA55" s="220"/>
      <c r="DB55" s="220"/>
      <c r="DC55" s="220"/>
      <c r="DD55" s="220"/>
      <c r="DE55" s="220"/>
      <c r="DF55" s="220"/>
      <c r="DG55" s="220"/>
      <c r="DH55" s="220"/>
      <c r="DI55" s="220"/>
      <c r="DJ55" s="220"/>
      <c r="DK55" s="220"/>
      <c r="DL55" s="220"/>
      <c r="DM55" s="220"/>
      <c r="DN55" s="220"/>
      <c r="DO55" s="220"/>
      <c r="DP55" s="220"/>
      <c r="DQ55" s="220"/>
    </row>
    <row r="56" spans="2:121" x14ac:dyDescent="0.25">
      <c r="N56" s="220"/>
      <c r="O56" s="220"/>
      <c r="P56" s="220"/>
      <c r="Q56" s="220"/>
      <c r="R56" s="220"/>
      <c r="S56" s="220"/>
      <c r="T56" s="220"/>
      <c r="U56" s="220"/>
      <c r="V56" s="220"/>
      <c r="W56" s="220"/>
      <c r="X56" s="220"/>
      <c r="Y56" s="220"/>
      <c r="Z56" s="220"/>
      <c r="AA56" s="220"/>
      <c r="AB56" s="220"/>
      <c r="AC56" s="220"/>
      <c r="AD56" s="220"/>
      <c r="AE56" s="220"/>
      <c r="AF56" s="220"/>
      <c r="AG56" s="220"/>
      <c r="AH56" s="220"/>
      <c r="AI56" s="220"/>
      <c r="AJ56" s="220"/>
      <c r="AK56" s="220"/>
      <c r="AL56" s="220"/>
      <c r="AM56" s="220"/>
      <c r="AN56" s="220"/>
      <c r="AO56" s="220"/>
      <c r="AP56" s="220"/>
      <c r="AQ56" s="220"/>
      <c r="AR56" s="220"/>
      <c r="AS56" s="220"/>
      <c r="AT56" s="220"/>
      <c r="AU56" s="220"/>
      <c r="AV56" s="220"/>
      <c r="AW56" s="220"/>
      <c r="AX56" s="220"/>
      <c r="AY56" s="220"/>
      <c r="AZ56" s="220"/>
      <c r="BA56" s="220"/>
      <c r="BB56" s="220"/>
      <c r="BC56" s="220"/>
      <c r="BD56" s="220"/>
      <c r="BE56" s="220"/>
      <c r="BF56" s="220"/>
      <c r="BG56" s="220"/>
      <c r="BH56" s="220"/>
      <c r="BI56" s="220"/>
      <c r="BJ56" s="220"/>
      <c r="BK56" s="220"/>
      <c r="BL56" s="220"/>
      <c r="BM56" s="220"/>
      <c r="BN56" s="220"/>
      <c r="BO56" s="220"/>
      <c r="BP56" s="220"/>
      <c r="BQ56" s="220"/>
      <c r="BR56" s="220"/>
      <c r="BS56" s="220"/>
      <c r="BT56" s="220"/>
      <c r="BU56" s="220"/>
      <c r="BV56" s="220"/>
      <c r="BW56" s="220"/>
      <c r="BX56" s="220"/>
      <c r="BY56" s="220"/>
      <c r="BZ56" s="220"/>
      <c r="CA56" s="220"/>
      <c r="CB56" s="220"/>
      <c r="CC56" s="220"/>
      <c r="CD56" s="220"/>
      <c r="CE56" s="220"/>
      <c r="CF56" s="220"/>
      <c r="CG56" s="220"/>
      <c r="CH56" s="220"/>
      <c r="CI56" s="220"/>
      <c r="CJ56" s="220"/>
      <c r="CK56" s="220"/>
      <c r="CL56" s="220"/>
      <c r="CM56" s="220"/>
      <c r="CN56" s="220"/>
      <c r="CO56" s="220"/>
      <c r="CP56" s="220"/>
      <c r="CQ56" s="220"/>
      <c r="CR56" s="220"/>
      <c r="CS56" s="220"/>
      <c r="CT56" s="220"/>
      <c r="CU56" s="220"/>
      <c r="CV56" s="220"/>
      <c r="CW56" s="220"/>
      <c r="CX56" s="220"/>
      <c r="CY56" s="220"/>
      <c r="CZ56" s="220"/>
      <c r="DA56" s="220"/>
      <c r="DB56" s="220"/>
      <c r="DC56" s="220"/>
      <c r="DD56" s="220"/>
      <c r="DE56" s="220"/>
      <c r="DF56" s="220"/>
      <c r="DG56" s="220"/>
      <c r="DH56" s="220"/>
      <c r="DI56" s="220"/>
      <c r="DJ56" s="220"/>
      <c r="DK56" s="220"/>
      <c r="DL56" s="220"/>
      <c r="DM56" s="220"/>
      <c r="DN56" s="220"/>
      <c r="DO56" s="220"/>
      <c r="DP56" s="220"/>
      <c r="DQ56" s="220"/>
    </row>
    <row r="57" spans="2:121" x14ac:dyDescent="0.25">
      <c r="N57" s="220"/>
      <c r="O57" s="220"/>
      <c r="P57" s="220"/>
      <c r="Q57" s="220"/>
      <c r="R57" s="220"/>
      <c r="S57" s="220"/>
      <c r="T57" s="220"/>
      <c r="U57" s="220"/>
      <c r="V57" s="220"/>
      <c r="W57" s="220"/>
      <c r="X57" s="220"/>
      <c r="Y57" s="220"/>
      <c r="Z57" s="220"/>
      <c r="AA57" s="220"/>
      <c r="AB57" s="220"/>
      <c r="AC57" s="220"/>
      <c r="AD57" s="220"/>
      <c r="AE57" s="220"/>
      <c r="AF57" s="220"/>
      <c r="AG57" s="220"/>
      <c r="AH57" s="220"/>
      <c r="AI57" s="220"/>
      <c r="AJ57" s="220"/>
      <c r="AK57" s="220"/>
      <c r="AL57" s="220"/>
      <c r="AM57" s="220"/>
      <c r="AN57" s="220"/>
      <c r="AO57" s="220"/>
      <c r="AP57" s="220"/>
      <c r="AQ57" s="220"/>
      <c r="AR57" s="220"/>
      <c r="AS57" s="220"/>
      <c r="AT57" s="220"/>
      <c r="AU57" s="220"/>
      <c r="AV57" s="220"/>
      <c r="AW57" s="220"/>
      <c r="AX57" s="220"/>
      <c r="AY57" s="220"/>
      <c r="AZ57" s="220"/>
      <c r="BA57" s="220"/>
      <c r="BB57" s="220"/>
      <c r="BC57" s="220"/>
      <c r="BD57" s="220"/>
      <c r="BE57" s="220"/>
      <c r="BF57" s="220"/>
      <c r="BG57" s="220"/>
      <c r="BH57" s="220"/>
      <c r="BI57" s="220"/>
      <c r="BJ57" s="220"/>
      <c r="BK57" s="220"/>
      <c r="BL57" s="220"/>
      <c r="BM57" s="220"/>
      <c r="BN57" s="220"/>
      <c r="BO57" s="220"/>
      <c r="BP57" s="220"/>
      <c r="BQ57" s="220"/>
      <c r="BR57" s="220"/>
      <c r="BS57" s="220"/>
      <c r="BT57" s="220"/>
      <c r="BU57" s="220"/>
      <c r="BV57" s="220"/>
      <c r="BW57" s="220"/>
      <c r="BX57" s="220"/>
      <c r="BY57" s="220"/>
      <c r="BZ57" s="220"/>
      <c r="CA57" s="220"/>
      <c r="CB57" s="220"/>
      <c r="CC57" s="220"/>
      <c r="CD57" s="220"/>
      <c r="CE57" s="220"/>
      <c r="CF57" s="220"/>
      <c r="CG57" s="220"/>
      <c r="CH57" s="220"/>
      <c r="CI57" s="220"/>
      <c r="CJ57" s="220"/>
      <c r="CK57" s="220"/>
      <c r="CL57" s="220"/>
      <c r="CM57" s="220"/>
      <c r="CN57" s="220"/>
      <c r="CO57" s="220"/>
      <c r="CP57" s="220"/>
      <c r="CQ57" s="220"/>
      <c r="CR57" s="220"/>
      <c r="CS57" s="220"/>
      <c r="CT57" s="220"/>
      <c r="CU57" s="220"/>
      <c r="CV57" s="220"/>
      <c r="CW57" s="220"/>
      <c r="CX57" s="220"/>
      <c r="CY57" s="220"/>
      <c r="CZ57" s="220"/>
      <c r="DA57" s="220"/>
      <c r="DB57" s="220"/>
      <c r="DC57" s="220"/>
      <c r="DD57" s="220"/>
      <c r="DE57" s="220"/>
      <c r="DF57" s="220"/>
      <c r="DG57" s="220"/>
      <c r="DH57" s="220"/>
      <c r="DI57" s="220"/>
      <c r="DJ57" s="220"/>
      <c r="DK57" s="220"/>
      <c r="DL57" s="220"/>
      <c r="DM57" s="220"/>
      <c r="DN57" s="220"/>
      <c r="DO57" s="220"/>
      <c r="DP57" s="220"/>
      <c r="DQ57" s="220"/>
    </row>
    <row r="58" spans="2:121" x14ac:dyDescent="0.25">
      <c r="N58" s="220"/>
      <c r="O58" s="220"/>
      <c r="P58" s="220"/>
      <c r="Q58" s="220"/>
      <c r="R58" s="220"/>
      <c r="S58" s="220"/>
      <c r="T58" s="220"/>
      <c r="U58" s="220"/>
      <c r="V58" s="220"/>
      <c r="W58" s="220"/>
      <c r="X58" s="220"/>
      <c r="Y58" s="220"/>
      <c r="Z58" s="220"/>
      <c r="AA58" s="220"/>
      <c r="AB58" s="220"/>
      <c r="AC58" s="220"/>
      <c r="AD58" s="220"/>
      <c r="AE58" s="220"/>
      <c r="AF58" s="220"/>
      <c r="AG58" s="220"/>
      <c r="AH58" s="220"/>
      <c r="AI58" s="220"/>
      <c r="AJ58" s="220"/>
      <c r="AK58" s="220"/>
      <c r="AL58" s="220"/>
      <c r="AM58" s="220"/>
      <c r="AN58" s="220"/>
      <c r="AO58" s="220"/>
      <c r="AP58" s="220"/>
      <c r="AQ58" s="220"/>
      <c r="AR58" s="220"/>
      <c r="AS58" s="220"/>
      <c r="AT58" s="220"/>
      <c r="AU58" s="220"/>
      <c r="AV58" s="220"/>
      <c r="AW58" s="220"/>
      <c r="AX58" s="220"/>
      <c r="AY58" s="220"/>
      <c r="AZ58" s="220"/>
      <c r="BA58" s="220"/>
      <c r="BB58" s="220"/>
      <c r="BC58" s="220"/>
      <c r="BD58" s="220"/>
      <c r="BE58" s="220"/>
      <c r="BF58" s="220"/>
      <c r="BG58" s="220"/>
      <c r="BH58" s="220"/>
      <c r="BI58" s="220"/>
      <c r="BJ58" s="220"/>
      <c r="BK58" s="220"/>
      <c r="BL58" s="220"/>
      <c r="BM58" s="220"/>
      <c r="BN58" s="220"/>
      <c r="BO58" s="220"/>
      <c r="BP58" s="220"/>
      <c r="BQ58" s="220"/>
      <c r="BR58" s="220"/>
      <c r="BS58" s="220"/>
      <c r="BT58" s="220"/>
      <c r="BU58" s="220"/>
      <c r="BV58" s="220"/>
      <c r="BW58" s="220"/>
      <c r="BX58" s="220"/>
      <c r="BY58" s="220"/>
      <c r="BZ58" s="220"/>
      <c r="CA58" s="220"/>
      <c r="CB58" s="220"/>
      <c r="CC58" s="220"/>
      <c r="CD58" s="220"/>
      <c r="CE58" s="220"/>
      <c r="CF58" s="220"/>
      <c r="CG58" s="220"/>
      <c r="CH58" s="220"/>
      <c r="CI58" s="220"/>
      <c r="CJ58" s="220"/>
      <c r="CK58" s="220"/>
      <c r="CL58" s="220"/>
      <c r="CM58" s="220"/>
      <c r="CN58" s="220"/>
      <c r="CO58" s="220"/>
      <c r="CP58" s="220"/>
      <c r="CQ58" s="220"/>
      <c r="CR58" s="220"/>
      <c r="CS58" s="220"/>
      <c r="CT58" s="220"/>
      <c r="CU58" s="220"/>
      <c r="CV58" s="220"/>
      <c r="CW58" s="220"/>
      <c r="CX58" s="220"/>
      <c r="CY58" s="220"/>
      <c r="CZ58" s="220"/>
      <c r="DA58" s="220"/>
      <c r="DB58" s="220"/>
      <c r="DC58" s="220"/>
      <c r="DD58" s="220"/>
      <c r="DE58" s="220"/>
      <c r="DF58" s="220"/>
      <c r="DG58" s="220"/>
      <c r="DH58" s="220"/>
      <c r="DI58" s="220"/>
      <c r="DJ58" s="220"/>
      <c r="DK58" s="220"/>
      <c r="DL58" s="220"/>
      <c r="DM58" s="220"/>
      <c r="DN58" s="220"/>
      <c r="DO58" s="220"/>
      <c r="DP58" s="220"/>
      <c r="DQ58" s="220"/>
    </row>
    <row r="59" spans="2:121" x14ac:dyDescent="0.25">
      <c r="N59" s="220"/>
      <c r="O59" s="220"/>
      <c r="P59" s="220"/>
      <c r="Q59" s="220"/>
      <c r="R59" s="220"/>
      <c r="S59" s="220"/>
      <c r="T59" s="220"/>
      <c r="U59" s="220"/>
      <c r="V59" s="220"/>
      <c r="W59" s="220"/>
      <c r="X59" s="220"/>
      <c r="Y59" s="220"/>
      <c r="Z59" s="220"/>
      <c r="AA59" s="220"/>
      <c r="AB59" s="220"/>
      <c r="AC59" s="220"/>
      <c r="AD59" s="220"/>
      <c r="AE59" s="220"/>
      <c r="AF59" s="220"/>
      <c r="AG59" s="220"/>
      <c r="AH59" s="220"/>
      <c r="AI59" s="220"/>
      <c r="AJ59" s="220"/>
      <c r="AK59" s="220"/>
      <c r="AL59" s="220"/>
      <c r="AM59" s="220"/>
      <c r="AN59" s="220"/>
      <c r="AO59" s="220"/>
      <c r="AP59" s="220"/>
      <c r="AQ59" s="220"/>
      <c r="AR59" s="220"/>
      <c r="AS59" s="220"/>
      <c r="AT59" s="220"/>
      <c r="AU59" s="220"/>
      <c r="AV59" s="220"/>
      <c r="AW59" s="220"/>
      <c r="AX59" s="220"/>
      <c r="AY59" s="220"/>
      <c r="AZ59" s="220"/>
      <c r="BA59" s="220"/>
      <c r="BB59" s="220"/>
      <c r="BC59" s="220"/>
      <c r="BD59" s="220"/>
      <c r="BE59" s="220"/>
      <c r="BF59" s="220"/>
      <c r="BG59" s="220"/>
      <c r="BH59" s="220"/>
      <c r="BI59" s="220"/>
      <c r="BJ59" s="220"/>
      <c r="BK59" s="220"/>
      <c r="BL59" s="220"/>
      <c r="BM59" s="220"/>
      <c r="BN59" s="220"/>
      <c r="BO59" s="220"/>
      <c r="BP59" s="220"/>
      <c r="BQ59" s="220"/>
      <c r="BR59" s="220"/>
      <c r="BS59" s="220"/>
      <c r="BT59" s="220"/>
      <c r="BU59" s="220"/>
      <c r="BV59" s="220"/>
      <c r="BW59" s="220"/>
      <c r="BX59" s="220"/>
      <c r="BY59" s="220"/>
      <c r="BZ59" s="220"/>
      <c r="CA59" s="220"/>
      <c r="CB59" s="220"/>
      <c r="CC59" s="220"/>
      <c r="CD59" s="220"/>
      <c r="CE59" s="220"/>
      <c r="CF59" s="220"/>
      <c r="CG59" s="220"/>
      <c r="CH59" s="220"/>
      <c r="CI59" s="220"/>
      <c r="CJ59" s="220"/>
      <c r="CK59" s="220"/>
      <c r="CL59" s="220"/>
      <c r="CM59" s="220"/>
      <c r="CN59" s="220"/>
      <c r="CO59" s="220"/>
      <c r="CP59" s="220"/>
      <c r="CQ59" s="220"/>
      <c r="CR59" s="220"/>
      <c r="CS59" s="220"/>
      <c r="CT59" s="220"/>
      <c r="CU59" s="220"/>
      <c r="CV59" s="220"/>
      <c r="CW59" s="220"/>
      <c r="CX59" s="220"/>
      <c r="CY59" s="220"/>
      <c r="CZ59" s="220"/>
      <c r="DA59" s="220"/>
      <c r="DB59" s="220"/>
      <c r="DC59" s="220"/>
      <c r="DD59" s="220"/>
      <c r="DE59" s="220"/>
      <c r="DF59" s="220"/>
      <c r="DG59" s="220"/>
      <c r="DH59" s="220"/>
      <c r="DI59" s="220"/>
      <c r="DJ59" s="220"/>
      <c r="DK59" s="220"/>
      <c r="DL59" s="220"/>
      <c r="DM59" s="220"/>
      <c r="DN59" s="220"/>
      <c r="DO59" s="220"/>
      <c r="DP59" s="220"/>
      <c r="DQ59" s="220"/>
    </row>
    <row r="60" spans="2:121" x14ac:dyDescent="0.25">
      <c r="N60" s="220"/>
      <c r="O60" s="220"/>
      <c r="P60" s="220"/>
      <c r="Q60" s="220"/>
      <c r="R60" s="220"/>
      <c r="S60" s="220"/>
      <c r="T60" s="220"/>
      <c r="U60" s="220"/>
      <c r="V60" s="220"/>
      <c r="W60" s="220"/>
      <c r="X60" s="220"/>
      <c r="Y60" s="220"/>
      <c r="Z60" s="220"/>
      <c r="AA60" s="220"/>
      <c r="AB60" s="220"/>
      <c r="AC60" s="220"/>
      <c r="AD60" s="220"/>
      <c r="AE60" s="220"/>
      <c r="AF60" s="220"/>
      <c r="AG60" s="220"/>
      <c r="AH60" s="220"/>
      <c r="AI60" s="220"/>
      <c r="AJ60" s="220"/>
      <c r="AK60" s="220"/>
      <c r="AL60" s="220"/>
      <c r="AM60" s="220"/>
      <c r="AN60" s="220"/>
      <c r="AO60" s="220"/>
      <c r="AP60" s="220"/>
      <c r="AQ60" s="220"/>
      <c r="AR60" s="220"/>
      <c r="AS60" s="220"/>
      <c r="AT60" s="220"/>
      <c r="AU60" s="220"/>
      <c r="AV60" s="220"/>
      <c r="AW60" s="220"/>
      <c r="AX60" s="220"/>
      <c r="AY60" s="220"/>
      <c r="AZ60" s="220"/>
      <c r="BA60" s="220"/>
      <c r="BB60" s="220"/>
      <c r="BC60" s="220"/>
      <c r="BD60" s="220"/>
      <c r="BE60" s="220"/>
      <c r="BF60" s="220"/>
      <c r="BG60" s="220"/>
      <c r="BH60" s="220"/>
      <c r="BI60" s="220"/>
      <c r="BJ60" s="220"/>
      <c r="BK60" s="220"/>
      <c r="BL60" s="220"/>
      <c r="BM60" s="220"/>
      <c r="BN60" s="220"/>
      <c r="BO60" s="220"/>
      <c r="BP60" s="220"/>
      <c r="BQ60" s="220"/>
      <c r="BR60" s="220"/>
      <c r="BS60" s="220"/>
      <c r="BT60" s="220"/>
      <c r="BU60" s="220"/>
      <c r="BV60" s="220"/>
      <c r="BW60" s="220"/>
      <c r="BX60" s="220"/>
      <c r="BY60" s="220"/>
      <c r="BZ60" s="220"/>
      <c r="CA60" s="220"/>
      <c r="CB60" s="220"/>
      <c r="CC60" s="220"/>
      <c r="CD60" s="220"/>
      <c r="CE60" s="220"/>
      <c r="CF60" s="220"/>
      <c r="CG60" s="220"/>
      <c r="CH60" s="220"/>
      <c r="CI60" s="220"/>
      <c r="CJ60" s="220"/>
      <c r="CK60" s="220"/>
      <c r="CL60" s="220"/>
      <c r="CM60" s="220"/>
      <c r="CN60" s="220"/>
      <c r="CO60" s="220"/>
      <c r="CP60" s="220"/>
      <c r="CQ60" s="220"/>
      <c r="CR60" s="220"/>
      <c r="CS60" s="220"/>
      <c r="CT60" s="220"/>
      <c r="CU60" s="220"/>
      <c r="CV60" s="220"/>
      <c r="CW60" s="220"/>
      <c r="CX60" s="220"/>
      <c r="CY60" s="220"/>
      <c r="CZ60" s="220"/>
      <c r="DA60" s="220"/>
      <c r="DB60" s="220"/>
      <c r="DC60" s="220"/>
      <c r="DD60" s="220"/>
      <c r="DE60" s="220"/>
      <c r="DF60" s="220"/>
      <c r="DG60" s="220"/>
      <c r="DH60" s="220"/>
      <c r="DI60" s="220"/>
      <c r="DJ60" s="220"/>
      <c r="DK60" s="220"/>
      <c r="DL60" s="220"/>
      <c r="DM60" s="220"/>
      <c r="DN60" s="220"/>
      <c r="DO60" s="220"/>
      <c r="DP60" s="220"/>
      <c r="DQ60" s="220"/>
    </row>
    <row r="61" spans="2:121" x14ac:dyDescent="0.25">
      <c r="N61" s="220"/>
      <c r="O61" s="220"/>
      <c r="P61" s="220"/>
      <c r="Q61" s="220"/>
      <c r="R61" s="220"/>
      <c r="S61" s="220"/>
      <c r="T61" s="220"/>
      <c r="U61" s="220"/>
      <c r="V61" s="220"/>
      <c r="W61" s="220"/>
      <c r="X61" s="220"/>
      <c r="Y61" s="220"/>
      <c r="Z61" s="220"/>
      <c r="AA61" s="220"/>
      <c r="AB61" s="220"/>
      <c r="AC61" s="220"/>
      <c r="AD61" s="220"/>
      <c r="AE61" s="220"/>
      <c r="AF61" s="220"/>
      <c r="AG61" s="220"/>
      <c r="AH61" s="220"/>
      <c r="AI61" s="220"/>
      <c r="AJ61" s="220"/>
      <c r="AK61" s="220"/>
      <c r="AL61" s="220"/>
      <c r="AM61" s="220"/>
      <c r="AN61" s="220"/>
      <c r="AO61" s="220"/>
      <c r="AP61" s="220"/>
      <c r="AQ61" s="220"/>
      <c r="AR61" s="220"/>
      <c r="AS61" s="220"/>
      <c r="AT61" s="220"/>
      <c r="AU61" s="220"/>
      <c r="AV61" s="220"/>
      <c r="AW61" s="220"/>
      <c r="AX61" s="220"/>
      <c r="AY61" s="220"/>
      <c r="AZ61" s="220"/>
      <c r="BA61" s="220"/>
      <c r="BB61" s="220"/>
      <c r="BC61" s="220"/>
      <c r="BD61" s="220"/>
      <c r="BE61" s="220"/>
      <c r="BF61" s="220"/>
      <c r="BG61" s="220"/>
      <c r="BH61" s="220"/>
      <c r="BI61" s="220"/>
      <c r="BJ61" s="220"/>
      <c r="BK61" s="220"/>
      <c r="BL61" s="220"/>
      <c r="BM61" s="220"/>
      <c r="BN61" s="220"/>
      <c r="BO61" s="220"/>
      <c r="BP61" s="220"/>
      <c r="BQ61" s="220"/>
      <c r="BR61" s="220"/>
      <c r="BS61" s="220"/>
      <c r="BT61" s="220"/>
      <c r="BU61" s="220"/>
      <c r="BV61" s="220"/>
      <c r="BW61" s="220"/>
      <c r="BX61" s="220"/>
      <c r="BY61" s="220"/>
      <c r="BZ61" s="220"/>
      <c r="CA61" s="220"/>
      <c r="CB61" s="220"/>
      <c r="CC61" s="220"/>
      <c r="CD61" s="220"/>
      <c r="CE61" s="220"/>
      <c r="CF61" s="220"/>
      <c r="CG61" s="220"/>
      <c r="CH61" s="220"/>
      <c r="CI61" s="220"/>
      <c r="CJ61" s="220"/>
      <c r="CK61" s="220"/>
      <c r="CL61" s="220"/>
      <c r="CM61" s="220"/>
      <c r="CN61" s="220"/>
      <c r="CO61" s="220"/>
      <c r="CP61" s="220"/>
      <c r="CQ61" s="220"/>
      <c r="CR61" s="220"/>
      <c r="CS61" s="220"/>
      <c r="CT61" s="220"/>
      <c r="CU61" s="220"/>
      <c r="CV61" s="220"/>
      <c r="CW61" s="220"/>
      <c r="CX61" s="220"/>
      <c r="CY61" s="220"/>
      <c r="CZ61" s="220"/>
      <c r="DA61" s="220"/>
      <c r="DB61" s="220"/>
      <c r="DC61" s="220"/>
      <c r="DD61" s="220"/>
      <c r="DE61" s="220"/>
      <c r="DF61" s="220"/>
      <c r="DG61" s="220"/>
      <c r="DH61" s="220"/>
      <c r="DI61" s="220"/>
      <c r="DJ61" s="220"/>
      <c r="DK61" s="220"/>
      <c r="DL61" s="220"/>
      <c r="DM61" s="220"/>
      <c r="DN61" s="220"/>
      <c r="DO61" s="220"/>
      <c r="DP61" s="220"/>
      <c r="DQ61" s="220"/>
    </row>
    <row r="62" spans="2:121" x14ac:dyDescent="0.25">
      <c r="N62" s="220"/>
      <c r="O62" s="220"/>
      <c r="P62" s="220"/>
      <c r="Q62" s="220"/>
      <c r="R62" s="220"/>
      <c r="S62" s="220"/>
      <c r="T62" s="220"/>
      <c r="U62" s="220"/>
      <c r="V62" s="220"/>
      <c r="W62" s="220"/>
      <c r="X62" s="220"/>
      <c r="Y62" s="220"/>
      <c r="Z62" s="220"/>
      <c r="AA62" s="220"/>
      <c r="AB62" s="220"/>
      <c r="AC62" s="220"/>
      <c r="AD62" s="220"/>
      <c r="AE62" s="220"/>
      <c r="AF62" s="220"/>
      <c r="AG62" s="220"/>
      <c r="AH62" s="220"/>
      <c r="AI62" s="220"/>
      <c r="AJ62" s="220"/>
      <c r="AK62" s="220"/>
      <c r="AL62" s="220"/>
      <c r="AM62" s="220"/>
      <c r="AN62" s="220"/>
      <c r="AO62" s="220"/>
      <c r="AP62" s="220"/>
      <c r="AQ62" s="220"/>
      <c r="AR62" s="220"/>
      <c r="AS62" s="220"/>
      <c r="AT62" s="220"/>
      <c r="AU62" s="220"/>
      <c r="AV62" s="220"/>
      <c r="AW62" s="220"/>
      <c r="AX62" s="220"/>
      <c r="AY62" s="220"/>
      <c r="AZ62" s="220"/>
      <c r="BA62" s="220"/>
      <c r="BB62" s="220"/>
      <c r="BC62" s="220"/>
      <c r="BD62" s="220"/>
      <c r="BE62" s="220"/>
      <c r="BF62" s="220"/>
      <c r="BG62" s="220"/>
      <c r="BH62" s="220"/>
      <c r="BI62" s="220"/>
      <c r="BJ62" s="220"/>
      <c r="BK62" s="220"/>
      <c r="BL62" s="220"/>
      <c r="BM62" s="220"/>
      <c r="BN62" s="220"/>
      <c r="BO62" s="220"/>
      <c r="BP62" s="220"/>
      <c r="BQ62" s="220"/>
      <c r="BR62" s="220"/>
      <c r="BS62" s="220"/>
      <c r="BT62" s="220"/>
      <c r="BU62" s="220"/>
      <c r="BV62" s="220"/>
      <c r="BW62" s="220"/>
      <c r="BX62" s="220"/>
      <c r="BY62" s="220"/>
      <c r="BZ62" s="220"/>
      <c r="CA62" s="220"/>
      <c r="CB62" s="220"/>
      <c r="CC62" s="220"/>
      <c r="CD62" s="220"/>
      <c r="CE62" s="220"/>
      <c r="CF62" s="220"/>
      <c r="CG62" s="220"/>
      <c r="CH62" s="220"/>
      <c r="CI62" s="220"/>
      <c r="CJ62" s="220"/>
      <c r="CK62" s="220"/>
      <c r="CL62" s="220"/>
      <c r="CM62" s="220"/>
      <c r="CN62" s="220"/>
      <c r="CO62" s="220"/>
      <c r="CP62" s="220"/>
      <c r="CQ62" s="220"/>
      <c r="CR62" s="220"/>
      <c r="CS62" s="220"/>
      <c r="CT62" s="220"/>
      <c r="CU62" s="220"/>
      <c r="CV62" s="220"/>
      <c r="CW62" s="220"/>
      <c r="CX62" s="220"/>
      <c r="CY62" s="220"/>
      <c r="CZ62" s="220"/>
      <c r="DA62" s="220"/>
      <c r="DB62" s="220"/>
      <c r="DC62" s="220"/>
      <c r="DD62" s="220"/>
      <c r="DE62" s="220"/>
      <c r="DF62" s="220"/>
      <c r="DG62" s="220"/>
      <c r="DH62" s="220"/>
      <c r="DI62" s="220"/>
      <c r="DJ62" s="220"/>
      <c r="DK62" s="220"/>
      <c r="DL62" s="220"/>
      <c r="DM62" s="220"/>
      <c r="DN62" s="220"/>
      <c r="DO62" s="220"/>
      <c r="DP62" s="220"/>
      <c r="DQ62" s="220"/>
    </row>
    <row r="63" spans="2:121" x14ac:dyDescent="0.25">
      <c r="N63" s="220"/>
      <c r="O63" s="220"/>
      <c r="P63" s="220"/>
      <c r="Q63" s="220"/>
      <c r="R63" s="220"/>
      <c r="S63" s="220"/>
      <c r="T63" s="220"/>
      <c r="U63" s="220"/>
      <c r="V63" s="220"/>
      <c r="W63" s="220"/>
      <c r="X63" s="220"/>
      <c r="Y63" s="220"/>
      <c r="Z63" s="220"/>
      <c r="AA63" s="220"/>
      <c r="AB63" s="220"/>
      <c r="AC63" s="220"/>
      <c r="AD63" s="220"/>
      <c r="AE63" s="220"/>
      <c r="AF63" s="220"/>
      <c r="AG63" s="220"/>
      <c r="AH63" s="220"/>
      <c r="AI63" s="220"/>
      <c r="AJ63" s="220"/>
      <c r="AK63" s="220"/>
      <c r="AL63" s="220"/>
      <c r="AM63" s="220"/>
      <c r="AN63" s="220"/>
      <c r="AO63" s="220"/>
      <c r="AP63" s="220"/>
      <c r="AQ63" s="220"/>
      <c r="AR63" s="220"/>
      <c r="AS63" s="220"/>
      <c r="AT63" s="220"/>
      <c r="AU63" s="220"/>
      <c r="AV63" s="220"/>
      <c r="AW63" s="220"/>
      <c r="AX63" s="220"/>
      <c r="AY63" s="220"/>
      <c r="AZ63" s="220"/>
      <c r="BA63" s="220"/>
      <c r="BB63" s="220"/>
      <c r="BC63" s="220"/>
      <c r="BD63" s="220"/>
      <c r="BE63" s="220"/>
      <c r="BF63" s="220"/>
      <c r="BG63" s="220"/>
      <c r="BH63" s="220"/>
      <c r="BI63" s="220"/>
      <c r="BJ63" s="220"/>
      <c r="BK63" s="220"/>
      <c r="BL63" s="220"/>
      <c r="BM63" s="220"/>
      <c r="BN63" s="220"/>
      <c r="BO63" s="220"/>
      <c r="BP63" s="220"/>
      <c r="BQ63" s="220"/>
      <c r="BR63" s="220"/>
      <c r="BS63" s="220"/>
      <c r="BT63" s="220"/>
      <c r="BU63" s="220"/>
      <c r="BV63" s="220"/>
      <c r="BW63" s="220"/>
      <c r="BX63" s="220"/>
      <c r="BY63" s="220"/>
      <c r="BZ63" s="220"/>
      <c r="CA63" s="220"/>
      <c r="CB63" s="220"/>
      <c r="CC63" s="220"/>
      <c r="CD63" s="220"/>
      <c r="CE63" s="220"/>
      <c r="CF63" s="220"/>
      <c r="CG63" s="220"/>
      <c r="CH63" s="220"/>
      <c r="CI63" s="220"/>
      <c r="CJ63" s="220"/>
      <c r="CK63" s="220"/>
      <c r="CL63" s="220"/>
      <c r="CM63" s="220"/>
      <c r="CN63" s="220"/>
      <c r="CO63" s="220"/>
      <c r="CP63" s="220"/>
      <c r="CQ63" s="220"/>
      <c r="CR63" s="220"/>
      <c r="CS63" s="220"/>
      <c r="CT63" s="220"/>
      <c r="CU63" s="220"/>
      <c r="CV63" s="220"/>
      <c r="CW63" s="220"/>
      <c r="CX63" s="220"/>
      <c r="CY63" s="220"/>
      <c r="CZ63" s="220"/>
      <c r="DA63" s="220"/>
      <c r="DB63" s="220"/>
      <c r="DC63" s="220"/>
      <c r="DD63" s="220"/>
      <c r="DE63" s="220"/>
      <c r="DF63" s="220"/>
      <c r="DG63" s="220"/>
      <c r="DH63" s="220"/>
      <c r="DI63" s="220"/>
      <c r="DJ63" s="220"/>
      <c r="DK63" s="220"/>
      <c r="DL63" s="220"/>
      <c r="DM63" s="220"/>
      <c r="DN63" s="220"/>
      <c r="DO63" s="220"/>
      <c r="DP63" s="220"/>
      <c r="DQ63" s="220"/>
    </row>
    <row r="64" spans="2:121" x14ac:dyDescent="0.25">
      <c r="N64" s="220"/>
      <c r="O64" s="220"/>
      <c r="P64" s="220"/>
      <c r="Q64" s="220"/>
      <c r="R64" s="220"/>
      <c r="S64" s="220"/>
      <c r="T64" s="220"/>
      <c r="U64" s="220"/>
      <c r="V64" s="220"/>
      <c r="W64" s="220"/>
      <c r="X64" s="220"/>
      <c r="Y64" s="220"/>
      <c r="Z64" s="220"/>
      <c r="AA64" s="220"/>
      <c r="AB64" s="220"/>
      <c r="AC64" s="220"/>
      <c r="AD64" s="220"/>
      <c r="AE64" s="220"/>
      <c r="AF64" s="220"/>
      <c r="AG64" s="220"/>
      <c r="AH64" s="220"/>
      <c r="AI64" s="220"/>
      <c r="AJ64" s="220"/>
      <c r="AK64" s="220"/>
      <c r="AL64" s="220"/>
      <c r="AM64" s="220"/>
      <c r="AN64" s="220"/>
      <c r="AO64" s="220"/>
      <c r="AP64" s="220"/>
      <c r="AQ64" s="220"/>
      <c r="AR64" s="220"/>
      <c r="AS64" s="220"/>
      <c r="AT64" s="220"/>
      <c r="AU64" s="220"/>
      <c r="AV64" s="220"/>
      <c r="AW64" s="220"/>
      <c r="AX64" s="220"/>
      <c r="AY64" s="220"/>
      <c r="AZ64" s="220"/>
      <c r="BA64" s="220"/>
      <c r="BB64" s="220"/>
      <c r="BC64" s="220"/>
      <c r="BD64" s="220"/>
      <c r="BE64" s="220"/>
      <c r="BF64" s="220"/>
      <c r="BG64" s="220"/>
      <c r="BH64" s="220"/>
      <c r="BI64" s="220"/>
      <c r="BJ64" s="220"/>
      <c r="BK64" s="220"/>
      <c r="BL64" s="220"/>
      <c r="BM64" s="220"/>
      <c r="BN64" s="220"/>
      <c r="BO64" s="220"/>
      <c r="BP64" s="220"/>
      <c r="BQ64" s="220"/>
      <c r="BR64" s="220"/>
      <c r="BS64" s="220"/>
      <c r="BT64" s="220"/>
      <c r="BU64" s="220"/>
      <c r="BV64" s="220"/>
      <c r="BW64" s="220"/>
      <c r="BX64" s="220"/>
      <c r="BY64" s="220"/>
      <c r="BZ64" s="220"/>
      <c r="CA64" s="220"/>
      <c r="CB64" s="220"/>
      <c r="CC64" s="220"/>
      <c r="CD64" s="220"/>
      <c r="CE64" s="220"/>
      <c r="CF64" s="220"/>
      <c r="CG64" s="220"/>
      <c r="CH64" s="220"/>
      <c r="CI64" s="220"/>
      <c r="CJ64" s="220"/>
      <c r="CK64" s="220"/>
      <c r="CL64" s="220"/>
      <c r="CM64" s="220"/>
      <c r="CN64" s="220"/>
      <c r="CO64" s="220"/>
      <c r="CP64" s="220"/>
      <c r="CQ64" s="220"/>
      <c r="CR64" s="220"/>
      <c r="CS64" s="220"/>
      <c r="CT64" s="220"/>
      <c r="CU64" s="220"/>
      <c r="CV64" s="220"/>
      <c r="CW64" s="220"/>
      <c r="CX64" s="220"/>
      <c r="CY64" s="220"/>
      <c r="CZ64" s="220"/>
      <c r="DA64" s="220"/>
      <c r="DB64" s="220"/>
      <c r="DC64" s="220"/>
      <c r="DD64" s="220"/>
      <c r="DE64" s="220"/>
      <c r="DF64" s="220"/>
      <c r="DG64" s="220"/>
      <c r="DH64" s="220"/>
      <c r="DI64" s="220"/>
      <c r="DJ64" s="220"/>
      <c r="DK64" s="220"/>
      <c r="DL64" s="220"/>
      <c r="DM64" s="220"/>
      <c r="DN64" s="220"/>
      <c r="DO64" s="220"/>
      <c r="DP64" s="220"/>
      <c r="DQ64" s="220"/>
    </row>
    <row r="65" spans="14:121" x14ac:dyDescent="0.25">
      <c r="N65" s="220"/>
      <c r="O65" s="220"/>
      <c r="P65" s="220"/>
      <c r="Q65" s="220"/>
      <c r="R65" s="220"/>
      <c r="S65" s="220"/>
      <c r="T65" s="220"/>
      <c r="U65" s="220"/>
      <c r="V65" s="220"/>
      <c r="W65" s="220"/>
      <c r="X65" s="220"/>
      <c r="Y65" s="220"/>
      <c r="Z65" s="220"/>
      <c r="AA65" s="220"/>
      <c r="AB65" s="220"/>
      <c r="AC65" s="220"/>
      <c r="AD65" s="220"/>
      <c r="AE65" s="220"/>
      <c r="AF65" s="220"/>
      <c r="AG65" s="220"/>
      <c r="AH65" s="220"/>
      <c r="AI65" s="220"/>
      <c r="AJ65" s="220"/>
      <c r="AK65" s="220"/>
      <c r="AL65" s="220"/>
      <c r="AM65" s="220"/>
      <c r="AN65" s="220"/>
      <c r="AO65" s="220"/>
      <c r="AP65" s="220"/>
      <c r="AQ65" s="220"/>
      <c r="AR65" s="220"/>
      <c r="AS65" s="220"/>
      <c r="AT65" s="220"/>
      <c r="AU65" s="220"/>
      <c r="AV65" s="220"/>
      <c r="AW65" s="220"/>
      <c r="AX65" s="220"/>
      <c r="AY65" s="220"/>
      <c r="AZ65" s="220"/>
      <c r="BA65" s="220"/>
      <c r="BB65" s="220"/>
      <c r="BC65" s="220"/>
      <c r="BD65" s="220"/>
      <c r="BE65" s="220"/>
      <c r="BF65" s="220"/>
      <c r="BG65" s="220"/>
      <c r="BH65" s="220"/>
      <c r="BI65" s="220"/>
      <c r="BJ65" s="220"/>
      <c r="BK65" s="220"/>
      <c r="BL65" s="220"/>
      <c r="BM65" s="220"/>
      <c r="BN65" s="220"/>
      <c r="BO65" s="220"/>
      <c r="BP65" s="220"/>
      <c r="BQ65" s="220"/>
      <c r="BR65" s="220"/>
      <c r="BS65" s="220"/>
      <c r="BT65" s="220"/>
      <c r="BU65" s="220"/>
      <c r="BV65" s="220"/>
      <c r="BW65" s="220"/>
      <c r="BX65" s="220"/>
      <c r="BY65" s="220"/>
      <c r="BZ65" s="220"/>
      <c r="CA65" s="220"/>
      <c r="CB65" s="220"/>
      <c r="CC65" s="220"/>
      <c r="CD65" s="220"/>
      <c r="CE65" s="220"/>
      <c r="CF65" s="220"/>
      <c r="CG65" s="220"/>
      <c r="CH65" s="220"/>
      <c r="CI65" s="220"/>
      <c r="CJ65" s="220"/>
      <c r="CK65" s="220"/>
      <c r="CL65" s="220"/>
      <c r="CM65" s="220"/>
      <c r="CN65" s="220"/>
      <c r="CO65" s="220"/>
      <c r="CP65" s="220"/>
      <c r="CQ65" s="220"/>
      <c r="CR65" s="220"/>
      <c r="CS65" s="220"/>
      <c r="CT65" s="220"/>
      <c r="CU65" s="220"/>
      <c r="CV65" s="220"/>
      <c r="CW65" s="220"/>
      <c r="CX65" s="220"/>
      <c r="CY65" s="220"/>
      <c r="CZ65" s="220"/>
      <c r="DA65" s="220"/>
      <c r="DB65" s="220"/>
      <c r="DC65" s="220"/>
      <c r="DD65" s="220"/>
      <c r="DE65" s="220"/>
      <c r="DF65" s="220"/>
      <c r="DG65" s="220"/>
      <c r="DH65" s="220"/>
      <c r="DI65" s="220"/>
      <c r="DJ65" s="220"/>
      <c r="DK65" s="220"/>
      <c r="DL65" s="220"/>
      <c r="DM65" s="220"/>
      <c r="DN65" s="220"/>
      <c r="DO65" s="220"/>
      <c r="DP65" s="220"/>
      <c r="DQ65" s="220"/>
    </row>
    <row r="66" spans="14:121" x14ac:dyDescent="0.25">
      <c r="N66" s="220"/>
      <c r="O66" s="220"/>
      <c r="P66" s="220"/>
      <c r="Q66" s="220"/>
      <c r="R66" s="220"/>
      <c r="S66" s="220"/>
      <c r="T66" s="220"/>
      <c r="U66" s="220"/>
      <c r="V66" s="220"/>
      <c r="W66" s="220"/>
      <c r="X66" s="220"/>
      <c r="Y66" s="220"/>
      <c r="Z66" s="220"/>
      <c r="AA66" s="220"/>
      <c r="AB66" s="220"/>
      <c r="AC66" s="220"/>
      <c r="AD66" s="220"/>
      <c r="AE66" s="220"/>
      <c r="AF66" s="220"/>
      <c r="AG66" s="220"/>
      <c r="AH66" s="220"/>
      <c r="AI66" s="220"/>
      <c r="AJ66" s="220"/>
      <c r="AK66" s="220"/>
      <c r="AL66" s="220"/>
      <c r="AM66" s="220"/>
      <c r="AN66" s="220"/>
      <c r="AO66" s="220"/>
      <c r="AP66" s="220"/>
      <c r="AQ66" s="220"/>
      <c r="AR66" s="220"/>
      <c r="AS66" s="220"/>
      <c r="AT66" s="220"/>
      <c r="AU66" s="220"/>
      <c r="AV66" s="220"/>
      <c r="AW66" s="220"/>
      <c r="AX66" s="220"/>
      <c r="AY66" s="220"/>
      <c r="AZ66" s="220"/>
      <c r="BA66" s="220"/>
      <c r="BB66" s="220"/>
      <c r="BC66" s="220"/>
      <c r="BD66" s="220"/>
      <c r="BE66" s="220"/>
      <c r="BF66" s="220"/>
      <c r="BG66" s="220"/>
      <c r="BH66" s="220"/>
      <c r="BI66" s="220"/>
      <c r="BJ66" s="220"/>
      <c r="BK66" s="220"/>
      <c r="BL66" s="220"/>
      <c r="BM66" s="220"/>
      <c r="BN66" s="220"/>
      <c r="BO66" s="220"/>
      <c r="BP66" s="220"/>
      <c r="BQ66" s="220"/>
      <c r="BR66" s="220"/>
      <c r="BS66" s="220"/>
      <c r="BT66" s="220"/>
      <c r="BU66" s="220"/>
      <c r="BV66" s="220"/>
      <c r="BW66" s="220"/>
      <c r="BX66" s="220"/>
      <c r="BY66" s="220"/>
      <c r="BZ66" s="220"/>
      <c r="CA66" s="220"/>
      <c r="CB66" s="220"/>
      <c r="CC66" s="220"/>
      <c r="CD66" s="220"/>
      <c r="CE66" s="220"/>
      <c r="CF66" s="220"/>
      <c r="CG66" s="220"/>
      <c r="CH66" s="220"/>
      <c r="CI66" s="220"/>
      <c r="CJ66" s="220"/>
      <c r="CK66" s="220"/>
      <c r="CL66" s="220"/>
      <c r="CM66" s="220"/>
      <c r="CN66" s="220"/>
      <c r="CO66" s="220"/>
      <c r="CP66" s="220"/>
      <c r="CQ66" s="220"/>
      <c r="CR66" s="220"/>
      <c r="CS66" s="220"/>
      <c r="CT66" s="220"/>
      <c r="CU66" s="220"/>
      <c r="CV66" s="220"/>
      <c r="CW66" s="220"/>
      <c r="CX66" s="220"/>
      <c r="CY66" s="220"/>
      <c r="CZ66" s="220"/>
      <c r="DA66" s="220"/>
      <c r="DB66" s="220"/>
      <c r="DC66" s="220"/>
      <c r="DD66" s="220"/>
      <c r="DE66" s="220"/>
      <c r="DF66" s="220"/>
      <c r="DG66" s="220"/>
      <c r="DH66" s="220"/>
      <c r="DI66" s="220"/>
      <c r="DJ66" s="220"/>
      <c r="DK66" s="220"/>
      <c r="DL66" s="220"/>
      <c r="DM66" s="220"/>
      <c r="DN66" s="220"/>
      <c r="DO66" s="220"/>
      <c r="DP66" s="220"/>
      <c r="DQ66" s="220"/>
    </row>
    <row r="67" spans="14:121" x14ac:dyDescent="0.25">
      <c r="N67" s="220"/>
      <c r="O67" s="220"/>
      <c r="P67" s="220"/>
      <c r="Q67" s="220"/>
      <c r="R67" s="220"/>
      <c r="S67" s="220"/>
      <c r="T67" s="220"/>
      <c r="U67" s="220"/>
      <c r="V67" s="220"/>
      <c r="W67" s="220"/>
      <c r="X67" s="220"/>
      <c r="Y67" s="220"/>
      <c r="Z67" s="220"/>
      <c r="AA67" s="220"/>
      <c r="AB67" s="220"/>
      <c r="AC67" s="220"/>
      <c r="AD67" s="220"/>
      <c r="AE67" s="220"/>
      <c r="AF67" s="220"/>
      <c r="AG67" s="220"/>
      <c r="AH67" s="220"/>
      <c r="AI67" s="220"/>
      <c r="AJ67" s="220"/>
      <c r="AK67" s="220"/>
      <c r="AL67" s="220"/>
      <c r="AM67" s="220"/>
      <c r="AN67" s="220"/>
      <c r="AO67" s="220"/>
      <c r="AP67" s="220"/>
      <c r="AQ67" s="220"/>
      <c r="AR67" s="220"/>
      <c r="AS67" s="220"/>
      <c r="AT67" s="220"/>
      <c r="AU67" s="220"/>
      <c r="AV67" s="220"/>
      <c r="AW67" s="220"/>
      <c r="AX67" s="220"/>
      <c r="AY67" s="220"/>
      <c r="AZ67" s="220"/>
      <c r="BA67" s="220"/>
      <c r="BB67" s="220"/>
      <c r="BC67" s="220"/>
      <c r="BD67" s="220"/>
      <c r="BE67" s="220"/>
      <c r="BF67" s="220"/>
      <c r="BG67" s="220"/>
      <c r="BH67" s="220"/>
      <c r="BI67" s="220"/>
      <c r="BJ67" s="220"/>
      <c r="BK67" s="220"/>
      <c r="BL67" s="220"/>
      <c r="BM67" s="220"/>
      <c r="BN67" s="220"/>
      <c r="BO67" s="220"/>
      <c r="BP67" s="220"/>
      <c r="BQ67" s="220"/>
      <c r="BR67" s="220"/>
      <c r="BS67" s="220"/>
      <c r="BT67" s="220"/>
      <c r="BU67" s="220"/>
      <c r="BV67" s="220"/>
      <c r="BW67" s="220"/>
      <c r="BX67" s="220"/>
      <c r="BY67" s="220"/>
      <c r="BZ67" s="220"/>
      <c r="CA67" s="220"/>
      <c r="CB67" s="220"/>
      <c r="CC67" s="220"/>
      <c r="CD67" s="220"/>
      <c r="CE67" s="220"/>
      <c r="CF67" s="220"/>
      <c r="CG67" s="220"/>
      <c r="CH67" s="220"/>
      <c r="CI67" s="220"/>
      <c r="CJ67" s="220"/>
      <c r="CK67" s="220"/>
      <c r="CL67" s="220"/>
      <c r="CM67" s="220"/>
      <c r="CN67" s="220"/>
      <c r="CO67" s="220"/>
      <c r="CP67" s="220"/>
      <c r="CQ67" s="220"/>
      <c r="CR67" s="220"/>
      <c r="CS67" s="220"/>
      <c r="CT67" s="220"/>
      <c r="CU67" s="220"/>
      <c r="CV67" s="220"/>
      <c r="CW67" s="220"/>
      <c r="CX67" s="220"/>
      <c r="CY67" s="220"/>
      <c r="CZ67" s="220"/>
      <c r="DA67" s="220"/>
      <c r="DB67" s="220"/>
      <c r="DC67" s="220"/>
      <c r="DD67" s="220"/>
      <c r="DE67" s="220"/>
      <c r="DF67" s="220"/>
      <c r="DG67" s="220"/>
      <c r="DH67" s="220"/>
      <c r="DI67" s="220"/>
      <c r="DJ67" s="220"/>
      <c r="DK67" s="220"/>
      <c r="DL67" s="220"/>
      <c r="DM67" s="220"/>
      <c r="DN67" s="220"/>
      <c r="DO67" s="220"/>
      <c r="DP67" s="220"/>
      <c r="DQ67" s="220"/>
    </row>
    <row r="68" spans="14:121" x14ac:dyDescent="0.25">
      <c r="N68" s="220"/>
      <c r="O68" s="220"/>
      <c r="P68" s="220"/>
      <c r="Q68" s="220"/>
      <c r="R68" s="220"/>
      <c r="S68" s="220"/>
      <c r="T68" s="220"/>
      <c r="U68" s="220"/>
      <c r="V68" s="220"/>
      <c r="W68" s="220"/>
      <c r="X68" s="220"/>
      <c r="Y68" s="220"/>
      <c r="Z68" s="220"/>
      <c r="AA68" s="220"/>
      <c r="AB68" s="220"/>
      <c r="AC68" s="220"/>
      <c r="AD68" s="220"/>
      <c r="AE68" s="220"/>
      <c r="AF68" s="220"/>
      <c r="AG68" s="220"/>
      <c r="AH68" s="220"/>
      <c r="AI68" s="220"/>
      <c r="AJ68" s="220"/>
      <c r="AK68" s="220"/>
      <c r="AL68" s="220"/>
      <c r="AM68" s="220"/>
      <c r="AN68" s="220"/>
      <c r="AO68" s="220"/>
      <c r="AP68" s="220"/>
      <c r="AQ68" s="220"/>
      <c r="AR68" s="220"/>
      <c r="AS68" s="220"/>
      <c r="AT68" s="220"/>
      <c r="AU68" s="220"/>
      <c r="AV68" s="220"/>
      <c r="AW68" s="220"/>
      <c r="AX68" s="220"/>
      <c r="AY68" s="220"/>
      <c r="AZ68" s="220"/>
      <c r="BA68" s="220"/>
      <c r="BB68" s="220"/>
      <c r="BC68" s="220"/>
      <c r="BD68" s="220"/>
      <c r="BE68" s="220"/>
      <c r="BF68" s="220"/>
      <c r="BG68" s="220"/>
      <c r="BH68" s="220"/>
      <c r="BI68" s="220"/>
      <c r="BJ68" s="220"/>
      <c r="BK68" s="220"/>
      <c r="BL68" s="220"/>
      <c r="BM68" s="220"/>
      <c r="BN68" s="220"/>
      <c r="BO68" s="220"/>
      <c r="BP68" s="220"/>
      <c r="BQ68" s="220"/>
      <c r="BR68" s="220"/>
      <c r="BS68" s="220"/>
      <c r="BT68" s="220"/>
      <c r="BU68" s="220"/>
      <c r="BV68" s="220"/>
      <c r="BW68" s="220"/>
      <c r="BX68" s="220"/>
      <c r="BY68" s="220"/>
      <c r="BZ68" s="220"/>
      <c r="CA68" s="220"/>
      <c r="CB68" s="220"/>
      <c r="CC68" s="220"/>
      <c r="CD68" s="220"/>
      <c r="CE68" s="220"/>
      <c r="CF68" s="220"/>
      <c r="CG68" s="220"/>
      <c r="CH68" s="220"/>
      <c r="CI68" s="220"/>
      <c r="CJ68" s="220"/>
      <c r="CK68" s="220"/>
      <c r="CL68" s="220"/>
      <c r="CM68" s="220"/>
      <c r="CN68" s="220"/>
      <c r="CO68" s="220"/>
      <c r="CP68" s="220"/>
      <c r="CQ68" s="220"/>
      <c r="CR68" s="220"/>
      <c r="CS68" s="220"/>
      <c r="CT68" s="220"/>
      <c r="CU68" s="220"/>
      <c r="CV68" s="220"/>
      <c r="CW68" s="220"/>
      <c r="CX68" s="220"/>
      <c r="CY68" s="220"/>
      <c r="CZ68" s="220"/>
      <c r="DA68" s="220"/>
      <c r="DB68" s="220"/>
      <c r="DC68" s="220"/>
      <c r="DD68" s="220"/>
      <c r="DE68" s="220"/>
      <c r="DF68" s="220"/>
      <c r="DG68" s="220"/>
      <c r="DH68" s="220"/>
      <c r="DI68" s="220"/>
      <c r="DJ68" s="220"/>
      <c r="DK68" s="220"/>
      <c r="DL68" s="220"/>
      <c r="DM68" s="220"/>
      <c r="DN68" s="220"/>
      <c r="DO68" s="220"/>
      <c r="DP68" s="220"/>
      <c r="DQ68" s="220"/>
    </row>
    <row r="69" spans="14:121" x14ac:dyDescent="0.25">
      <c r="N69" s="220"/>
      <c r="O69" s="220"/>
      <c r="P69" s="220"/>
      <c r="Q69" s="220"/>
      <c r="R69" s="220"/>
      <c r="S69" s="220"/>
      <c r="T69" s="220"/>
      <c r="U69" s="220"/>
      <c r="V69" s="220"/>
      <c r="W69" s="220"/>
      <c r="X69" s="220"/>
      <c r="Y69" s="220"/>
      <c r="Z69" s="220"/>
      <c r="AA69" s="220"/>
      <c r="AB69" s="220"/>
      <c r="AC69" s="220"/>
      <c r="AD69" s="220"/>
      <c r="AE69" s="220"/>
      <c r="AF69" s="220"/>
      <c r="AG69" s="220"/>
      <c r="AH69" s="220"/>
      <c r="AI69" s="220"/>
      <c r="AJ69" s="220"/>
      <c r="AK69" s="220"/>
      <c r="AL69" s="220"/>
      <c r="AM69" s="220"/>
      <c r="AN69" s="220"/>
      <c r="AO69" s="220"/>
      <c r="AP69" s="220"/>
      <c r="AQ69" s="220"/>
      <c r="AR69" s="220"/>
      <c r="AS69" s="220"/>
      <c r="AT69" s="220"/>
      <c r="AU69" s="220"/>
      <c r="AV69" s="220"/>
      <c r="AW69" s="220"/>
      <c r="AX69" s="220"/>
      <c r="AY69" s="220"/>
      <c r="AZ69" s="220"/>
      <c r="BA69" s="220"/>
      <c r="BB69" s="220"/>
      <c r="BC69" s="220"/>
      <c r="BD69" s="220"/>
      <c r="BE69" s="220"/>
      <c r="BF69" s="220"/>
      <c r="BG69" s="220"/>
      <c r="BH69" s="220"/>
      <c r="BI69" s="220"/>
      <c r="BJ69" s="220"/>
      <c r="BK69" s="220"/>
      <c r="BL69" s="220"/>
      <c r="BM69" s="220"/>
      <c r="BN69" s="220"/>
      <c r="BO69" s="220"/>
      <c r="BP69" s="220"/>
      <c r="BQ69" s="220"/>
      <c r="BR69" s="220"/>
      <c r="BS69" s="220"/>
      <c r="BT69" s="220"/>
      <c r="BU69" s="220"/>
      <c r="BV69" s="220"/>
      <c r="BW69" s="220"/>
      <c r="BX69" s="220"/>
      <c r="BY69" s="220"/>
      <c r="BZ69" s="220"/>
      <c r="CA69" s="220"/>
      <c r="CB69" s="220"/>
      <c r="CC69" s="220"/>
      <c r="CD69" s="220"/>
      <c r="CE69" s="220"/>
      <c r="CF69" s="220"/>
      <c r="CG69" s="220"/>
      <c r="CH69" s="220"/>
      <c r="CI69" s="220"/>
      <c r="CJ69" s="220"/>
      <c r="CK69" s="220"/>
      <c r="CL69" s="220"/>
      <c r="CM69" s="220"/>
      <c r="CN69" s="220"/>
      <c r="CO69" s="220"/>
      <c r="CP69" s="220"/>
      <c r="CQ69" s="220"/>
      <c r="CR69" s="220"/>
      <c r="CS69" s="220"/>
      <c r="CT69" s="220"/>
      <c r="CU69" s="220"/>
      <c r="CV69" s="220"/>
      <c r="CW69" s="220"/>
      <c r="CX69" s="220"/>
      <c r="CY69" s="220"/>
      <c r="CZ69" s="220"/>
      <c r="DA69" s="220"/>
      <c r="DB69" s="220"/>
      <c r="DC69" s="220"/>
      <c r="DD69" s="220"/>
      <c r="DE69" s="220"/>
      <c r="DF69" s="220"/>
      <c r="DG69" s="220"/>
      <c r="DH69" s="220"/>
      <c r="DI69" s="220"/>
      <c r="DJ69" s="220"/>
      <c r="DK69" s="220"/>
      <c r="DL69" s="220"/>
      <c r="DM69" s="220"/>
      <c r="DN69" s="220"/>
      <c r="DO69" s="220"/>
      <c r="DP69" s="220"/>
      <c r="DQ69" s="220"/>
    </row>
    <row r="70" spans="14:121" x14ac:dyDescent="0.25">
      <c r="N70" s="220"/>
      <c r="O70" s="220"/>
      <c r="P70" s="220"/>
      <c r="Q70" s="220"/>
      <c r="R70" s="220"/>
      <c r="S70" s="220"/>
      <c r="T70" s="220"/>
      <c r="U70" s="220"/>
      <c r="V70" s="220"/>
      <c r="W70" s="220"/>
      <c r="X70" s="220"/>
      <c r="Y70" s="220"/>
      <c r="Z70" s="220"/>
      <c r="AA70" s="220"/>
      <c r="AB70" s="220"/>
      <c r="AC70" s="220"/>
      <c r="AD70" s="220"/>
      <c r="AE70" s="220"/>
      <c r="AF70" s="220"/>
      <c r="AG70" s="220"/>
      <c r="AH70" s="220"/>
      <c r="AI70" s="220"/>
      <c r="AJ70" s="220"/>
      <c r="AK70" s="220"/>
      <c r="AL70" s="220"/>
      <c r="AM70" s="220"/>
      <c r="AN70" s="220"/>
      <c r="AO70" s="220"/>
      <c r="AP70" s="220"/>
      <c r="AQ70" s="220"/>
      <c r="AR70" s="220"/>
      <c r="AS70" s="220"/>
      <c r="AT70" s="220"/>
      <c r="AU70" s="220"/>
      <c r="AV70" s="220"/>
      <c r="AW70" s="220"/>
      <c r="AX70" s="220"/>
      <c r="AY70" s="220"/>
      <c r="AZ70" s="220"/>
      <c r="BA70" s="220"/>
      <c r="BB70" s="220"/>
      <c r="BC70" s="220"/>
      <c r="BD70" s="220"/>
      <c r="BE70" s="220"/>
      <c r="BF70" s="220"/>
      <c r="BG70" s="220"/>
      <c r="BH70" s="220"/>
      <c r="BI70" s="220"/>
      <c r="BJ70" s="220"/>
      <c r="BK70" s="220"/>
      <c r="BL70" s="220"/>
      <c r="BM70" s="220"/>
      <c r="BN70" s="220"/>
      <c r="BO70" s="220"/>
      <c r="BP70" s="220"/>
      <c r="BQ70" s="220"/>
      <c r="BR70" s="220"/>
      <c r="BS70" s="220"/>
      <c r="BT70" s="220"/>
      <c r="BU70" s="220"/>
      <c r="BV70" s="220"/>
      <c r="BW70" s="220"/>
      <c r="BX70" s="220"/>
      <c r="BY70" s="220"/>
      <c r="BZ70" s="220"/>
      <c r="CA70" s="220"/>
      <c r="CB70" s="220"/>
      <c r="CC70" s="220"/>
      <c r="CD70" s="220"/>
      <c r="CE70" s="220"/>
      <c r="CF70" s="220"/>
      <c r="CG70" s="220"/>
      <c r="CH70" s="220"/>
      <c r="CI70" s="220"/>
      <c r="CJ70" s="220"/>
      <c r="CK70" s="220"/>
      <c r="CL70" s="220"/>
      <c r="CM70" s="220"/>
      <c r="CN70" s="220"/>
      <c r="CO70" s="220"/>
      <c r="CP70" s="220"/>
      <c r="CQ70" s="220"/>
      <c r="CR70" s="220"/>
      <c r="CS70" s="220"/>
      <c r="CT70" s="220"/>
      <c r="CU70" s="220"/>
      <c r="CV70" s="220"/>
      <c r="CW70" s="220"/>
      <c r="CX70" s="220"/>
      <c r="CY70" s="220"/>
      <c r="CZ70" s="220"/>
      <c r="DA70" s="220"/>
      <c r="DB70" s="220"/>
      <c r="DC70" s="220"/>
      <c r="DD70" s="220"/>
      <c r="DE70" s="220"/>
      <c r="DF70" s="220"/>
      <c r="DG70" s="220"/>
      <c r="DH70" s="220"/>
      <c r="DI70" s="220"/>
      <c r="DJ70" s="220"/>
      <c r="DK70" s="220"/>
      <c r="DL70" s="220"/>
      <c r="DM70" s="220"/>
      <c r="DN70" s="220"/>
      <c r="DO70" s="220"/>
      <c r="DP70" s="220"/>
      <c r="DQ70" s="220"/>
    </row>
    <row r="71" spans="14:121" x14ac:dyDescent="0.25">
      <c r="N71" s="220"/>
      <c r="O71" s="220"/>
      <c r="P71" s="220"/>
      <c r="Q71" s="220"/>
      <c r="R71" s="220"/>
      <c r="S71" s="220"/>
      <c r="T71" s="220"/>
      <c r="U71" s="220"/>
      <c r="V71" s="220"/>
      <c r="W71" s="220"/>
      <c r="X71" s="220"/>
      <c r="Y71" s="220"/>
      <c r="Z71" s="220"/>
      <c r="AA71" s="220"/>
      <c r="AB71" s="220"/>
      <c r="AC71" s="220"/>
      <c r="AD71" s="220"/>
      <c r="AE71" s="220"/>
      <c r="AF71" s="220"/>
      <c r="AG71" s="220"/>
      <c r="AH71" s="220"/>
      <c r="AI71" s="220"/>
      <c r="AJ71" s="220"/>
      <c r="AK71" s="220"/>
      <c r="AL71" s="220"/>
      <c r="AM71" s="220"/>
      <c r="AN71" s="220"/>
      <c r="AO71" s="220"/>
      <c r="AP71" s="220"/>
      <c r="AQ71" s="220"/>
      <c r="AR71" s="220"/>
      <c r="AS71" s="220"/>
      <c r="AT71" s="220"/>
      <c r="AU71" s="220"/>
      <c r="AV71" s="220"/>
      <c r="AW71" s="220"/>
      <c r="AX71" s="220"/>
      <c r="AY71" s="220"/>
      <c r="AZ71" s="220"/>
      <c r="BA71" s="220"/>
      <c r="BB71" s="220"/>
      <c r="BC71" s="220"/>
      <c r="BD71" s="220"/>
      <c r="BE71" s="220"/>
      <c r="BF71" s="220"/>
      <c r="BG71" s="220"/>
      <c r="BH71" s="220"/>
      <c r="BI71" s="220"/>
      <c r="BJ71" s="220"/>
      <c r="BK71" s="220"/>
      <c r="BL71" s="220"/>
      <c r="BM71" s="220"/>
      <c r="BN71" s="220"/>
      <c r="BO71" s="220"/>
      <c r="BP71" s="220"/>
      <c r="BQ71" s="220"/>
      <c r="BR71" s="220"/>
      <c r="BS71" s="220"/>
      <c r="BT71" s="220"/>
      <c r="BU71" s="220"/>
      <c r="BV71" s="220"/>
      <c r="BW71" s="220"/>
      <c r="BX71" s="220"/>
      <c r="BY71" s="220"/>
      <c r="BZ71" s="220"/>
      <c r="CA71" s="220"/>
      <c r="CB71" s="220"/>
      <c r="CC71" s="220"/>
      <c r="CD71" s="220"/>
      <c r="CE71" s="220"/>
      <c r="CF71" s="220"/>
      <c r="CG71" s="220"/>
      <c r="CH71" s="220"/>
      <c r="CI71" s="220"/>
      <c r="CJ71" s="220"/>
      <c r="CK71" s="220"/>
      <c r="CL71" s="220"/>
      <c r="CM71" s="220"/>
      <c r="CN71" s="220"/>
      <c r="CO71" s="220"/>
      <c r="CP71" s="220"/>
      <c r="CQ71" s="220"/>
      <c r="CR71" s="220"/>
      <c r="CS71" s="220"/>
      <c r="CT71" s="220"/>
      <c r="CU71" s="220"/>
      <c r="CV71" s="220"/>
      <c r="CW71" s="220"/>
      <c r="CX71" s="220"/>
      <c r="CY71" s="220"/>
      <c r="CZ71" s="220"/>
      <c r="DA71" s="220"/>
      <c r="DB71" s="220"/>
      <c r="DC71" s="220"/>
      <c r="DD71" s="220"/>
      <c r="DE71" s="220"/>
      <c r="DF71" s="220"/>
      <c r="DG71" s="220"/>
      <c r="DH71" s="220"/>
      <c r="DI71" s="220"/>
      <c r="DJ71" s="220"/>
      <c r="DK71" s="220"/>
      <c r="DL71" s="220"/>
      <c r="DM71" s="220"/>
      <c r="DN71" s="220"/>
      <c r="DO71" s="220"/>
      <c r="DP71" s="220"/>
      <c r="DQ71" s="220"/>
    </row>
    <row r="72" spans="14:121" x14ac:dyDescent="0.25">
      <c r="N72" s="220"/>
      <c r="O72" s="220"/>
      <c r="P72" s="220"/>
      <c r="Q72" s="220"/>
      <c r="R72" s="220"/>
      <c r="S72" s="220"/>
      <c r="T72" s="220"/>
      <c r="U72" s="220"/>
      <c r="V72" s="220"/>
      <c r="W72" s="220"/>
      <c r="X72" s="220"/>
      <c r="Y72" s="220"/>
      <c r="Z72" s="220"/>
      <c r="AA72" s="220"/>
      <c r="AB72" s="220"/>
      <c r="AC72" s="220"/>
      <c r="AD72" s="220"/>
      <c r="AE72" s="220"/>
      <c r="AF72" s="220"/>
      <c r="AG72" s="220"/>
      <c r="AH72" s="220"/>
      <c r="AI72" s="220"/>
      <c r="AJ72" s="220"/>
      <c r="AK72" s="220"/>
      <c r="AL72" s="220"/>
      <c r="AM72" s="220"/>
      <c r="AN72" s="220"/>
      <c r="AO72" s="220"/>
      <c r="AP72" s="220"/>
      <c r="AQ72" s="220"/>
      <c r="AR72" s="220"/>
      <c r="AS72" s="220"/>
      <c r="AT72" s="220"/>
      <c r="AU72" s="220"/>
      <c r="AV72" s="220"/>
      <c r="AW72" s="220"/>
      <c r="AX72" s="220"/>
      <c r="AY72" s="220"/>
      <c r="AZ72" s="220"/>
      <c r="BA72" s="220"/>
      <c r="BB72" s="220"/>
      <c r="BC72" s="220"/>
      <c r="BD72" s="220"/>
      <c r="BE72" s="220"/>
      <c r="BF72" s="220"/>
      <c r="BG72" s="220"/>
      <c r="BH72" s="220"/>
      <c r="BI72" s="220"/>
      <c r="BJ72" s="220"/>
      <c r="BK72" s="220"/>
      <c r="BL72" s="220"/>
      <c r="BM72" s="220"/>
      <c r="BN72" s="220"/>
      <c r="BO72" s="220"/>
      <c r="BP72" s="220"/>
      <c r="BQ72" s="220"/>
      <c r="BR72" s="220"/>
      <c r="BS72" s="220"/>
      <c r="BT72" s="220"/>
      <c r="BU72" s="220"/>
      <c r="BV72" s="220"/>
      <c r="BW72" s="220"/>
      <c r="BX72" s="220"/>
      <c r="BY72" s="220"/>
      <c r="BZ72" s="220"/>
      <c r="CA72" s="220"/>
      <c r="CB72" s="220"/>
      <c r="CC72" s="220"/>
      <c r="CD72" s="220"/>
      <c r="CE72" s="220"/>
      <c r="CF72" s="220"/>
      <c r="CG72" s="220"/>
      <c r="CH72" s="220"/>
      <c r="CI72" s="220"/>
      <c r="CJ72" s="220"/>
      <c r="CK72" s="220"/>
      <c r="CL72" s="220"/>
      <c r="CM72" s="220"/>
      <c r="CN72" s="220"/>
      <c r="CO72" s="220"/>
      <c r="CP72" s="220"/>
      <c r="CQ72" s="220"/>
      <c r="CR72" s="220"/>
      <c r="CS72" s="220"/>
      <c r="CT72" s="220"/>
      <c r="CU72" s="220"/>
      <c r="CV72" s="220"/>
      <c r="CW72" s="220"/>
      <c r="CX72" s="220"/>
      <c r="CY72" s="220"/>
      <c r="CZ72" s="220"/>
      <c r="DA72" s="220"/>
      <c r="DB72" s="220"/>
      <c r="DC72" s="220"/>
      <c r="DD72" s="220"/>
      <c r="DE72" s="220"/>
      <c r="DF72" s="220"/>
      <c r="DG72" s="220"/>
      <c r="DH72" s="220"/>
      <c r="DI72" s="220"/>
      <c r="DJ72" s="220"/>
      <c r="DK72" s="220"/>
      <c r="DL72" s="220"/>
      <c r="DM72" s="220"/>
      <c r="DN72" s="220"/>
      <c r="DO72" s="220"/>
      <c r="DP72" s="220"/>
      <c r="DQ72" s="220"/>
    </row>
    <row r="73" spans="14:121" x14ac:dyDescent="0.25">
      <c r="N73" s="220"/>
      <c r="O73" s="220"/>
      <c r="P73" s="220"/>
      <c r="Q73" s="220"/>
      <c r="R73" s="220"/>
      <c r="S73" s="220"/>
      <c r="T73" s="220"/>
      <c r="U73" s="220"/>
      <c r="V73" s="220"/>
      <c r="W73" s="220"/>
      <c r="X73" s="220"/>
      <c r="Y73" s="220"/>
      <c r="Z73" s="220"/>
      <c r="AA73" s="220"/>
      <c r="AB73" s="220"/>
      <c r="AC73" s="220"/>
      <c r="AD73" s="220"/>
      <c r="AE73" s="220"/>
      <c r="AF73" s="220"/>
      <c r="AG73" s="220"/>
      <c r="AH73" s="220"/>
      <c r="AI73" s="220"/>
      <c r="AJ73" s="220"/>
      <c r="AK73" s="220"/>
      <c r="AL73" s="220"/>
      <c r="AM73" s="220"/>
      <c r="AN73" s="220"/>
      <c r="AO73" s="220"/>
      <c r="AP73" s="220"/>
      <c r="AQ73" s="220"/>
      <c r="AR73" s="220"/>
      <c r="AS73" s="220"/>
      <c r="AT73" s="220"/>
      <c r="AU73" s="220"/>
      <c r="AV73" s="220"/>
      <c r="AW73" s="220"/>
      <c r="AX73" s="220"/>
      <c r="AY73" s="220"/>
      <c r="AZ73" s="220"/>
      <c r="BA73" s="220"/>
      <c r="BB73" s="220"/>
      <c r="BC73" s="220"/>
      <c r="BD73" s="220"/>
      <c r="BE73" s="220"/>
      <c r="BF73" s="220"/>
      <c r="BG73" s="220"/>
      <c r="BH73" s="220"/>
      <c r="BI73" s="220"/>
      <c r="BJ73" s="220"/>
      <c r="BK73" s="220"/>
      <c r="BL73" s="220"/>
      <c r="BM73" s="220"/>
      <c r="BN73" s="220"/>
      <c r="BO73" s="220"/>
      <c r="BP73" s="220"/>
      <c r="BQ73" s="220"/>
      <c r="BR73" s="220"/>
      <c r="BS73" s="220"/>
      <c r="BT73" s="220"/>
      <c r="BU73" s="220"/>
      <c r="BV73" s="220"/>
      <c r="BW73" s="220"/>
      <c r="BX73" s="220"/>
      <c r="BY73" s="220"/>
      <c r="BZ73" s="220"/>
      <c r="CA73" s="220"/>
      <c r="CB73" s="220"/>
      <c r="CC73" s="220"/>
      <c r="CD73" s="220"/>
      <c r="CE73" s="220"/>
      <c r="CF73" s="220"/>
      <c r="CG73" s="220"/>
      <c r="CH73" s="220"/>
      <c r="CI73" s="220"/>
      <c r="CJ73" s="220"/>
      <c r="CK73" s="220"/>
      <c r="CL73" s="220"/>
      <c r="CM73" s="220"/>
      <c r="CN73" s="220"/>
      <c r="CO73" s="220"/>
      <c r="CP73" s="220"/>
      <c r="CQ73" s="220"/>
      <c r="CR73" s="220"/>
      <c r="CS73" s="220"/>
      <c r="CT73" s="220"/>
      <c r="CU73" s="220"/>
      <c r="CV73" s="220"/>
      <c r="CW73" s="220"/>
      <c r="CX73" s="220"/>
      <c r="CY73" s="220"/>
      <c r="CZ73" s="220"/>
      <c r="DA73" s="220"/>
      <c r="DB73" s="220"/>
      <c r="DC73" s="220"/>
      <c r="DD73" s="220"/>
      <c r="DE73" s="220"/>
      <c r="DF73" s="220"/>
      <c r="DG73" s="220"/>
      <c r="DH73" s="220"/>
      <c r="DI73" s="220"/>
      <c r="DJ73" s="220"/>
      <c r="DK73" s="220"/>
      <c r="DL73" s="220"/>
      <c r="DM73" s="220"/>
      <c r="DN73" s="220"/>
      <c r="DO73" s="220"/>
      <c r="DP73" s="220"/>
      <c r="DQ73" s="220"/>
    </row>
    <row r="74" spans="14:121" x14ac:dyDescent="0.25">
      <c r="N74" s="220"/>
      <c r="O74" s="220"/>
      <c r="P74" s="220"/>
      <c r="Q74" s="220"/>
      <c r="R74" s="220"/>
      <c r="S74" s="220"/>
      <c r="T74" s="220"/>
      <c r="U74" s="220"/>
      <c r="V74" s="220"/>
      <c r="W74" s="220"/>
      <c r="X74" s="220"/>
      <c r="Y74" s="220"/>
      <c r="Z74" s="220"/>
      <c r="AA74" s="220"/>
      <c r="AB74" s="220"/>
      <c r="AC74" s="220"/>
      <c r="AD74" s="220"/>
      <c r="AE74" s="220"/>
      <c r="AF74" s="220"/>
      <c r="AG74" s="220"/>
      <c r="AH74" s="220"/>
      <c r="AI74" s="220"/>
      <c r="AJ74" s="220"/>
      <c r="AK74" s="220"/>
      <c r="AL74" s="220"/>
      <c r="AM74" s="220"/>
      <c r="AN74" s="220"/>
      <c r="AO74" s="220"/>
      <c r="AP74" s="220"/>
      <c r="AQ74" s="220"/>
      <c r="AR74" s="220"/>
      <c r="AS74" s="220"/>
      <c r="AT74" s="220"/>
      <c r="AU74" s="220"/>
      <c r="AV74" s="220"/>
      <c r="AW74" s="220"/>
      <c r="AX74" s="220"/>
      <c r="AY74" s="220"/>
      <c r="AZ74" s="220"/>
      <c r="BA74" s="220"/>
      <c r="BB74" s="220"/>
      <c r="BC74" s="220"/>
      <c r="BD74" s="220"/>
      <c r="BE74" s="220"/>
      <c r="BF74" s="220"/>
      <c r="BG74" s="220"/>
      <c r="BH74" s="220"/>
      <c r="BI74" s="220"/>
      <c r="BJ74" s="220"/>
      <c r="BK74" s="220"/>
      <c r="BL74" s="220"/>
      <c r="BM74" s="220"/>
      <c r="BN74" s="220"/>
      <c r="BO74" s="220"/>
      <c r="BP74" s="220"/>
      <c r="BQ74" s="220"/>
      <c r="BR74" s="220"/>
      <c r="BS74" s="220"/>
      <c r="BT74" s="220"/>
      <c r="BU74" s="220"/>
      <c r="BV74" s="220"/>
      <c r="BW74" s="220"/>
      <c r="BX74" s="220"/>
      <c r="BY74" s="220"/>
      <c r="BZ74" s="220"/>
      <c r="CA74" s="220"/>
      <c r="CB74" s="220"/>
      <c r="CC74" s="220"/>
      <c r="CD74" s="220"/>
      <c r="CE74" s="220"/>
      <c r="CF74" s="220"/>
      <c r="CG74" s="220"/>
      <c r="CH74" s="220"/>
      <c r="CI74" s="220"/>
      <c r="CJ74" s="220"/>
      <c r="CK74" s="220"/>
      <c r="CL74" s="220"/>
      <c r="CM74" s="220"/>
      <c r="CN74" s="220"/>
      <c r="CO74" s="220"/>
      <c r="CP74" s="220"/>
      <c r="CQ74" s="220"/>
      <c r="CR74" s="220"/>
      <c r="CS74" s="220"/>
      <c r="CT74" s="220"/>
      <c r="CU74" s="220"/>
      <c r="CV74" s="220"/>
      <c r="CW74" s="220"/>
      <c r="CX74" s="220"/>
      <c r="CY74" s="220"/>
      <c r="CZ74" s="220"/>
      <c r="DA74" s="220"/>
      <c r="DB74" s="220"/>
      <c r="DC74" s="220"/>
      <c r="DD74" s="220"/>
      <c r="DE74" s="220"/>
      <c r="DF74" s="220"/>
      <c r="DG74" s="220"/>
      <c r="DH74" s="220"/>
      <c r="DI74" s="220"/>
      <c r="DJ74" s="220"/>
      <c r="DK74" s="220"/>
      <c r="DL74" s="220"/>
      <c r="DM74" s="220"/>
      <c r="DN74" s="220"/>
      <c r="DO74" s="220"/>
      <c r="DP74" s="220"/>
      <c r="DQ74" s="220"/>
    </row>
    <row r="75" spans="14:121" x14ac:dyDescent="0.25">
      <c r="N75" s="220"/>
      <c r="O75" s="220"/>
      <c r="P75" s="220"/>
      <c r="Q75" s="220"/>
      <c r="R75" s="220"/>
      <c r="S75" s="220"/>
      <c r="T75" s="220"/>
      <c r="U75" s="220"/>
      <c r="V75" s="220"/>
      <c r="W75" s="220"/>
      <c r="X75" s="220"/>
      <c r="Y75" s="220"/>
      <c r="Z75" s="220"/>
      <c r="AA75" s="220"/>
      <c r="AB75" s="220"/>
      <c r="AC75" s="220"/>
      <c r="AD75" s="220"/>
      <c r="AE75" s="220"/>
      <c r="AF75" s="220"/>
      <c r="AG75" s="220"/>
      <c r="AH75" s="220"/>
      <c r="AI75" s="220"/>
      <c r="AJ75" s="220"/>
      <c r="AK75" s="220"/>
      <c r="AL75" s="220"/>
      <c r="AM75" s="220"/>
      <c r="AN75" s="220"/>
      <c r="AO75" s="220"/>
      <c r="AP75" s="220"/>
      <c r="AQ75" s="220"/>
      <c r="AR75" s="220"/>
      <c r="AS75" s="220"/>
      <c r="AT75" s="220"/>
      <c r="AU75" s="220"/>
      <c r="AV75" s="220"/>
      <c r="AW75" s="220"/>
      <c r="AX75" s="220"/>
      <c r="AY75" s="220"/>
      <c r="AZ75" s="220"/>
      <c r="BA75" s="220"/>
      <c r="BB75" s="220"/>
      <c r="BC75" s="220"/>
      <c r="BD75" s="220"/>
      <c r="BE75" s="220"/>
      <c r="BF75" s="220"/>
      <c r="BG75" s="220"/>
      <c r="BH75" s="220"/>
      <c r="BI75" s="220"/>
      <c r="BJ75" s="220"/>
      <c r="BK75" s="220"/>
      <c r="BL75" s="220"/>
      <c r="BM75" s="220"/>
      <c r="BN75" s="220"/>
      <c r="BO75" s="220"/>
      <c r="BP75" s="220"/>
      <c r="BQ75" s="220"/>
      <c r="BR75" s="220"/>
      <c r="BS75" s="220"/>
      <c r="BT75" s="220"/>
      <c r="BU75" s="220"/>
      <c r="BV75" s="220"/>
      <c r="BW75" s="220"/>
      <c r="BX75" s="220"/>
      <c r="BY75" s="220"/>
      <c r="BZ75" s="220"/>
      <c r="CA75" s="220"/>
      <c r="CB75" s="220"/>
      <c r="CC75" s="220"/>
      <c r="CD75" s="220"/>
      <c r="CE75" s="220"/>
      <c r="CF75" s="220"/>
      <c r="CG75" s="220"/>
      <c r="CH75" s="220"/>
      <c r="CI75" s="220"/>
      <c r="CJ75" s="220"/>
      <c r="CK75" s="220"/>
      <c r="CL75" s="220"/>
      <c r="CM75" s="220"/>
      <c r="CN75" s="220"/>
      <c r="CO75" s="220"/>
      <c r="CP75" s="220"/>
      <c r="CQ75" s="220"/>
      <c r="CR75" s="220"/>
      <c r="CS75" s="220"/>
      <c r="CT75" s="220"/>
      <c r="CU75" s="220"/>
      <c r="CV75" s="220"/>
      <c r="CW75" s="220"/>
      <c r="CX75" s="220"/>
      <c r="CY75" s="220"/>
      <c r="CZ75" s="220"/>
      <c r="DA75" s="220"/>
      <c r="DB75" s="220"/>
      <c r="DC75" s="220"/>
      <c r="DD75" s="220"/>
      <c r="DE75" s="220"/>
      <c r="DF75" s="220"/>
      <c r="DG75" s="220"/>
      <c r="DH75" s="220"/>
      <c r="DI75" s="220"/>
      <c r="DJ75" s="220"/>
      <c r="DK75" s="220"/>
      <c r="DL75" s="220"/>
      <c r="DM75" s="220"/>
      <c r="DN75" s="220"/>
      <c r="DO75" s="220"/>
      <c r="DP75" s="220"/>
      <c r="DQ75" s="220"/>
    </row>
    <row r="76" spans="14:121" x14ac:dyDescent="0.25">
      <c r="N76" s="220"/>
      <c r="O76" s="220"/>
      <c r="P76" s="220"/>
      <c r="Q76" s="220"/>
      <c r="R76" s="220"/>
      <c r="S76" s="220"/>
      <c r="T76" s="220"/>
      <c r="U76" s="220"/>
      <c r="V76" s="220"/>
      <c r="W76" s="220"/>
      <c r="X76" s="220"/>
      <c r="Y76" s="220"/>
      <c r="Z76" s="220"/>
      <c r="AA76" s="220"/>
      <c r="AB76" s="220"/>
      <c r="AC76" s="220"/>
      <c r="AD76" s="220"/>
      <c r="AE76" s="220"/>
      <c r="AF76" s="220"/>
      <c r="AG76" s="220"/>
      <c r="AH76" s="220"/>
      <c r="AI76" s="220"/>
      <c r="AJ76" s="220"/>
      <c r="AK76" s="220"/>
      <c r="AL76" s="220"/>
      <c r="AM76" s="220"/>
      <c r="AN76" s="220"/>
      <c r="AO76" s="220"/>
      <c r="AP76" s="220"/>
      <c r="AQ76" s="220"/>
      <c r="AR76" s="220"/>
      <c r="AS76" s="220"/>
      <c r="AT76" s="220"/>
      <c r="AU76" s="220"/>
      <c r="AV76" s="220"/>
      <c r="AW76" s="220"/>
      <c r="AX76" s="220"/>
      <c r="AY76" s="220"/>
      <c r="AZ76" s="220"/>
      <c r="BA76" s="220"/>
      <c r="BB76" s="220"/>
      <c r="BC76" s="220"/>
      <c r="BD76" s="220"/>
      <c r="BE76" s="220"/>
      <c r="BF76" s="220"/>
      <c r="BG76" s="220"/>
      <c r="BH76" s="220"/>
      <c r="BI76" s="220"/>
      <c r="BJ76" s="220"/>
      <c r="BK76" s="220"/>
      <c r="BL76" s="220"/>
      <c r="BM76" s="220"/>
      <c r="BN76" s="220"/>
      <c r="BO76" s="220"/>
      <c r="BP76" s="220"/>
      <c r="BQ76" s="220"/>
      <c r="BR76" s="220"/>
      <c r="BS76" s="220"/>
      <c r="BT76" s="220"/>
      <c r="BU76" s="220"/>
      <c r="BV76" s="220"/>
      <c r="BW76" s="220"/>
      <c r="BX76" s="220"/>
      <c r="BY76" s="220"/>
      <c r="BZ76" s="220"/>
      <c r="CA76" s="220"/>
      <c r="CB76" s="220"/>
      <c r="CC76" s="220"/>
      <c r="CD76" s="220"/>
      <c r="CE76" s="220"/>
      <c r="CF76" s="220"/>
      <c r="CG76" s="220"/>
      <c r="CH76" s="220"/>
      <c r="CI76" s="220"/>
      <c r="CJ76" s="220"/>
      <c r="CK76" s="220"/>
      <c r="CL76" s="220"/>
      <c r="CM76" s="220"/>
      <c r="CN76" s="220"/>
      <c r="CO76" s="220"/>
      <c r="CP76" s="220"/>
      <c r="CQ76" s="220"/>
      <c r="CR76" s="220"/>
      <c r="CS76" s="220"/>
      <c r="CT76" s="220"/>
      <c r="CU76" s="220"/>
      <c r="CV76" s="220"/>
      <c r="CW76" s="220"/>
      <c r="CX76" s="220"/>
      <c r="CY76" s="220"/>
      <c r="CZ76" s="220"/>
      <c r="DA76" s="220"/>
      <c r="DB76" s="220"/>
      <c r="DC76" s="220"/>
      <c r="DD76" s="220"/>
      <c r="DE76" s="220"/>
      <c r="DF76" s="220"/>
      <c r="DG76" s="220"/>
      <c r="DH76" s="220"/>
      <c r="DI76" s="220"/>
      <c r="DJ76" s="220"/>
      <c r="DK76" s="220"/>
      <c r="DL76" s="220"/>
      <c r="DM76" s="220"/>
      <c r="DN76" s="220"/>
      <c r="DO76" s="220"/>
      <c r="DP76" s="220"/>
      <c r="DQ76" s="220"/>
    </row>
    <row r="77" spans="14:121" x14ac:dyDescent="0.25">
      <c r="N77" s="220"/>
      <c r="O77" s="220"/>
      <c r="P77" s="220"/>
      <c r="Q77" s="220"/>
      <c r="R77" s="220"/>
      <c r="S77" s="220"/>
      <c r="T77" s="220"/>
      <c r="U77" s="220"/>
      <c r="V77" s="220"/>
      <c r="W77" s="220"/>
      <c r="X77" s="220"/>
      <c r="Y77" s="220"/>
      <c r="Z77" s="220"/>
      <c r="AA77" s="220"/>
      <c r="AB77" s="220"/>
      <c r="AC77" s="220"/>
      <c r="AD77" s="220"/>
      <c r="AE77" s="220"/>
      <c r="AF77" s="220"/>
      <c r="AG77" s="220"/>
      <c r="AH77" s="220"/>
      <c r="AI77" s="220"/>
      <c r="AJ77" s="220"/>
      <c r="AK77" s="220"/>
      <c r="AL77" s="220"/>
      <c r="AM77" s="220"/>
      <c r="AN77" s="220"/>
      <c r="AO77" s="220"/>
      <c r="AP77" s="220"/>
      <c r="AQ77" s="220"/>
      <c r="AR77" s="220"/>
      <c r="AS77" s="220"/>
      <c r="AT77" s="220"/>
      <c r="AU77" s="220"/>
      <c r="AV77" s="220"/>
      <c r="AW77" s="220"/>
      <c r="AX77" s="220"/>
      <c r="AY77" s="220"/>
      <c r="AZ77" s="220"/>
      <c r="BA77" s="220"/>
      <c r="BB77" s="220"/>
      <c r="BC77" s="220"/>
      <c r="BD77" s="220"/>
      <c r="BE77" s="220"/>
      <c r="BF77" s="220"/>
      <c r="BG77" s="220"/>
      <c r="BH77" s="220"/>
      <c r="BI77" s="220"/>
      <c r="BJ77" s="220"/>
      <c r="BK77" s="220"/>
      <c r="BL77" s="220"/>
      <c r="BM77" s="220"/>
      <c r="BN77" s="220"/>
      <c r="BO77" s="220"/>
      <c r="BP77" s="220"/>
      <c r="BQ77" s="220"/>
      <c r="BR77" s="220"/>
      <c r="BS77" s="220"/>
      <c r="BT77" s="220"/>
      <c r="BU77" s="220"/>
      <c r="BV77" s="220"/>
      <c r="BW77" s="220"/>
      <c r="BX77" s="220"/>
      <c r="BY77" s="220"/>
      <c r="BZ77" s="220"/>
      <c r="CA77" s="220"/>
      <c r="CB77" s="220"/>
      <c r="CC77" s="220"/>
      <c r="CD77" s="220"/>
      <c r="CE77" s="220"/>
      <c r="CF77" s="220"/>
      <c r="CG77" s="220"/>
      <c r="CH77" s="220"/>
      <c r="CI77" s="220"/>
      <c r="CJ77" s="220"/>
      <c r="CK77" s="220"/>
      <c r="CL77" s="220"/>
      <c r="CM77" s="220"/>
      <c r="CN77" s="220"/>
      <c r="CO77" s="220"/>
      <c r="CP77" s="220"/>
      <c r="CQ77" s="220"/>
      <c r="CR77" s="220"/>
      <c r="CS77" s="220"/>
      <c r="CT77" s="220"/>
      <c r="CU77" s="220"/>
      <c r="CV77" s="220"/>
      <c r="CW77" s="220"/>
      <c r="CX77" s="220"/>
      <c r="CY77" s="220"/>
      <c r="CZ77" s="220"/>
      <c r="DA77" s="220"/>
      <c r="DB77" s="220"/>
      <c r="DC77" s="220"/>
      <c r="DD77" s="220"/>
      <c r="DE77" s="220"/>
      <c r="DF77" s="220"/>
      <c r="DG77" s="220"/>
      <c r="DH77" s="220"/>
      <c r="DI77" s="220"/>
      <c r="DJ77" s="220"/>
      <c r="DK77" s="220"/>
      <c r="DL77" s="220"/>
      <c r="DM77" s="220"/>
      <c r="DN77" s="220"/>
      <c r="DO77" s="220"/>
      <c r="DP77" s="220"/>
      <c r="DQ77" s="220"/>
    </row>
    <row r="78" spans="14:121" x14ac:dyDescent="0.25">
      <c r="N78" s="220"/>
      <c r="O78" s="220"/>
      <c r="P78" s="220"/>
      <c r="Q78" s="220"/>
      <c r="R78" s="220"/>
      <c r="S78" s="220"/>
      <c r="T78" s="220"/>
      <c r="U78" s="220"/>
      <c r="V78" s="220"/>
      <c r="W78" s="220"/>
      <c r="X78" s="220"/>
      <c r="Y78" s="220"/>
      <c r="Z78" s="220"/>
      <c r="AA78" s="220"/>
      <c r="AB78" s="220"/>
      <c r="AC78" s="220"/>
      <c r="AD78" s="220"/>
      <c r="AE78" s="220"/>
      <c r="AF78" s="220"/>
      <c r="AG78" s="220"/>
      <c r="AH78" s="220"/>
      <c r="AI78" s="220"/>
      <c r="AJ78" s="220"/>
      <c r="AK78" s="220"/>
      <c r="AL78" s="220"/>
      <c r="AM78" s="220"/>
      <c r="AN78" s="220"/>
      <c r="AO78" s="220"/>
      <c r="AP78" s="220"/>
      <c r="AQ78" s="220"/>
      <c r="AR78" s="220"/>
      <c r="AS78" s="220"/>
      <c r="AT78" s="220"/>
      <c r="AU78" s="220"/>
      <c r="AV78" s="220"/>
      <c r="AW78" s="220"/>
      <c r="AX78" s="220"/>
      <c r="AY78" s="220"/>
      <c r="AZ78" s="220"/>
      <c r="BA78" s="220"/>
      <c r="BB78" s="220"/>
      <c r="BC78" s="220"/>
      <c r="BD78" s="220"/>
      <c r="BE78" s="220"/>
      <c r="BF78" s="220"/>
      <c r="BG78" s="220"/>
      <c r="BH78" s="220"/>
      <c r="BI78" s="220"/>
      <c r="BJ78" s="220"/>
      <c r="BK78" s="220"/>
      <c r="BL78" s="220"/>
      <c r="BM78" s="220"/>
      <c r="BN78" s="220"/>
      <c r="BO78" s="220"/>
      <c r="BP78" s="220"/>
      <c r="BQ78" s="220"/>
      <c r="BR78" s="220"/>
      <c r="BS78" s="220"/>
      <c r="BT78" s="220"/>
      <c r="BU78" s="220"/>
      <c r="BV78" s="220"/>
      <c r="BW78" s="220"/>
      <c r="BX78" s="220"/>
      <c r="BY78" s="220"/>
      <c r="BZ78" s="220"/>
      <c r="CA78" s="220"/>
      <c r="CB78" s="220"/>
      <c r="CC78" s="220"/>
      <c r="CD78" s="220"/>
      <c r="CE78" s="220"/>
      <c r="CF78" s="220"/>
      <c r="CG78" s="220"/>
      <c r="CH78" s="220"/>
      <c r="CI78" s="220"/>
      <c r="CJ78" s="220"/>
      <c r="CK78" s="220"/>
      <c r="CL78" s="220"/>
      <c r="CM78" s="220"/>
      <c r="CN78" s="220"/>
      <c r="CO78" s="220"/>
      <c r="CP78" s="220"/>
      <c r="CQ78" s="220"/>
      <c r="CR78" s="220"/>
      <c r="CS78" s="220"/>
      <c r="CT78" s="220"/>
      <c r="CU78" s="220"/>
      <c r="CV78" s="220"/>
      <c r="CW78" s="220"/>
      <c r="CX78" s="220"/>
      <c r="CY78" s="220"/>
      <c r="CZ78" s="220"/>
      <c r="DA78" s="220"/>
      <c r="DB78" s="220"/>
      <c r="DC78" s="220"/>
      <c r="DD78" s="220"/>
      <c r="DE78" s="220"/>
      <c r="DF78" s="220"/>
      <c r="DG78" s="220"/>
      <c r="DH78" s="220"/>
      <c r="DI78" s="220"/>
      <c r="DJ78" s="220"/>
      <c r="DK78" s="220"/>
      <c r="DL78" s="220"/>
      <c r="DM78" s="220"/>
      <c r="DN78" s="220"/>
      <c r="DO78" s="220"/>
      <c r="DP78" s="220"/>
      <c r="DQ78" s="220"/>
    </row>
    <row r="79" spans="14:121" x14ac:dyDescent="0.25">
      <c r="N79" s="220"/>
      <c r="O79" s="220"/>
      <c r="P79" s="220"/>
      <c r="Q79" s="220"/>
      <c r="R79" s="220"/>
      <c r="S79" s="220"/>
      <c r="T79" s="220"/>
      <c r="U79" s="220"/>
      <c r="V79" s="220"/>
      <c r="W79" s="220"/>
      <c r="X79" s="220"/>
      <c r="Y79" s="220"/>
      <c r="Z79" s="220"/>
      <c r="AA79" s="220"/>
      <c r="AB79" s="220"/>
      <c r="AC79" s="220"/>
      <c r="AD79" s="220"/>
      <c r="AE79" s="220"/>
      <c r="AF79" s="220"/>
      <c r="AG79" s="220"/>
      <c r="AH79" s="220"/>
      <c r="AI79" s="220"/>
      <c r="AJ79" s="220"/>
      <c r="AK79" s="220"/>
      <c r="AL79" s="220"/>
      <c r="AM79" s="220"/>
      <c r="AN79" s="220"/>
      <c r="AO79" s="220"/>
      <c r="AP79" s="220"/>
      <c r="AQ79" s="220"/>
      <c r="AR79" s="220"/>
      <c r="AS79" s="220"/>
      <c r="AT79" s="220"/>
      <c r="AU79" s="220"/>
      <c r="AV79" s="220"/>
      <c r="AW79" s="220"/>
      <c r="AX79" s="220"/>
      <c r="AY79" s="220"/>
      <c r="AZ79" s="220"/>
      <c r="BA79" s="220"/>
      <c r="BB79" s="220"/>
      <c r="BC79" s="220"/>
      <c r="BD79" s="220"/>
      <c r="BE79" s="220"/>
      <c r="BF79" s="220"/>
      <c r="BG79" s="220"/>
      <c r="BH79" s="220"/>
      <c r="BI79" s="220"/>
      <c r="BJ79" s="220"/>
      <c r="BK79" s="220"/>
      <c r="BL79" s="220"/>
      <c r="BM79" s="220"/>
      <c r="BN79" s="220"/>
      <c r="BO79" s="220"/>
      <c r="BP79" s="220"/>
      <c r="BQ79" s="220"/>
      <c r="BR79" s="220"/>
      <c r="BS79" s="220"/>
      <c r="BT79" s="220"/>
      <c r="BU79" s="220"/>
      <c r="BV79" s="220"/>
      <c r="BW79" s="220"/>
      <c r="BX79" s="220"/>
      <c r="BY79" s="220"/>
      <c r="BZ79" s="220"/>
      <c r="CA79" s="220"/>
      <c r="CB79" s="220"/>
      <c r="CC79" s="220"/>
      <c r="CD79" s="220"/>
      <c r="CE79" s="220"/>
      <c r="CF79" s="220"/>
      <c r="CG79" s="220"/>
      <c r="CH79" s="220"/>
      <c r="CI79" s="220"/>
      <c r="CJ79" s="220"/>
      <c r="CK79" s="220"/>
      <c r="CL79" s="220"/>
      <c r="CM79" s="220"/>
      <c r="CN79" s="220"/>
      <c r="CO79" s="220"/>
      <c r="CP79" s="220"/>
      <c r="CQ79" s="220"/>
      <c r="CR79" s="220"/>
      <c r="CS79" s="220"/>
      <c r="CT79" s="220"/>
      <c r="CU79" s="220"/>
      <c r="CV79" s="220"/>
      <c r="CW79" s="220"/>
      <c r="CX79" s="220"/>
      <c r="CY79" s="220"/>
      <c r="CZ79" s="220"/>
      <c r="DA79" s="220"/>
      <c r="DB79" s="220"/>
      <c r="DC79" s="220"/>
      <c r="DD79" s="220"/>
      <c r="DE79" s="220"/>
      <c r="DF79" s="220"/>
      <c r="DG79" s="220"/>
      <c r="DH79" s="220"/>
      <c r="DI79" s="220"/>
      <c r="DJ79" s="220"/>
      <c r="DK79" s="220"/>
      <c r="DL79" s="220"/>
      <c r="DM79" s="220"/>
      <c r="DN79" s="220"/>
      <c r="DO79" s="220"/>
      <c r="DP79" s="220"/>
      <c r="DQ79" s="220"/>
    </row>
    <row r="80" spans="14:121" x14ac:dyDescent="0.25">
      <c r="N80" s="220"/>
      <c r="O80" s="220"/>
      <c r="P80" s="220"/>
      <c r="Q80" s="220"/>
      <c r="R80" s="220"/>
      <c r="S80" s="220"/>
      <c r="T80" s="220"/>
      <c r="U80" s="220"/>
      <c r="V80" s="220"/>
      <c r="W80" s="220"/>
      <c r="X80" s="220"/>
      <c r="Y80" s="220"/>
      <c r="Z80" s="220"/>
      <c r="AA80" s="220"/>
      <c r="AB80" s="220"/>
      <c r="AC80" s="220"/>
      <c r="AD80" s="220"/>
      <c r="AE80" s="220"/>
      <c r="AF80" s="220"/>
      <c r="AG80" s="220"/>
      <c r="AH80" s="220"/>
      <c r="AI80" s="220"/>
      <c r="AJ80" s="220"/>
      <c r="AK80" s="220"/>
      <c r="AL80" s="220"/>
      <c r="AM80" s="220"/>
      <c r="AN80" s="220"/>
      <c r="AO80" s="220"/>
      <c r="AP80" s="220"/>
      <c r="AQ80" s="220"/>
      <c r="AR80" s="220"/>
      <c r="AS80" s="220"/>
      <c r="AT80" s="220"/>
      <c r="AU80" s="220"/>
      <c r="AV80" s="220"/>
      <c r="AW80" s="220"/>
      <c r="AX80" s="220"/>
      <c r="AY80" s="220"/>
      <c r="AZ80" s="220"/>
      <c r="BA80" s="220"/>
      <c r="BB80" s="220"/>
      <c r="BC80" s="220"/>
      <c r="BD80" s="220"/>
      <c r="BE80" s="220"/>
      <c r="BF80" s="220"/>
      <c r="BG80" s="220"/>
      <c r="BH80" s="220"/>
      <c r="BI80" s="220"/>
      <c r="BJ80" s="220"/>
      <c r="BK80" s="220"/>
      <c r="BL80" s="220"/>
      <c r="BM80" s="220"/>
      <c r="BN80" s="220"/>
      <c r="BO80" s="220"/>
      <c r="BP80" s="220"/>
      <c r="BQ80" s="220"/>
      <c r="BR80" s="220"/>
      <c r="BS80" s="220"/>
      <c r="BT80" s="220"/>
      <c r="BU80" s="220"/>
      <c r="BV80" s="220"/>
      <c r="BW80" s="220"/>
      <c r="BX80" s="220"/>
      <c r="BY80" s="220"/>
      <c r="BZ80" s="220"/>
      <c r="CA80" s="220"/>
      <c r="CB80" s="220"/>
      <c r="CC80" s="220"/>
      <c r="CD80" s="220"/>
      <c r="CE80" s="220"/>
      <c r="CF80" s="220"/>
      <c r="CG80" s="220"/>
      <c r="CH80" s="220"/>
      <c r="CI80" s="220"/>
      <c r="CJ80" s="220"/>
      <c r="CK80" s="220"/>
      <c r="CL80" s="220"/>
      <c r="CM80" s="220"/>
      <c r="CN80" s="220"/>
      <c r="CO80" s="220"/>
      <c r="CP80" s="220"/>
      <c r="CQ80" s="220"/>
      <c r="CR80" s="220"/>
      <c r="CS80" s="220"/>
      <c r="CT80" s="220"/>
      <c r="CU80" s="220"/>
      <c r="CV80" s="220"/>
      <c r="CW80" s="220"/>
      <c r="CX80" s="220"/>
      <c r="CY80" s="220"/>
      <c r="CZ80" s="220"/>
      <c r="DA80" s="220"/>
      <c r="DB80" s="220"/>
      <c r="DC80" s="220"/>
      <c r="DD80" s="220"/>
      <c r="DE80" s="220"/>
      <c r="DF80" s="220"/>
      <c r="DG80" s="220"/>
      <c r="DH80" s="220"/>
      <c r="DI80" s="220"/>
      <c r="DJ80" s="220"/>
      <c r="DK80" s="220"/>
      <c r="DL80" s="220"/>
      <c r="DM80" s="220"/>
      <c r="DN80" s="220"/>
      <c r="DO80" s="220"/>
      <c r="DP80" s="220"/>
      <c r="DQ80" s="220"/>
    </row>
    <row r="81" spans="14:121" x14ac:dyDescent="0.25">
      <c r="N81" s="220"/>
      <c r="O81" s="220"/>
      <c r="P81" s="220"/>
      <c r="Q81" s="220"/>
      <c r="R81" s="220"/>
      <c r="S81" s="220"/>
      <c r="T81" s="220"/>
      <c r="U81" s="220"/>
      <c r="V81" s="220"/>
      <c r="W81" s="220"/>
      <c r="X81" s="220"/>
      <c r="Y81" s="220"/>
      <c r="Z81" s="220"/>
      <c r="AA81" s="220"/>
      <c r="AB81" s="220"/>
      <c r="AC81" s="220"/>
      <c r="AD81" s="220"/>
      <c r="AE81" s="220"/>
      <c r="AF81" s="220"/>
      <c r="AG81" s="220"/>
      <c r="AH81" s="220"/>
      <c r="AI81" s="220"/>
      <c r="AJ81" s="220"/>
      <c r="AK81" s="220"/>
      <c r="AL81" s="220"/>
      <c r="AM81" s="220"/>
      <c r="AN81" s="220"/>
      <c r="AO81" s="220"/>
      <c r="AP81" s="220"/>
      <c r="AQ81" s="220"/>
      <c r="AR81" s="220"/>
      <c r="AS81" s="220"/>
      <c r="AT81" s="220"/>
      <c r="AU81" s="220"/>
      <c r="AV81" s="220"/>
      <c r="AW81" s="220"/>
      <c r="AX81" s="220"/>
      <c r="AY81" s="220"/>
      <c r="AZ81" s="220"/>
      <c r="BA81" s="220"/>
      <c r="BB81" s="220"/>
      <c r="BC81" s="220"/>
      <c r="BD81" s="220"/>
      <c r="BE81" s="220"/>
      <c r="BF81" s="220"/>
      <c r="BG81" s="220"/>
      <c r="BH81" s="220"/>
      <c r="BI81" s="220"/>
      <c r="BJ81" s="220"/>
      <c r="BK81" s="220"/>
      <c r="BL81" s="220"/>
      <c r="BM81" s="220"/>
      <c r="BN81" s="220"/>
      <c r="BO81" s="220"/>
      <c r="BP81" s="220"/>
      <c r="BQ81" s="220"/>
      <c r="BR81" s="220"/>
      <c r="BS81" s="220"/>
      <c r="BT81" s="220"/>
      <c r="BU81" s="220"/>
      <c r="BV81" s="220"/>
      <c r="BW81" s="220"/>
      <c r="BX81" s="220"/>
      <c r="BY81" s="220"/>
      <c r="BZ81" s="220"/>
      <c r="CA81" s="220"/>
      <c r="CB81" s="220"/>
      <c r="CC81" s="220"/>
      <c r="CD81" s="220"/>
      <c r="CE81" s="220"/>
      <c r="CF81" s="220"/>
      <c r="CG81" s="220"/>
      <c r="CH81" s="220"/>
      <c r="CI81" s="220"/>
      <c r="CJ81" s="220"/>
      <c r="CK81" s="220"/>
      <c r="CL81" s="220"/>
      <c r="CM81" s="220"/>
      <c r="CN81" s="220"/>
      <c r="CO81" s="220"/>
      <c r="CP81" s="220"/>
      <c r="CQ81" s="220"/>
      <c r="CR81" s="220"/>
      <c r="CS81" s="220"/>
      <c r="CT81" s="220"/>
      <c r="CU81" s="220"/>
      <c r="CV81" s="220"/>
      <c r="CW81" s="220"/>
      <c r="CX81" s="220"/>
      <c r="CY81" s="220"/>
      <c r="CZ81" s="220"/>
      <c r="DA81" s="220"/>
      <c r="DB81" s="220"/>
      <c r="DC81" s="220"/>
      <c r="DD81" s="220"/>
      <c r="DE81" s="220"/>
      <c r="DF81" s="220"/>
      <c r="DG81" s="220"/>
      <c r="DH81" s="220"/>
      <c r="DI81" s="220"/>
      <c r="DJ81" s="220"/>
      <c r="DK81" s="220"/>
      <c r="DL81" s="220"/>
      <c r="DM81" s="220"/>
      <c r="DN81" s="220"/>
      <c r="DO81" s="220"/>
      <c r="DP81" s="220"/>
      <c r="DQ81" s="220"/>
    </row>
    <row r="82" spans="14:121" x14ac:dyDescent="0.25">
      <c r="N82" s="220"/>
      <c r="O82" s="220"/>
      <c r="P82" s="220"/>
      <c r="Q82" s="220"/>
      <c r="R82" s="220"/>
      <c r="S82" s="220"/>
      <c r="T82" s="220"/>
      <c r="U82" s="220"/>
      <c r="V82" s="220"/>
      <c r="W82" s="220"/>
      <c r="X82" s="220"/>
      <c r="Y82" s="220"/>
      <c r="Z82" s="220"/>
      <c r="AA82" s="220"/>
      <c r="AB82" s="220"/>
      <c r="AC82" s="220"/>
      <c r="AD82" s="220"/>
      <c r="AE82" s="220"/>
      <c r="AF82" s="220"/>
      <c r="AG82" s="220"/>
      <c r="AH82" s="220"/>
      <c r="AI82" s="220"/>
      <c r="AJ82" s="220"/>
      <c r="AK82" s="220"/>
      <c r="AL82" s="220"/>
      <c r="AM82" s="220"/>
      <c r="AN82" s="220"/>
      <c r="AO82" s="220"/>
      <c r="AP82" s="220"/>
      <c r="AQ82" s="220"/>
      <c r="AR82" s="220"/>
      <c r="AS82" s="220"/>
      <c r="AT82" s="220"/>
      <c r="AU82" s="220"/>
      <c r="AV82" s="220"/>
      <c r="AW82" s="220"/>
      <c r="AX82" s="220"/>
      <c r="AY82" s="220"/>
      <c r="AZ82" s="220"/>
      <c r="BA82" s="220"/>
      <c r="BB82" s="220"/>
      <c r="BC82" s="220"/>
      <c r="BD82" s="220"/>
      <c r="BE82" s="220"/>
      <c r="BF82" s="220"/>
      <c r="BG82" s="220"/>
      <c r="BH82" s="220"/>
      <c r="BI82" s="220"/>
      <c r="BJ82" s="220"/>
      <c r="BK82" s="220"/>
      <c r="BL82" s="220"/>
      <c r="BM82" s="220"/>
      <c r="BN82" s="220"/>
      <c r="BO82" s="220"/>
      <c r="BP82" s="220"/>
      <c r="BQ82" s="220"/>
      <c r="BR82" s="220"/>
      <c r="BS82" s="220"/>
      <c r="BT82" s="220"/>
      <c r="BU82" s="220"/>
      <c r="BV82" s="220"/>
      <c r="BW82" s="220"/>
      <c r="BX82" s="220"/>
      <c r="BY82" s="220"/>
      <c r="BZ82" s="220"/>
      <c r="CA82" s="220"/>
      <c r="CB82" s="220"/>
      <c r="CC82" s="220"/>
      <c r="CD82" s="220"/>
      <c r="CE82" s="220"/>
      <c r="CF82" s="220"/>
      <c r="CG82" s="220"/>
      <c r="CH82" s="220"/>
      <c r="CI82" s="220"/>
      <c r="CJ82" s="220"/>
      <c r="CK82" s="220"/>
      <c r="CL82" s="220"/>
      <c r="CM82" s="220"/>
      <c r="CN82" s="220"/>
      <c r="CO82" s="220"/>
      <c r="CP82" s="220"/>
      <c r="CQ82" s="220"/>
      <c r="CR82" s="220"/>
      <c r="CS82" s="220"/>
      <c r="CT82" s="220"/>
      <c r="CU82" s="220"/>
      <c r="CV82" s="220"/>
      <c r="CW82" s="220"/>
      <c r="CX82" s="220"/>
      <c r="CY82" s="220"/>
      <c r="CZ82" s="220"/>
      <c r="DA82" s="220"/>
      <c r="DB82" s="220"/>
      <c r="DC82" s="220"/>
      <c r="DD82" s="220"/>
      <c r="DE82" s="220"/>
      <c r="DF82" s="220"/>
      <c r="DG82" s="220"/>
      <c r="DH82" s="220"/>
      <c r="DI82" s="220"/>
      <c r="DJ82" s="220"/>
      <c r="DK82" s="220"/>
      <c r="DL82" s="220"/>
      <c r="DM82" s="220"/>
      <c r="DN82" s="220"/>
      <c r="DO82" s="220"/>
      <c r="DP82" s="220"/>
      <c r="DQ82" s="220"/>
    </row>
    <row r="83" spans="14:121" x14ac:dyDescent="0.25">
      <c r="N83" s="220"/>
      <c r="O83" s="220"/>
      <c r="P83" s="220"/>
      <c r="Q83" s="220"/>
      <c r="R83" s="220"/>
      <c r="S83" s="220"/>
      <c r="T83" s="220"/>
      <c r="U83" s="220"/>
      <c r="V83" s="220"/>
      <c r="W83" s="220"/>
      <c r="X83" s="220"/>
      <c r="Y83" s="220"/>
      <c r="Z83" s="220"/>
      <c r="AA83" s="220"/>
      <c r="AB83" s="220"/>
      <c r="AC83" s="220"/>
      <c r="AD83" s="220"/>
      <c r="AE83" s="220"/>
      <c r="AF83" s="220"/>
      <c r="AG83" s="220"/>
      <c r="AH83" s="220"/>
      <c r="AI83" s="220"/>
      <c r="AJ83" s="220"/>
      <c r="AK83" s="220"/>
      <c r="AL83" s="220"/>
      <c r="AM83" s="220"/>
      <c r="AN83" s="220"/>
      <c r="AO83" s="220"/>
      <c r="AP83" s="220"/>
      <c r="AQ83" s="220"/>
      <c r="AR83" s="220"/>
      <c r="AS83" s="220"/>
      <c r="AT83" s="220"/>
      <c r="AU83" s="220"/>
      <c r="AV83" s="220"/>
      <c r="AW83" s="220"/>
      <c r="AX83" s="220"/>
      <c r="AY83" s="220"/>
      <c r="AZ83" s="220"/>
      <c r="BA83" s="220"/>
      <c r="BB83" s="220"/>
      <c r="BC83" s="220"/>
      <c r="BD83" s="220"/>
      <c r="BE83" s="220"/>
      <c r="BF83" s="220"/>
      <c r="BG83" s="220"/>
      <c r="BH83" s="220"/>
      <c r="BI83" s="220"/>
      <c r="BJ83" s="220"/>
      <c r="BK83" s="220"/>
      <c r="BL83" s="220"/>
      <c r="BM83" s="220"/>
      <c r="BN83" s="220"/>
      <c r="BO83" s="220"/>
      <c r="BP83" s="220"/>
      <c r="BQ83" s="220"/>
      <c r="BR83" s="220"/>
      <c r="BS83" s="220"/>
      <c r="BT83" s="220"/>
      <c r="BU83" s="220"/>
      <c r="BV83" s="220"/>
      <c r="BW83" s="220"/>
      <c r="BX83" s="220"/>
      <c r="BY83" s="220"/>
      <c r="BZ83" s="220"/>
      <c r="CA83" s="220"/>
      <c r="CB83" s="220"/>
      <c r="CC83" s="220"/>
      <c r="CD83" s="220"/>
      <c r="CE83" s="220"/>
      <c r="CF83" s="220"/>
      <c r="CG83" s="220"/>
      <c r="CH83" s="220"/>
      <c r="CI83" s="220"/>
      <c r="CJ83" s="220"/>
      <c r="CK83" s="220"/>
      <c r="CL83" s="220"/>
      <c r="CM83" s="220"/>
      <c r="CN83" s="220"/>
      <c r="CO83" s="220"/>
      <c r="CP83" s="220"/>
      <c r="CQ83" s="220"/>
      <c r="CR83" s="220"/>
      <c r="CS83" s="220"/>
      <c r="CT83" s="220"/>
      <c r="CU83" s="220"/>
      <c r="CV83" s="220"/>
      <c r="CW83" s="220"/>
      <c r="CX83" s="220"/>
      <c r="CY83" s="220"/>
      <c r="CZ83" s="220"/>
      <c r="DA83" s="220"/>
      <c r="DB83" s="220"/>
      <c r="DC83" s="220"/>
      <c r="DD83" s="220"/>
      <c r="DE83" s="220"/>
      <c r="DF83" s="220"/>
      <c r="DG83" s="220"/>
      <c r="DH83" s="220"/>
      <c r="DI83" s="220"/>
      <c r="DJ83" s="220"/>
      <c r="DK83" s="220"/>
      <c r="DL83" s="220"/>
      <c r="DM83" s="220"/>
      <c r="DN83" s="220"/>
      <c r="DO83" s="220"/>
      <c r="DP83" s="220"/>
      <c r="DQ83" s="220"/>
    </row>
    <row r="84" spans="14:121" x14ac:dyDescent="0.25">
      <c r="N84" s="220"/>
      <c r="O84" s="220"/>
      <c r="P84" s="220"/>
      <c r="Q84" s="220"/>
      <c r="R84" s="220"/>
      <c r="S84" s="220"/>
      <c r="T84" s="220"/>
      <c r="U84" s="220"/>
      <c r="V84" s="220"/>
      <c r="W84" s="220"/>
      <c r="X84" s="220"/>
      <c r="Y84" s="220"/>
      <c r="Z84" s="220"/>
      <c r="AA84" s="220"/>
      <c r="AB84" s="220"/>
      <c r="AC84" s="220"/>
      <c r="AD84" s="220"/>
      <c r="AE84" s="220"/>
      <c r="AF84" s="220"/>
      <c r="AG84" s="220"/>
      <c r="AH84" s="220"/>
      <c r="AI84" s="220"/>
      <c r="AJ84" s="220"/>
      <c r="AK84" s="220"/>
      <c r="AL84" s="220"/>
      <c r="AM84" s="220"/>
      <c r="AN84" s="220"/>
      <c r="AO84" s="220"/>
      <c r="AP84" s="220"/>
      <c r="AQ84" s="220"/>
      <c r="AR84" s="220"/>
      <c r="AS84" s="220"/>
      <c r="AT84" s="220"/>
      <c r="AU84" s="220"/>
      <c r="AV84" s="220"/>
      <c r="AW84" s="220"/>
      <c r="AX84" s="220"/>
      <c r="AY84" s="220"/>
      <c r="AZ84" s="220"/>
      <c r="BA84" s="220"/>
      <c r="BB84" s="220"/>
      <c r="BC84" s="220"/>
      <c r="BD84" s="220"/>
      <c r="BE84" s="220"/>
      <c r="BF84" s="220"/>
      <c r="BG84" s="220"/>
      <c r="BH84" s="220"/>
      <c r="BI84" s="220"/>
      <c r="BJ84" s="220"/>
      <c r="BK84" s="220"/>
      <c r="BL84" s="220"/>
      <c r="BM84" s="220"/>
      <c r="BN84" s="220"/>
      <c r="BO84" s="220"/>
      <c r="BP84" s="220"/>
      <c r="BQ84" s="220"/>
      <c r="BR84" s="220"/>
      <c r="BS84" s="220"/>
      <c r="BT84" s="220"/>
      <c r="BU84" s="220"/>
      <c r="BV84" s="220"/>
      <c r="BW84" s="220"/>
      <c r="BX84" s="220"/>
      <c r="BY84" s="220"/>
      <c r="BZ84" s="220"/>
      <c r="CA84" s="220"/>
      <c r="CB84" s="220"/>
      <c r="CC84" s="220"/>
      <c r="CD84" s="220"/>
      <c r="CE84" s="220"/>
      <c r="CF84" s="220"/>
      <c r="CG84" s="220"/>
      <c r="CH84" s="220"/>
      <c r="CI84" s="220"/>
      <c r="CJ84" s="220"/>
      <c r="CK84" s="220"/>
      <c r="CL84" s="220"/>
      <c r="CM84" s="220"/>
      <c r="CN84" s="220"/>
      <c r="CO84" s="220"/>
      <c r="CP84" s="220"/>
      <c r="CQ84" s="220"/>
      <c r="CR84" s="220"/>
      <c r="CS84" s="220"/>
      <c r="CT84" s="220"/>
      <c r="CU84" s="220"/>
      <c r="CV84" s="220"/>
      <c r="CW84" s="220"/>
      <c r="CX84" s="220"/>
      <c r="CY84" s="220"/>
      <c r="CZ84" s="220"/>
      <c r="DA84" s="220"/>
      <c r="DB84" s="220"/>
      <c r="DC84" s="220"/>
      <c r="DD84" s="220"/>
      <c r="DE84" s="220"/>
      <c r="DF84" s="220"/>
      <c r="DG84" s="220"/>
      <c r="DH84" s="220"/>
      <c r="DI84" s="220"/>
      <c r="DJ84" s="220"/>
      <c r="DK84" s="220"/>
      <c r="DL84" s="220"/>
      <c r="DM84" s="220"/>
      <c r="DN84" s="220"/>
      <c r="DO84" s="220"/>
      <c r="DP84" s="220"/>
      <c r="DQ84" s="220"/>
    </row>
    <row r="85" spans="14:121" x14ac:dyDescent="0.25">
      <c r="N85" s="220"/>
      <c r="O85" s="220"/>
      <c r="P85" s="220"/>
      <c r="Q85" s="220"/>
      <c r="R85" s="220"/>
      <c r="S85" s="220"/>
      <c r="T85" s="220"/>
      <c r="U85" s="220"/>
      <c r="V85" s="220"/>
      <c r="W85" s="220"/>
      <c r="X85" s="220"/>
      <c r="Y85" s="220"/>
      <c r="Z85" s="220"/>
      <c r="AA85" s="220"/>
      <c r="AB85" s="220"/>
      <c r="AC85" s="220"/>
      <c r="AD85" s="220"/>
      <c r="AE85" s="220"/>
      <c r="AF85" s="220"/>
      <c r="AG85" s="220"/>
      <c r="AH85" s="220"/>
      <c r="AI85" s="220"/>
      <c r="AJ85" s="220"/>
      <c r="AK85" s="220"/>
      <c r="AL85" s="220"/>
      <c r="AM85" s="220"/>
      <c r="AN85" s="220"/>
      <c r="AO85" s="220"/>
      <c r="AP85" s="220"/>
      <c r="AQ85" s="220"/>
      <c r="AR85" s="220"/>
      <c r="AS85" s="220"/>
      <c r="AT85" s="220"/>
      <c r="AU85" s="220"/>
      <c r="AV85" s="220"/>
      <c r="AW85" s="220"/>
      <c r="AX85" s="220"/>
      <c r="AY85" s="220"/>
      <c r="AZ85" s="220"/>
      <c r="BA85" s="220"/>
      <c r="BB85" s="220"/>
      <c r="BC85" s="220"/>
      <c r="BD85" s="220"/>
      <c r="BE85" s="220"/>
      <c r="BF85" s="220"/>
      <c r="BG85" s="220"/>
      <c r="BH85" s="220"/>
      <c r="BI85" s="220"/>
      <c r="BJ85" s="220"/>
      <c r="BK85" s="220"/>
      <c r="BL85" s="220"/>
      <c r="BM85" s="220"/>
      <c r="BN85" s="220"/>
      <c r="BO85" s="220"/>
      <c r="BP85" s="220"/>
      <c r="BQ85" s="220"/>
      <c r="BR85" s="220"/>
      <c r="BS85" s="220"/>
      <c r="BT85" s="220"/>
      <c r="BU85" s="220"/>
      <c r="BV85" s="220"/>
      <c r="BW85" s="220"/>
      <c r="BX85" s="220"/>
      <c r="BY85" s="220"/>
      <c r="BZ85" s="220"/>
      <c r="CA85" s="220"/>
      <c r="CB85" s="220"/>
      <c r="CC85" s="220"/>
      <c r="CD85" s="220"/>
      <c r="CE85" s="220"/>
      <c r="CF85" s="220"/>
      <c r="CG85" s="220"/>
      <c r="CH85" s="220"/>
      <c r="CI85" s="220"/>
      <c r="CJ85" s="220"/>
      <c r="CK85" s="220"/>
      <c r="CL85" s="220"/>
      <c r="CM85" s="220"/>
      <c r="CN85" s="220"/>
      <c r="CO85" s="220"/>
      <c r="CP85" s="220"/>
      <c r="CQ85" s="220"/>
      <c r="CR85" s="220"/>
      <c r="CS85" s="220"/>
      <c r="CT85" s="220"/>
      <c r="CU85" s="220"/>
      <c r="CV85" s="220"/>
      <c r="CW85" s="220"/>
      <c r="CX85" s="220"/>
      <c r="CY85" s="220"/>
      <c r="CZ85" s="220"/>
      <c r="DA85" s="220"/>
      <c r="DB85" s="220"/>
      <c r="DC85" s="220"/>
      <c r="DD85" s="220"/>
      <c r="DE85" s="220"/>
      <c r="DF85" s="220"/>
      <c r="DG85" s="220"/>
      <c r="DH85" s="220"/>
      <c r="DI85" s="220"/>
      <c r="DJ85" s="220"/>
      <c r="DK85" s="220"/>
      <c r="DL85" s="220"/>
      <c r="DM85" s="220"/>
      <c r="DN85" s="220"/>
      <c r="DO85" s="220"/>
      <c r="DP85" s="220"/>
      <c r="DQ85" s="220"/>
    </row>
    <row r="86" spans="14:121" x14ac:dyDescent="0.25">
      <c r="N86" s="220"/>
      <c r="O86" s="220"/>
      <c r="P86" s="220"/>
      <c r="Q86" s="220"/>
      <c r="R86" s="220"/>
      <c r="S86" s="220"/>
      <c r="T86" s="220"/>
      <c r="U86" s="220"/>
      <c r="V86" s="220"/>
      <c r="W86" s="220"/>
      <c r="X86" s="220"/>
      <c r="Y86" s="220"/>
      <c r="Z86" s="220"/>
      <c r="AA86" s="220"/>
      <c r="AB86" s="220"/>
      <c r="AC86" s="220"/>
      <c r="AD86" s="220"/>
      <c r="AE86" s="220"/>
      <c r="AF86" s="220"/>
      <c r="AG86" s="220"/>
      <c r="AH86" s="220"/>
      <c r="AI86" s="220"/>
      <c r="AJ86" s="220"/>
      <c r="AK86" s="220"/>
      <c r="AL86" s="220"/>
      <c r="AM86" s="220"/>
      <c r="AN86" s="220"/>
      <c r="AO86" s="220"/>
      <c r="AP86" s="220"/>
      <c r="AQ86" s="220"/>
      <c r="AR86" s="220"/>
      <c r="AS86" s="220"/>
      <c r="AT86" s="220"/>
      <c r="AU86" s="220"/>
      <c r="AV86" s="220"/>
      <c r="AW86" s="220"/>
      <c r="AX86" s="220"/>
      <c r="AY86" s="220"/>
      <c r="AZ86" s="220"/>
      <c r="BA86" s="220"/>
      <c r="BB86" s="220"/>
      <c r="BC86" s="220"/>
      <c r="BD86" s="220"/>
      <c r="BE86" s="220"/>
      <c r="BF86" s="220"/>
      <c r="BG86" s="220"/>
      <c r="BH86" s="220"/>
      <c r="BI86" s="220"/>
      <c r="BJ86" s="220"/>
      <c r="BK86" s="220"/>
      <c r="BL86" s="220"/>
      <c r="BM86" s="220"/>
      <c r="BN86" s="220"/>
      <c r="BO86" s="220"/>
      <c r="BP86" s="220"/>
      <c r="BQ86" s="220"/>
      <c r="BR86" s="220"/>
      <c r="BS86" s="220"/>
      <c r="BT86" s="220"/>
      <c r="BU86" s="220"/>
      <c r="BV86" s="220"/>
      <c r="BW86" s="220"/>
      <c r="BX86" s="220"/>
      <c r="BY86" s="220"/>
      <c r="BZ86" s="220"/>
      <c r="CA86" s="220"/>
      <c r="CB86" s="220"/>
      <c r="CC86" s="220"/>
      <c r="CD86" s="220"/>
      <c r="CE86" s="220"/>
      <c r="CF86" s="220"/>
      <c r="CG86" s="220"/>
      <c r="CH86" s="220"/>
      <c r="CI86" s="220"/>
      <c r="CJ86" s="220"/>
      <c r="CK86" s="220"/>
      <c r="CL86" s="220"/>
      <c r="CM86" s="220"/>
      <c r="CN86" s="220"/>
      <c r="CO86" s="220"/>
      <c r="CP86" s="220"/>
      <c r="CQ86" s="220"/>
      <c r="CR86" s="220"/>
      <c r="CS86" s="220"/>
      <c r="CT86" s="220"/>
      <c r="CU86" s="220"/>
      <c r="CV86" s="220"/>
      <c r="CW86" s="220"/>
      <c r="CX86" s="220"/>
      <c r="CY86" s="220"/>
      <c r="CZ86" s="220"/>
      <c r="DA86" s="220"/>
      <c r="DB86" s="220"/>
      <c r="DC86" s="220"/>
      <c r="DD86" s="220"/>
      <c r="DE86" s="220"/>
      <c r="DF86" s="220"/>
      <c r="DG86" s="220"/>
      <c r="DH86" s="220"/>
      <c r="DI86" s="220"/>
      <c r="DJ86" s="220"/>
      <c r="DK86" s="220"/>
      <c r="DL86" s="220"/>
      <c r="DM86" s="220"/>
      <c r="DN86" s="220"/>
      <c r="DO86" s="220"/>
      <c r="DP86" s="220"/>
      <c r="DQ86" s="220"/>
    </row>
    <row r="87" spans="14:121" x14ac:dyDescent="0.25">
      <c r="N87" s="220"/>
      <c r="O87" s="220"/>
      <c r="P87" s="220"/>
      <c r="Q87" s="220"/>
      <c r="R87" s="220"/>
      <c r="S87" s="220"/>
      <c r="T87" s="220"/>
      <c r="U87" s="220"/>
      <c r="V87" s="220"/>
      <c r="W87" s="220"/>
      <c r="X87" s="220"/>
      <c r="Y87" s="220"/>
      <c r="Z87" s="220"/>
      <c r="AA87" s="220"/>
      <c r="AB87" s="220"/>
      <c r="AC87" s="220"/>
      <c r="AD87" s="220"/>
      <c r="AE87" s="220"/>
      <c r="AF87" s="220"/>
      <c r="AG87" s="220"/>
      <c r="AH87" s="220"/>
      <c r="AI87" s="220"/>
      <c r="AJ87" s="220"/>
      <c r="AK87" s="220"/>
      <c r="AL87" s="220"/>
      <c r="AM87" s="220"/>
      <c r="AN87" s="220"/>
      <c r="AO87" s="220"/>
      <c r="AP87" s="220"/>
      <c r="AQ87" s="220"/>
      <c r="AR87" s="220"/>
      <c r="AS87" s="220"/>
      <c r="AT87" s="220"/>
      <c r="AU87" s="220"/>
      <c r="AV87" s="220"/>
      <c r="AW87" s="220"/>
      <c r="AX87" s="220"/>
      <c r="AY87" s="220"/>
      <c r="AZ87" s="220"/>
      <c r="BA87" s="220"/>
      <c r="BB87" s="220"/>
      <c r="BC87" s="220"/>
      <c r="BD87" s="220"/>
      <c r="BE87" s="220"/>
      <c r="BF87" s="220"/>
      <c r="BG87" s="220"/>
      <c r="BH87" s="220"/>
      <c r="BI87" s="220"/>
      <c r="BJ87" s="220"/>
      <c r="BK87" s="220"/>
      <c r="BL87" s="220"/>
      <c r="BM87" s="220"/>
      <c r="BN87" s="220"/>
      <c r="BO87" s="220"/>
      <c r="BP87" s="220"/>
      <c r="BQ87" s="220"/>
      <c r="BR87" s="220"/>
      <c r="BS87" s="220"/>
      <c r="BT87" s="220"/>
      <c r="BU87" s="220"/>
      <c r="BV87" s="220"/>
      <c r="BW87" s="220"/>
      <c r="BX87" s="220"/>
      <c r="BY87" s="220"/>
      <c r="BZ87" s="220"/>
      <c r="CA87" s="220"/>
      <c r="CB87" s="220"/>
      <c r="CC87" s="220"/>
      <c r="CD87" s="220"/>
      <c r="CE87" s="220"/>
      <c r="CF87" s="220"/>
      <c r="CG87" s="220"/>
      <c r="CH87" s="220"/>
      <c r="CI87" s="220"/>
      <c r="CJ87" s="220"/>
      <c r="CK87" s="220"/>
      <c r="CL87" s="220"/>
      <c r="CM87" s="220"/>
      <c r="CN87" s="220"/>
      <c r="CO87" s="220"/>
      <c r="CP87" s="220"/>
      <c r="CQ87" s="220"/>
      <c r="CR87" s="220"/>
      <c r="CS87" s="220"/>
      <c r="CT87" s="220"/>
      <c r="CU87" s="220"/>
      <c r="CV87" s="220"/>
      <c r="CW87" s="220"/>
      <c r="CX87" s="220"/>
      <c r="CY87" s="220"/>
      <c r="CZ87" s="220"/>
      <c r="DA87" s="220"/>
      <c r="DB87" s="220"/>
      <c r="DC87" s="220"/>
      <c r="DD87" s="220"/>
      <c r="DE87" s="220"/>
      <c r="DF87" s="220"/>
      <c r="DG87" s="220"/>
      <c r="DH87" s="220"/>
      <c r="DI87" s="220"/>
      <c r="DJ87" s="220"/>
      <c r="DK87" s="220"/>
      <c r="DL87" s="220"/>
      <c r="DM87" s="220"/>
      <c r="DN87" s="220"/>
      <c r="DO87" s="220"/>
      <c r="DP87" s="220"/>
      <c r="DQ87" s="220"/>
    </row>
    <row r="88" spans="14:121" x14ac:dyDescent="0.25">
      <c r="N88" s="220"/>
      <c r="O88" s="220"/>
      <c r="P88" s="220"/>
      <c r="Q88" s="220"/>
      <c r="R88" s="220"/>
      <c r="S88" s="220"/>
      <c r="T88" s="220"/>
      <c r="U88" s="220"/>
      <c r="V88" s="220"/>
      <c r="W88" s="220"/>
      <c r="X88" s="220"/>
      <c r="Y88" s="220"/>
      <c r="Z88" s="220"/>
      <c r="AA88" s="220"/>
      <c r="AB88" s="220"/>
      <c r="AC88" s="220"/>
      <c r="AD88" s="220"/>
      <c r="AE88" s="220"/>
      <c r="AF88" s="220"/>
      <c r="AG88" s="220"/>
      <c r="AH88" s="220"/>
      <c r="AI88" s="220"/>
      <c r="AJ88" s="220"/>
      <c r="AK88" s="220"/>
      <c r="AL88" s="220"/>
      <c r="AM88" s="220"/>
      <c r="AN88" s="220"/>
      <c r="AO88" s="220"/>
      <c r="AP88" s="220"/>
      <c r="AQ88" s="220"/>
      <c r="AR88" s="220"/>
      <c r="AS88" s="220"/>
      <c r="AT88" s="220"/>
      <c r="AU88" s="220"/>
      <c r="AV88" s="220"/>
      <c r="AW88" s="220"/>
      <c r="AX88" s="220"/>
      <c r="AY88" s="220"/>
      <c r="AZ88" s="220"/>
      <c r="BA88" s="220"/>
      <c r="BB88" s="220"/>
      <c r="BC88" s="220"/>
      <c r="BD88" s="220"/>
      <c r="BE88" s="220"/>
      <c r="BF88" s="220"/>
      <c r="BG88" s="220"/>
      <c r="BH88" s="220"/>
      <c r="BI88" s="220"/>
      <c r="BJ88" s="220"/>
      <c r="BK88" s="220"/>
      <c r="BL88" s="220"/>
      <c r="BM88" s="220"/>
      <c r="BN88" s="220"/>
      <c r="BO88" s="220"/>
      <c r="BP88" s="220"/>
      <c r="BQ88" s="220"/>
      <c r="BR88" s="220"/>
      <c r="BS88" s="220"/>
      <c r="BT88" s="220"/>
      <c r="BU88" s="220"/>
      <c r="BV88" s="220"/>
      <c r="BW88" s="220"/>
      <c r="BX88" s="220"/>
      <c r="BY88" s="220"/>
      <c r="BZ88" s="220"/>
      <c r="CA88" s="220"/>
      <c r="CB88" s="220"/>
      <c r="CC88" s="220"/>
      <c r="CD88" s="220"/>
      <c r="CE88" s="220"/>
      <c r="CF88" s="220"/>
      <c r="CG88" s="220"/>
      <c r="CH88" s="220"/>
      <c r="CI88" s="220"/>
      <c r="CJ88" s="220"/>
      <c r="CK88" s="220"/>
      <c r="CL88" s="220"/>
      <c r="CM88" s="220"/>
      <c r="CN88" s="220"/>
      <c r="CO88" s="220"/>
      <c r="CP88" s="220"/>
      <c r="CQ88" s="220"/>
      <c r="CR88" s="220"/>
      <c r="CS88" s="220"/>
      <c r="CT88" s="220"/>
      <c r="CU88" s="220"/>
      <c r="CV88" s="220"/>
      <c r="CW88" s="220"/>
      <c r="CX88" s="220"/>
      <c r="CY88" s="220"/>
      <c r="CZ88" s="220"/>
      <c r="DA88" s="220"/>
      <c r="DB88" s="220"/>
      <c r="DC88" s="220"/>
      <c r="DD88" s="220"/>
      <c r="DE88" s="220"/>
      <c r="DF88" s="220"/>
      <c r="DG88" s="220"/>
      <c r="DH88" s="220"/>
      <c r="DI88" s="220"/>
      <c r="DJ88" s="220"/>
      <c r="DK88" s="220"/>
      <c r="DL88" s="220"/>
      <c r="DM88" s="220"/>
      <c r="DN88" s="220"/>
      <c r="DO88" s="220"/>
      <c r="DP88" s="220"/>
      <c r="DQ88" s="220"/>
    </row>
    <row r="89" spans="14:121" x14ac:dyDescent="0.25">
      <c r="N89" s="220"/>
      <c r="O89" s="220"/>
      <c r="P89" s="220"/>
      <c r="Q89" s="220"/>
      <c r="R89" s="220"/>
      <c r="S89" s="220"/>
      <c r="T89" s="220"/>
      <c r="U89" s="220"/>
      <c r="V89" s="220"/>
      <c r="W89" s="220"/>
      <c r="X89" s="220"/>
      <c r="Y89" s="220"/>
      <c r="Z89" s="220"/>
      <c r="AA89" s="220"/>
      <c r="AB89" s="220"/>
      <c r="AC89" s="220"/>
      <c r="AD89" s="220"/>
      <c r="AE89" s="220"/>
      <c r="AF89" s="220"/>
      <c r="AG89" s="220"/>
      <c r="AH89" s="220"/>
      <c r="AI89" s="220"/>
      <c r="AJ89" s="220"/>
      <c r="AK89" s="220"/>
      <c r="AL89" s="220"/>
      <c r="AM89" s="220"/>
      <c r="AN89" s="220"/>
      <c r="AO89" s="220"/>
      <c r="AP89" s="220"/>
      <c r="AQ89" s="220"/>
      <c r="AR89" s="220"/>
      <c r="AS89" s="220"/>
      <c r="AT89" s="220"/>
      <c r="AU89" s="220"/>
      <c r="AV89" s="220"/>
      <c r="AW89" s="220"/>
      <c r="AX89" s="220"/>
      <c r="AY89" s="220"/>
      <c r="AZ89" s="220"/>
      <c r="BA89" s="220"/>
      <c r="BB89" s="220"/>
      <c r="BC89" s="220"/>
      <c r="BD89" s="220"/>
      <c r="BE89" s="220"/>
      <c r="BF89" s="220"/>
      <c r="BG89" s="220"/>
      <c r="BH89" s="220"/>
      <c r="BI89" s="220"/>
      <c r="BJ89" s="220"/>
      <c r="BK89" s="220"/>
      <c r="BL89" s="220"/>
      <c r="BM89" s="220"/>
      <c r="BN89" s="220"/>
      <c r="BO89" s="220"/>
      <c r="BP89" s="220"/>
      <c r="BQ89" s="220"/>
      <c r="BR89" s="220"/>
      <c r="BS89" s="220"/>
      <c r="BT89" s="220"/>
      <c r="BU89" s="220"/>
      <c r="BV89" s="220"/>
      <c r="BW89" s="220"/>
      <c r="BX89" s="220"/>
      <c r="BY89" s="220"/>
      <c r="BZ89" s="220"/>
      <c r="CA89" s="220"/>
      <c r="CB89" s="220"/>
      <c r="CC89" s="220"/>
      <c r="CD89" s="220"/>
      <c r="CE89" s="220"/>
      <c r="CF89" s="220"/>
      <c r="CG89" s="220"/>
      <c r="CH89" s="220"/>
      <c r="CI89" s="220"/>
      <c r="CJ89" s="220"/>
      <c r="CK89" s="220"/>
      <c r="CL89" s="220"/>
      <c r="CM89" s="220"/>
      <c r="CN89" s="220"/>
      <c r="CO89" s="220"/>
      <c r="CP89" s="220"/>
      <c r="CQ89" s="220"/>
      <c r="CR89" s="220"/>
      <c r="CS89" s="220"/>
      <c r="CT89" s="220"/>
      <c r="CU89" s="220"/>
      <c r="CV89" s="220"/>
      <c r="CW89" s="220"/>
      <c r="CX89" s="220"/>
      <c r="CY89" s="220"/>
      <c r="CZ89" s="220"/>
      <c r="DA89" s="220"/>
      <c r="DB89" s="220"/>
      <c r="DC89" s="220"/>
      <c r="DD89" s="220"/>
      <c r="DE89" s="220"/>
      <c r="DF89" s="220"/>
      <c r="DG89" s="220"/>
      <c r="DH89" s="220"/>
      <c r="DI89" s="220"/>
      <c r="DJ89" s="220"/>
      <c r="DK89" s="220"/>
      <c r="DL89" s="220"/>
      <c r="DM89" s="220"/>
      <c r="DN89" s="220"/>
      <c r="DO89" s="220"/>
      <c r="DP89" s="220"/>
      <c r="DQ89" s="220"/>
    </row>
    <row r="90" spans="14:121" x14ac:dyDescent="0.25">
      <c r="N90" s="220"/>
      <c r="O90" s="220"/>
      <c r="P90" s="220"/>
      <c r="Q90" s="220"/>
      <c r="R90" s="220"/>
      <c r="S90" s="220"/>
      <c r="T90" s="220"/>
      <c r="U90" s="220"/>
      <c r="V90" s="220"/>
      <c r="W90" s="220"/>
      <c r="X90" s="220"/>
      <c r="Y90" s="220"/>
      <c r="Z90" s="220"/>
      <c r="AA90" s="220"/>
      <c r="AB90" s="220"/>
      <c r="AC90" s="220"/>
      <c r="AD90" s="220"/>
      <c r="AE90" s="220"/>
      <c r="AF90" s="220"/>
      <c r="AG90" s="220"/>
      <c r="AH90" s="220"/>
      <c r="AI90" s="220"/>
      <c r="AJ90" s="220"/>
      <c r="AK90" s="220"/>
      <c r="AL90" s="220"/>
      <c r="AM90" s="220"/>
      <c r="AN90" s="220"/>
      <c r="AO90" s="220"/>
      <c r="AP90" s="220"/>
      <c r="AQ90" s="220"/>
      <c r="AR90" s="220"/>
      <c r="AS90" s="220"/>
      <c r="AT90" s="220"/>
      <c r="AU90" s="220"/>
      <c r="AV90" s="220"/>
      <c r="AW90" s="220"/>
      <c r="AX90" s="220"/>
      <c r="AY90" s="220"/>
      <c r="AZ90" s="220"/>
      <c r="BA90" s="220"/>
      <c r="BB90" s="220"/>
      <c r="BC90" s="220"/>
      <c r="BD90" s="220"/>
      <c r="BE90" s="220"/>
      <c r="BF90" s="220"/>
      <c r="BG90" s="220"/>
      <c r="BH90" s="220"/>
      <c r="BI90" s="220"/>
      <c r="BJ90" s="220"/>
      <c r="BK90" s="220"/>
      <c r="BL90" s="220"/>
      <c r="BM90" s="220"/>
      <c r="BN90" s="220"/>
      <c r="BO90" s="220"/>
      <c r="BP90" s="220"/>
      <c r="BQ90" s="220"/>
      <c r="BR90" s="220"/>
      <c r="BS90" s="220"/>
      <c r="BT90" s="220"/>
      <c r="BU90" s="220"/>
      <c r="BV90" s="220"/>
      <c r="BW90" s="220"/>
      <c r="BX90" s="220"/>
      <c r="BY90" s="220"/>
      <c r="BZ90" s="220"/>
      <c r="CA90" s="220"/>
      <c r="CB90" s="220"/>
      <c r="CC90" s="220"/>
      <c r="CD90" s="220"/>
      <c r="CE90" s="220"/>
      <c r="CF90" s="220"/>
      <c r="CG90" s="220"/>
      <c r="CH90" s="220"/>
      <c r="CI90" s="220"/>
      <c r="CJ90" s="220"/>
      <c r="CK90" s="220"/>
      <c r="CL90" s="220"/>
      <c r="CM90" s="220"/>
      <c r="CN90" s="220"/>
      <c r="CO90" s="220"/>
      <c r="CP90" s="220"/>
      <c r="CQ90" s="220"/>
      <c r="CR90" s="220"/>
      <c r="CS90" s="220"/>
      <c r="CT90" s="220"/>
      <c r="CU90" s="220"/>
      <c r="CV90" s="220"/>
      <c r="CW90" s="220"/>
      <c r="CX90" s="220"/>
      <c r="CY90" s="220"/>
      <c r="CZ90" s="220"/>
      <c r="DA90" s="220"/>
      <c r="DB90" s="220"/>
      <c r="DC90" s="220"/>
      <c r="DD90" s="220"/>
      <c r="DE90" s="220"/>
      <c r="DF90" s="220"/>
      <c r="DG90" s="220"/>
      <c r="DH90" s="220"/>
      <c r="DI90" s="220"/>
      <c r="DJ90" s="220"/>
      <c r="DK90" s="220"/>
      <c r="DL90" s="220"/>
      <c r="DM90" s="220"/>
      <c r="DN90" s="220"/>
      <c r="DO90" s="220"/>
      <c r="DP90" s="220"/>
      <c r="DQ90" s="220"/>
    </row>
    <row r="91" spans="14:121" x14ac:dyDescent="0.25">
      <c r="N91" s="220"/>
      <c r="O91" s="220"/>
      <c r="P91" s="220"/>
      <c r="Q91" s="220"/>
      <c r="R91" s="220"/>
      <c r="S91" s="220"/>
      <c r="T91" s="220"/>
      <c r="U91" s="220"/>
      <c r="V91" s="220"/>
      <c r="W91" s="220"/>
      <c r="X91" s="220"/>
      <c r="Y91" s="220"/>
      <c r="Z91" s="220"/>
      <c r="AA91" s="220"/>
      <c r="AB91" s="220"/>
      <c r="AC91" s="220"/>
      <c r="AD91" s="220"/>
      <c r="AE91" s="220"/>
      <c r="AF91" s="220"/>
      <c r="AG91" s="220"/>
      <c r="AH91" s="220"/>
      <c r="AI91" s="220"/>
      <c r="AJ91" s="220"/>
      <c r="AK91" s="220"/>
      <c r="AL91" s="220"/>
      <c r="AM91" s="220"/>
      <c r="AN91" s="220"/>
      <c r="AO91" s="220"/>
      <c r="AP91" s="220"/>
      <c r="AQ91" s="220"/>
      <c r="AR91" s="220"/>
      <c r="AS91" s="220"/>
      <c r="AT91" s="220"/>
      <c r="AU91" s="220"/>
      <c r="AV91" s="220"/>
      <c r="AW91" s="220"/>
      <c r="AX91" s="220"/>
      <c r="AY91" s="220"/>
      <c r="AZ91" s="220"/>
      <c r="BA91" s="220"/>
      <c r="BB91" s="220"/>
      <c r="BC91" s="220"/>
      <c r="BD91" s="220"/>
      <c r="BE91" s="220"/>
      <c r="BF91" s="220"/>
      <c r="BG91" s="220"/>
      <c r="BH91" s="220"/>
      <c r="BI91" s="220"/>
      <c r="BJ91" s="220"/>
      <c r="BK91" s="220"/>
      <c r="BL91" s="220"/>
      <c r="BM91" s="220"/>
      <c r="BN91" s="220"/>
      <c r="BO91" s="220"/>
      <c r="BP91" s="220"/>
      <c r="BQ91" s="220"/>
      <c r="BR91" s="220"/>
      <c r="BS91" s="220"/>
      <c r="BT91" s="220"/>
      <c r="BU91" s="220"/>
      <c r="BV91" s="220"/>
      <c r="BW91" s="220"/>
      <c r="BX91" s="220"/>
      <c r="BY91" s="220"/>
      <c r="BZ91" s="220"/>
      <c r="CA91" s="220"/>
      <c r="CB91" s="220"/>
      <c r="CC91" s="220"/>
      <c r="CD91" s="220"/>
      <c r="CE91" s="220"/>
      <c r="CF91" s="220"/>
      <c r="CG91" s="220"/>
      <c r="CH91" s="220"/>
      <c r="CI91" s="220"/>
      <c r="CJ91" s="220"/>
      <c r="CK91" s="220"/>
      <c r="CL91" s="220"/>
      <c r="CM91" s="220"/>
      <c r="CN91" s="220"/>
      <c r="CO91" s="220"/>
      <c r="CP91" s="220"/>
      <c r="CQ91" s="220"/>
      <c r="CR91" s="220"/>
      <c r="CS91" s="220"/>
      <c r="CT91" s="220"/>
      <c r="CU91" s="220"/>
      <c r="CV91" s="220"/>
      <c r="CW91" s="220"/>
      <c r="CX91" s="220"/>
      <c r="CY91" s="220"/>
      <c r="CZ91" s="220"/>
      <c r="DA91" s="220"/>
      <c r="DB91" s="220"/>
      <c r="DC91" s="220"/>
      <c r="DD91" s="220"/>
      <c r="DE91" s="220"/>
      <c r="DF91" s="220"/>
      <c r="DG91" s="220"/>
      <c r="DH91" s="220"/>
      <c r="DI91" s="220"/>
      <c r="DJ91" s="220"/>
      <c r="DK91" s="220"/>
      <c r="DL91" s="220"/>
      <c r="DM91" s="220"/>
      <c r="DN91" s="220"/>
      <c r="DO91" s="220"/>
      <c r="DP91" s="220"/>
      <c r="DQ91" s="220"/>
    </row>
    <row r="92" spans="14:121" x14ac:dyDescent="0.25">
      <c r="N92" s="220"/>
      <c r="O92" s="220"/>
      <c r="P92" s="220"/>
      <c r="Q92" s="220"/>
      <c r="R92" s="220"/>
      <c r="S92" s="220"/>
      <c r="T92" s="220"/>
      <c r="U92" s="220"/>
      <c r="V92" s="220"/>
      <c r="W92" s="220"/>
      <c r="X92" s="220"/>
      <c r="Y92" s="220"/>
      <c r="Z92" s="220"/>
      <c r="AA92" s="220"/>
      <c r="AB92" s="220"/>
      <c r="AC92" s="220"/>
      <c r="AD92" s="220"/>
      <c r="AE92" s="220"/>
      <c r="AF92" s="220"/>
      <c r="AG92" s="220"/>
      <c r="AH92" s="220"/>
      <c r="AI92" s="220"/>
      <c r="AJ92" s="220"/>
      <c r="AK92" s="220"/>
      <c r="AL92" s="220"/>
      <c r="AM92" s="220"/>
      <c r="AN92" s="220"/>
      <c r="AO92" s="220"/>
      <c r="AP92" s="220"/>
      <c r="AQ92" s="220"/>
      <c r="AR92" s="220"/>
      <c r="AS92" s="220"/>
      <c r="AT92" s="220"/>
      <c r="AU92" s="220"/>
      <c r="AV92" s="220"/>
      <c r="AW92" s="220"/>
      <c r="AX92" s="220"/>
      <c r="AY92" s="220"/>
      <c r="AZ92" s="220"/>
      <c r="BA92" s="220"/>
      <c r="BB92" s="220"/>
      <c r="BC92" s="220"/>
      <c r="BD92" s="220"/>
      <c r="BE92" s="220"/>
      <c r="BF92" s="220"/>
      <c r="BG92" s="220"/>
      <c r="BH92" s="220"/>
      <c r="BI92" s="220"/>
      <c r="BJ92" s="220"/>
      <c r="BK92" s="220"/>
      <c r="BL92" s="220"/>
      <c r="BM92" s="220"/>
      <c r="BN92" s="220"/>
      <c r="BO92" s="220"/>
      <c r="BP92" s="220"/>
      <c r="BQ92" s="220"/>
      <c r="BR92" s="220"/>
      <c r="BS92" s="220"/>
      <c r="BT92" s="220"/>
      <c r="BU92" s="220"/>
      <c r="BV92" s="220"/>
      <c r="BW92" s="220"/>
      <c r="BX92" s="220"/>
      <c r="BY92" s="220"/>
      <c r="BZ92" s="220"/>
      <c r="CA92" s="220"/>
      <c r="CB92" s="220"/>
      <c r="CC92" s="220"/>
      <c r="CD92" s="220"/>
      <c r="CE92" s="220"/>
      <c r="CF92" s="220"/>
      <c r="CG92" s="220"/>
      <c r="CH92" s="220"/>
      <c r="CI92" s="220"/>
      <c r="CJ92" s="220"/>
      <c r="CK92" s="220"/>
      <c r="CL92" s="220"/>
      <c r="CM92" s="220"/>
      <c r="CN92" s="220"/>
      <c r="CO92" s="220"/>
      <c r="CP92" s="220"/>
      <c r="CQ92" s="220"/>
      <c r="CR92" s="220"/>
      <c r="CS92" s="220"/>
      <c r="CT92" s="220"/>
      <c r="CU92" s="220"/>
      <c r="CV92" s="220"/>
      <c r="CW92" s="220"/>
      <c r="CX92" s="220"/>
      <c r="CY92" s="220"/>
      <c r="CZ92" s="220"/>
      <c r="DA92" s="220"/>
      <c r="DB92" s="220"/>
      <c r="DC92" s="220"/>
      <c r="DD92" s="220"/>
      <c r="DE92" s="220"/>
      <c r="DF92" s="220"/>
      <c r="DG92" s="220"/>
      <c r="DH92" s="220"/>
      <c r="DI92" s="220"/>
      <c r="DJ92" s="220"/>
      <c r="DK92" s="220"/>
      <c r="DL92" s="220"/>
      <c r="DM92" s="220"/>
      <c r="DN92" s="220"/>
      <c r="DO92" s="220"/>
      <c r="DP92" s="220"/>
      <c r="DQ92" s="220"/>
    </row>
    <row r="93" spans="14:121" x14ac:dyDescent="0.25">
      <c r="N93" s="220"/>
      <c r="O93" s="220"/>
      <c r="P93" s="220"/>
      <c r="Q93" s="220"/>
      <c r="R93" s="220"/>
      <c r="S93" s="220"/>
      <c r="T93" s="220"/>
      <c r="U93" s="220"/>
      <c r="V93" s="220"/>
      <c r="W93" s="220"/>
      <c r="X93" s="220"/>
      <c r="Y93" s="220"/>
      <c r="Z93" s="220"/>
      <c r="AA93" s="220"/>
      <c r="AB93" s="220"/>
      <c r="AC93" s="220"/>
      <c r="AD93" s="220"/>
      <c r="AE93" s="220"/>
      <c r="AF93" s="220"/>
      <c r="AG93" s="220"/>
      <c r="AH93" s="220"/>
      <c r="AI93" s="220"/>
      <c r="AJ93" s="220"/>
      <c r="AK93" s="220"/>
      <c r="AL93" s="220"/>
      <c r="AM93" s="220"/>
      <c r="AN93" s="220"/>
      <c r="AO93" s="220"/>
      <c r="AP93" s="220"/>
      <c r="AQ93" s="220"/>
      <c r="AR93" s="220"/>
      <c r="AS93" s="220"/>
      <c r="AT93" s="220"/>
      <c r="AU93" s="220"/>
      <c r="AV93" s="220"/>
      <c r="AW93" s="220"/>
      <c r="AX93" s="220"/>
      <c r="AY93" s="220"/>
      <c r="AZ93" s="220"/>
      <c r="BA93" s="220"/>
      <c r="BB93" s="220"/>
      <c r="BC93" s="220"/>
      <c r="BD93" s="220"/>
      <c r="BE93" s="220"/>
      <c r="BF93" s="220"/>
      <c r="BG93" s="220"/>
      <c r="BH93" s="220"/>
      <c r="BI93" s="220"/>
      <c r="BJ93" s="220"/>
      <c r="BK93" s="220"/>
      <c r="BL93" s="220"/>
      <c r="BM93" s="220"/>
      <c r="BN93" s="220"/>
      <c r="BO93" s="220"/>
      <c r="BP93" s="220"/>
      <c r="BQ93" s="220"/>
      <c r="BR93" s="220"/>
      <c r="BS93" s="220"/>
      <c r="BT93" s="220"/>
      <c r="BU93" s="220"/>
      <c r="BV93" s="220"/>
      <c r="BW93" s="220"/>
      <c r="BX93" s="220"/>
      <c r="BY93" s="220"/>
      <c r="BZ93" s="220"/>
      <c r="CA93" s="220"/>
      <c r="CB93" s="220"/>
      <c r="CC93" s="220"/>
      <c r="CD93" s="220"/>
      <c r="CE93" s="220"/>
      <c r="CF93" s="220"/>
      <c r="CG93" s="220"/>
      <c r="CH93" s="220"/>
      <c r="CI93" s="220"/>
      <c r="CJ93" s="220"/>
      <c r="CK93" s="220"/>
      <c r="CL93" s="220"/>
      <c r="CM93" s="220"/>
      <c r="CN93" s="220"/>
      <c r="CO93" s="220"/>
      <c r="CP93" s="220"/>
      <c r="CQ93" s="220"/>
      <c r="CR93" s="220"/>
      <c r="CS93" s="220"/>
      <c r="CT93" s="220"/>
      <c r="CU93" s="220"/>
      <c r="CV93" s="220"/>
      <c r="CW93" s="220"/>
      <c r="CX93" s="220"/>
      <c r="CY93" s="220"/>
      <c r="CZ93" s="220"/>
      <c r="DA93" s="220"/>
      <c r="DB93" s="220"/>
      <c r="DC93" s="220"/>
      <c r="DD93" s="220"/>
      <c r="DE93" s="220"/>
      <c r="DF93" s="220"/>
      <c r="DG93" s="220"/>
      <c r="DH93" s="220"/>
      <c r="DI93" s="220"/>
      <c r="DJ93" s="220"/>
      <c r="DK93" s="220"/>
      <c r="DL93" s="220"/>
      <c r="DM93" s="220"/>
      <c r="DN93" s="220"/>
      <c r="DO93" s="220"/>
      <c r="DP93" s="220"/>
      <c r="DQ93" s="220"/>
    </row>
    <row r="94" spans="14:121" x14ac:dyDescent="0.25">
      <c r="N94" s="220"/>
      <c r="O94" s="220"/>
      <c r="P94" s="220"/>
      <c r="Q94" s="220"/>
      <c r="R94" s="220"/>
      <c r="S94" s="220"/>
      <c r="T94" s="220"/>
      <c r="U94" s="220"/>
      <c r="V94" s="220"/>
      <c r="W94" s="220"/>
      <c r="X94" s="220"/>
      <c r="Y94" s="220"/>
      <c r="Z94" s="220"/>
      <c r="AA94" s="220"/>
      <c r="AB94" s="220"/>
      <c r="AC94" s="220"/>
      <c r="AD94" s="220"/>
      <c r="AE94" s="220"/>
      <c r="AF94" s="220"/>
      <c r="AG94" s="220"/>
      <c r="AH94" s="220"/>
      <c r="AI94" s="220"/>
      <c r="AJ94" s="220"/>
      <c r="AK94" s="220"/>
      <c r="AL94" s="220"/>
      <c r="AM94" s="220"/>
      <c r="AN94" s="220"/>
      <c r="AO94" s="220"/>
      <c r="AP94" s="220"/>
      <c r="AQ94" s="220"/>
      <c r="AR94" s="220"/>
      <c r="AS94" s="220"/>
      <c r="AT94" s="220"/>
      <c r="AU94" s="220"/>
      <c r="AV94" s="220"/>
      <c r="AW94" s="220"/>
      <c r="AX94" s="220"/>
      <c r="AY94" s="220"/>
      <c r="AZ94" s="220"/>
      <c r="BA94" s="220"/>
      <c r="BB94" s="220"/>
      <c r="BC94" s="220"/>
      <c r="BD94" s="220"/>
      <c r="BE94" s="220"/>
      <c r="BF94" s="220"/>
      <c r="BG94" s="220"/>
      <c r="BH94" s="220"/>
      <c r="BI94" s="220"/>
      <c r="BJ94" s="220"/>
      <c r="BK94" s="220"/>
      <c r="BL94" s="220"/>
      <c r="BM94" s="220"/>
      <c r="BN94" s="220"/>
      <c r="BO94" s="220"/>
      <c r="BP94" s="220"/>
      <c r="BQ94" s="220"/>
      <c r="BR94" s="220"/>
      <c r="BS94" s="220"/>
      <c r="BT94" s="220"/>
      <c r="BU94" s="220"/>
      <c r="BV94" s="220"/>
      <c r="BW94" s="220"/>
      <c r="BX94" s="220"/>
      <c r="BY94" s="220"/>
      <c r="BZ94" s="220"/>
      <c r="CA94" s="220"/>
      <c r="CB94" s="220"/>
      <c r="CC94" s="220"/>
      <c r="CD94" s="220"/>
      <c r="CE94" s="220"/>
      <c r="CF94" s="220"/>
      <c r="CG94" s="220"/>
      <c r="CH94" s="220"/>
      <c r="CI94" s="220"/>
      <c r="CJ94" s="220"/>
      <c r="CK94" s="220"/>
      <c r="CL94" s="220"/>
      <c r="CM94" s="220"/>
      <c r="CN94" s="220"/>
      <c r="CO94" s="220"/>
      <c r="CP94" s="220"/>
      <c r="CQ94" s="220"/>
      <c r="CR94" s="220"/>
      <c r="CS94" s="220"/>
      <c r="CT94" s="220"/>
      <c r="CU94" s="220"/>
      <c r="CV94" s="220"/>
      <c r="CW94" s="220"/>
      <c r="CX94" s="220"/>
      <c r="CY94" s="220"/>
      <c r="CZ94" s="220"/>
      <c r="DA94" s="220"/>
      <c r="DB94" s="220"/>
      <c r="DC94" s="220"/>
      <c r="DD94" s="220"/>
      <c r="DE94" s="220"/>
      <c r="DF94" s="220"/>
      <c r="DG94" s="220"/>
      <c r="DH94" s="220"/>
      <c r="DI94" s="220"/>
      <c r="DJ94" s="220"/>
      <c r="DK94" s="220"/>
      <c r="DL94" s="220"/>
      <c r="DM94" s="220"/>
      <c r="DN94" s="220"/>
      <c r="DO94" s="220"/>
      <c r="DP94" s="220"/>
      <c r="DQ94" s="220"/>
    </row>
    <row r="95" spans="14:121" x14ac:dyDescent="0.25">
      <c r="N95" s="220"/>
      <c r="O95" s="220"/>
      <c r="P95" s="220"/>
      <c r="Q95" s="220"/>
      <c r="R95" s="220"/>
      <c r="S95" s="220"/>
      <c r="T95" s="220"/>
      <c r="U95" s="220"/>
      <c r="V95" s="220"/>
      <c r="W95" s="220"/>
      <c r="X95" s="220"/>
      <c r="Y95" s="220"/>
      <c r="Z95" s="220"/>
      <c r="AA95" s="220"/>
      <c r="AB95" s="220"/>
      <c r="AC95" s="220"/>
      <c r="AD95" s="220"/>
      <c r="AE95" s="220"/>
      <c r="AF95" s="220"/>
      <c r="AG95" s="220"/>
      <c r="AH95" s="220"/>
      <c r="AI95" s="220"/>
      <c r="AJ95" s="220"/>
      <c r="AK95" s="220"/>
      <c r="AL95" s="220"/>
      <c r="AM95" s="220"/>
      <c r="AN95" s="220"/>
      <c r="AO95" s="220"/>
      <c r="AP95" s="220"/>
      <c r="AQ95" s="220"/>
      <c r="AR95" s="220"/>
      <c r="AS95" s="220"/>
      <c r="AT95" s="220"/>
      <c r="AU95" s="220"/>
      <c r="AV95" s="220"/>
      <c r="AW95" s="220"/>
      <c r="AX95" s="220"/>
      <c r="AY95" s="220"/>
      <c r="AZ95" s="220"/>
      <c r="BA95" s="220"/>
      <c r="BB95" s="220"/>
      <c r="BC95" s="220"/>
      <c r="BD95" s="220"/>
      <c r="BE95" s="220"/>
      <c r="BF95" s="220"/>
      <c r="BG95" s="220"/>
      <c r="BH95" s="220"/>
      <c r="BI95" s="220"/>
      <c r="BJ95" s="220"/>
      <c r="BK95" s="220"/>
      <c r="BL95" s="220"/>
      <c r="BM95" s="220"/>
      <c r="BN95" s="220"/>
      <c r="BO95" s="220"/>
      <c r="BP95" s="220"/>
      <c r="BQ95" s="220"/>
      <c r="BR95" s="220"/>
      <c r="BS95" s="220"/>
      <c r="BT95" s="220"/>
      <c r="BU95" s="220"/>
      <c r="BV95" s="220"/>
      <c r="BW95" s="220"/>
      <c r="BX95" s="220"/>
      <c r="BY95" s="220"/>
      <c r="BZ95" s="220"/>
      <c r="CA95" s="220"/>
      <c r="CB95" s="220"/>
      <c r="CC95" s="220"/>
      <c r="CD95" s="220"/>
      <c r="CE95" s="220"/>
      <c r="CF95" s="220"/>
      <c r="CG95" s="220"/>
      <c r="CH95" s="220"/>
      <c r="CI95" s="220"/>
      <c r="CJ95" s="220"/>
      <c r="CK95" s="220"/>
      <c r="CL95" s="220"/>
      <c r="CM95" s="220"/>
      <c r="CN95" s="220"/>
      <c r="CO95" s="220"/>
      <c r="CP95" s="220"/>
      <c r="CQ95" s="220"/>
      <c r="CR95" s="220"/>
      <c r="CS95" s="220"/>
      <c r="CT95" s="220"/>
      <c r="CU95" s="220"/>
      <c r="CV95" s="220"/>
      <c r="CW95" s="220"/>
      <c r="CX95" s="220"/>
      <c r="CY95" s="220"/>
      <c r="CZ95" s="220"/>
      <c r="DA95" s="220"/>
      <c r="DB95" s="220"/>
      <c r="DC95" s="220"/>
      <c r="DD95" s="220"/>
      <c r="DE95" s="220"/>
      <c r="DF95" s="220"/>
      <c r="DG95" s="220"/>
      <c r="DH95" s="220"/>
      <c r="DI95" s="220"/>
      <c r="DJ95" s="220"/>
      <c r="DK95" s="220"/>
      <c r="DL95" s="220"/>
      <c r="DM95" s="220"/>
      <c r="DN95" s="220"/>
      <c r="DO95" s="220"/>
      <c r="DP95" s="220"/>
      <c r="DQ95" s="220"/>
    </row>
    <row r="96" spans="14:121" x14ac:dyDescent="0.25">
      <c r="N96" s="220"/>
      <c r="O96" s="220"/>
      <c r="P96" s="220"/>
      <c r="Q96" s="220"/>
      <c r="R96" s="220"/>
      <c r="S96" s="220"/>
      <c r="T96" s="220"/>
      <c r="U96" s="220"/>
      <c r="V96" s="220"/>
      <c r="W96" s="220"/>
      <c r="X96" s="220"/>
      <c r="Y96" s="220"/>
      <c r="Z96" s="220"/>
      <c r="AA96" s="220"/>
      <c r="AB96" s="220"/>
      <c r="AC96" s="220"/>
      <c r="AD96" s="220"/>
      <c r="AE96" s="220"/>
      <c r="AF96" s="220"/>
      <c r="AG96" s="220"/>
      <c r="AH96" s="220"/>
      <c r="AI96" s="220"/>
      <c r="AJ96" s="220"/>
      <c r="AK96" s="220"/>
      <c r="AL96" s="220"/>
      <c r="AM96" s="220"/>
      <c r="AN96" s="220"/>
      <c r="AO96" s="220"/>
      <c r="AP96" s="220"/>
      <c r="AQ96" s="220"/>
      <c r="AR96" s="220"/>
      <c r="AS96" s="220"/>
      <c r="AT96" s="220"/>
      <c r="AU96" s="220"/>
      <c r="AV96" s="220"/>
      <c r="AW96" s="220"/>
      <c r="AX96" s="220"/>
      <c r="AY96" s="220"/>
      <c r="AZ96" s="220"/>
      <c r="BA96" s="220"/>
      <c r="BB96" s="220"/>
      <c r="BC96" s="220"/>
      <c r="BD96" s="220"/>
      <c r="BE96" s="220"/>
      <c r="BF96" s="220"/>
      <c r="BG96" s="220"/>
      <c r="BH96" s="220"/>
      <c r="BI96" s="220"/>
      <c r="BJ96" s="220"/>
      <c r="BK96" s="220"/>
      <c r="BL96" s="220"/>
      <c r="BM96" s="220"/>
      <c r="BN96" s="220"/>
      <c r="BO96" s="220"/>
      <c r="BP96" s="220"/>
      <c r="BQ96" s="220"/>
      <c r="BR96" s="220"/>
      <c r="BS96" s="220"/>
      <c r="BT96" s="220"/>
      <c r="BU96" s="220"/>
      <c r="BV96" s="220"/>
      <c r="BW96" s="220"/>
      <c r="BX96" s="220"/>
      <c r="BY96" s="220"/>
      <c r="BZ96" s="220"/>
      <c r="CA96" s="220"/>
      <c r="CB96" s="220"/>
      <c r="CC96" s="220"/>
      <c r="CD96" s="220"/>
      <c r="CE96" s="220"/>
      <c r="CF96" s="220"/>
      <c r="CG96" s="220"/>
      <c r="CH96" s="220"/>
      <c r="CI96" s="220"/>
      <c r="CJ96" s="220"/>
      <c r="CK96" s="220"/>
      <c r="CL96" s="220"/>
      <c r="CM96" s="220"/>
      <c r="CN96" s="220"/>
      <c r="CO96" s="220"/>
      <c r="CP96" s="220"/>
      <c r="CQ96" s="220"/>
      <c r="CR96" s="220"/>
      <c r="CS96" s="220"/>
      <c r="CT96" s="220"/>
      <c r="CU96" s="220"/>
      <c r="CV96" s="220"/>
      <c r="CW96" s="220"/>
      <c r="CX96" s="220"/>
      <c r="CY96" s="220"/>
      <c r="CZ96" s="220"/>
      <c r="DA96" s="220"/>
      <c r="DB96" s="220"/>
      <c r="DC96" s="220"/>
      <c r="DD96" s="220"/>
      <c r="DE96" s="220"/>
      <c r="DF96" s="220"/>
      <c r="DG96" s="220"/>
      <c r="DH96" s="220"/>
      <c r="DI96" s="220"/>
      <c r="DJ96" s="220"/>
      <c r="DK96" s="220"/>
      <c r="DL96" s="220"/>
      <c r="DM96" s="220"/>
      <c r="DN96" s="220"/>
      <c r="DO96" s="220"/>
      <c r="DP96" s="220"/>
      <c r="DQ96" s="220"/>
    </row>
    <row r="97" spans="14:121" x14ac:dyDescent="0.25">
      <c r="N97" s="220"/>
      <c r="O97" s="220"/>
      <c r="P97" s="220"/>
      <c r="Q97" s="220"/>
      <c r="R97" s="220"/>
      <c r="S97" s="220"/>
      <c r="T97" s="220"/>
      <c r="U97" s="220"/>
      <c r="V97" s="220"/>
      <c r="W97" s="220"/>
      <c r="X97" s="220"/>
      <c r="Y97" s="220"/>
      <c r="Z97" s="220"/>
      <c r="AA97" s="220"/>
      <c r="AB97" s="220"/>
      <c r="AC97" s="220"/>
      <c r="AD97" s="220"/>
      <c r="AE97" s="220"/>
      <c r="AF97" s="220"/>
      <c r="AG97" s="220"/>
      <c r="AH97" s="220"/>
      <c r="AI97" s="220"/>
      <c r="AJ97" s="220"/>
      <c r="AK97" s="220"/>
      <c r="AL97" s="220"/>
      <c r="AM97" s="220"/>
      <c r="AN97" s="220"/>
      <c r="AO97" s="220"/>
      <c r="AP97" s="220"/>
      <c r="AQ97" s="220"/>
      <c r="AR97" s="220"/>
      <c r="AS97" s="220"/>
      <c r="AT97" s="220"/>
      <c r="AU97" s="220"/>
      <c r="AV97" s="220"/>
      <c r="AW97" s="220"/>
      <c r="AX97" s="220"/>
      <c r="AY97" s="220"/>
      <c r="AZ97" s="220"/>
      <c r="BA97" s="220"/>
      <c r="BB97" s="220"/>
      <c r="BC97" s="220"/>
      <c r="BD97" s="220"/>
      <c r="BE97" s="220"/>
      <c r="BF97" s="220"/>
      <c r="BG97" s="220"/>
      <c r="BH97" s="220"/>
      <c r="BI97" s="220"/>
      <c r="BJ97" s="220"/>
      <c r="BK97" s="220"/>
      <c r="BL97" s="220"/>
      <c r="BM97" s="220"/>
      <c r="BN97" s="220"/>
      <c r="BO97" s="220"/>
      <c r="BP97" s="220"/>
      <c r="BQ97" s="220"/>
      <c r="BR97" s="220"/>
      <c r="BS97" s="220"/>
      <c r="BT97" s="220"/>
      <c r="BU97" s="220"/>
      <c r="BV97" s="220"/>
      <c r="BW97" s="220"/>
      <c r="BX97" s="220"/>
      <c r="BY97" s="220"/>
      <c r="BZ97" s="220"/>
      <c r="CA97" s="220"/>
      <c r="CB97" s="220"/>
      <c r="CC97" s="220"/>
      <c r="CD97" s="220"/>
      <c r="CE97" s="220"/>
      <c r="CF97" s="220"/>
      <c r="CG97" s="220"/>
      <c r="CH97" s="220"/>
      <c r="CI97" s="220"/>
      <c r="CJ97" s="220"/>
      <c r="CK97" s="220"/>
      <c r="CL97" s="220"/>
      <c r="CM97" s="220"/>
      <c r="CN97" s="220"/>
      <c r="CO97" s="220"/>
      <c r="CP97" s="220"/>
      <c r="CQ97" s="220"/>
      <c r="CR97" s="220"/>
      <c r="CS97" s="220"/>
      <c r="CT97" s="220"/>
      <c r="CU97" s="220"/>
      <c r="CV97" s="220"/>
      <c r="CW97" s="220"/>
      <c r="CX97" s="220"/>
      <c r="CY97" s="220"/>
      <c r="CZ97" s="220"/>
      <c r="DA97" s="220"/>
      <c r="DB97" s="220"/>
      <c r="DC97" s="220"/>
      <c r="DD97" s="220"/>
      <c r="DE97" s="220"/>
      <c r="DF97" s="220"/>
      <c r="DG97" s="220"/>
      <c r="DH97" s="220"/>
      <c r="DI97" s="220"/>
      <c r="DJ97" s="220"/>
      <c r="DK97" s="220"/>
      <c r="DL97" s="220"/>
      <c r="DM97" s="220"/>
      <c r="DN97" s="220"/>
      <c r="DO97" s="220"/>
      <c r="DP97" s="220"/>
      <c r="DQ97" s="220"/>
    </row>
    <row r="98" spans="14:121" x14ac:dyDescent="0.25">
      <c r="N98" s="220"/>
      <c r="O98" s="220"/>
      <c r="P98" s="220"/>
      <c r="Q98" s="220"/>
      <c r="R98" s="220"/>
      <c r="S98" s="220"/>
      <c r="T98" s="220"/>
      <c r="U98" s="220"/>
      <c r="V98" s="220"/>
      <c r="W98" s="220"/>
      <c r="X98" s="220"/>
      <c r="Y98" s="220"/>
      <c r="Z98" s="220"/>
      <c r="AA98" s="220"/>
      <c r="AB98" s="220"/>
      <c r="AC98" s="220"/>
      <c r="AD98" s="220"/>
      <c r="AE98" s="220"/>
      <c r="AF98" s="220"/>
      <c r="AG98" s="220"/>
      <c r="AH98" s="220"/>
      <c r="AI98" s="220"/>
      <c r="AJ98" s="220"/>
      <c r="AK98" s="220"/>
      <c r="AL98" s="220"/>
      <c r="AM98" s="220"/>
      <c r="AN98" s="220"/>
      <c r="AO98" s="220"/>
      <c r="AP98" s="220"/>
      <c r="AQ98" s="220"/>
      <c r="AR98" s="220"/>
      <c r="AS98" s="220"/>
      <c r="AT98" s="220"/>
      <c r="AU98" s="220"/>
      <c r="AV98" s="220"/>
      <c r="AW98" s="220"/>
      <c r="AX98" s="220"/>
      <c r="AY98" s="220"/>
      <c r="AZ98" s="220"/>
      <c r="BA98" s="220"/>
      <c r="BB98" s="220"/>
      <c r="BC98" s="220"/>
      <c r="BD98" s="220"/>
      <c r="BE98" s="220"/>
      <c r="BF98" s="220"/>
      <c r="BG98" s="220"/>
      <c r="BH98" s="220"/>
      <c r="BI98" s="220"/>
      <c r="BJ98" s="220"/>
      <c r="BK98" s="220"/>
      <c r="BL98" s="220"/>
      <c r="BM98" s="220"/>
      <c r="BN98" s="220"/>
      <c r="BO98" s="220"/>
      <c r="BP98" s="220"/>
      <c r="BQ98" s="220"/>
      <c r="BR98" s="220"/>
      <c r="BS98" s="220"/>
      <c r="BT98" s="220"/>
      <c r="BU98" s="220"/>
      <c r="BV98" s="220"/>
      <c r="BW98" s="220"/>
      <c r="BX98" s="220"/>
      <c r="BY98" s="220"/>
      <c r="BZ98" s="220"/>
      <c r="CA98" s="220"/>
      <c r="CB98" s="220"/>
      <c r="CC98" s="220"/>
      <c r="CD98" s="220"/>
      <c r="CE98" s="220"/>
      <c r="CF98" s="220"/>
      <c r="CG98" s="220"/>
      <c r="CH98" s="220"/>
      <c r="CI98" s="220"/>
      <c r="CJ98" s="220"/>
      <c r="CK98" s="220"/>
      <c r="CL98" s="220"/>
      <c r="CM98" s="220"/>
      <c r="CN98" s="220"/>
      <c r="CO98" s="220"/>
      <c r="CP98" s="220"/>
      <c r="CQ98" s="220"/>
      <c r="CR98" s="220"/>
      <c r="CS98" s="220"/>
      <c r="CT98" s="220"/>
      <c r="CU98" s="220"/>
      <c r="CV98" s="220"/>
      <c r="CW98" s="220"/>
      <c r="CX98" s="220"/>
      <c r="CY98" s="220"/>
      <c r="CZ98" s="220"/>
      <c r="DA98" s="220"/>
      <c r="DB98" s="220"/>
      <c r="DC98" s="220"/>
      <c r="DD98" s="220"/>
      <c r="DE98" s="220"/>
      <c r="DF98" s="220"/>
      <c r="DG98" s="220"/>
      <c r="DH98" s="220"/>
      <c r="DI98" s="220"/>
      <c r="DJ98" s="220"/>
      <c r="DK98" s="220"/>
      <c r="DL98" s="220"/>
      <c r="DM98" s="220"/>
      <c r="DN98" s="220"/>
      <c r="DO98" s="220"/>
      <c r="DP98" s="220"/>
      <c r="DQ98" s="220"/>
    </row>
    <row r="99" spans="14:121" x14ac:dyDescent="0.25">
      <c r="N99" s="220"/>
      <c r="O99" s="220"/>
      <c r="P99" s="220"/>
      <c r="Q99" s="220"/>
      <c r="R99" s="220"/>
      <c r="S99" s="220"/>
      <c r="T99" s="220"/>
      <c r="U99" s="220"/>
      <c r="V99" s="220"/>
      <c r="W99" s="220"/>
      <c r="X99" s="220"/>
      <c r="Y99" s="220"/>
      <c r="Z99" s="220"/>
      <c r="AA99" s="220"/>
      <c r="AB99" s="220"/>
      <c r="AC99" s="220"/>
      <c r="AD99" s="220"/>
      <c r="AE99" s="220"/>
      <c r="AF99" s="220"/>
      <c r="AG99" s="220"/>
      <c r="AH99" s="220"/>
      <c r="AI99" s="220"/>
      <c r="AJ99" s="220"/>
      <c r="AK99" s="220"/>
      <c r="AL99" s="220"/>
      <c r="AM99" s="220"/>
      <c r="AN99" s="220"/>
      <c r="AO99" s="220"/>
      <c r="AP99" s="220"/>
      <c r="AQ99" s="220"/>
      <c r="AR99" s="220"/>
      <c r="AS99" s="220"/>
      <c r="AT99" s="220"/>
      <c r="AU99" s="220"/>
      <c r="AV99" s="220"/>
      <c r="AW99" s="220"/>
      <c r="AX99" s="220"/>
      <c r="AY99" s="220"/>
      <c r="AZ99" s="220"/>
      <c r="BA99" s="220"/>
      <c r="BB99" s="220"/>
      <c r="BC99" s="220"/>
      <c r="BD99" s="220"/>
      <c r="BE99" s="220"/>
      <c r="BF99" s="220"/>
      <c r="BG99" s="220"/>
      <c r="BH99" s="220"/>
      <c r="BI99" s="220"/>
      <c r="BJ99" s="220"/>
      <c r="BK99" s="220"/>
      <c r="BL99" s="220"/>
      <c r="BM99" s="220"/>
      <c r="BN99" s="220"/>
      <c r="BO99" s="220"/>
      <c r="BP99" s="220"/>
      <c r="BQ99" s="220"/>
      <c r="BR99" s="220"/>
      <c r="BS99" s="220"/>
      <c r="BT99" s="220"/>
      <c r="BU99" s="220"/>
      <c r="BV99" s="220"/>
      <c r="BW99" s="220"/>
      <c r="BX99" s="220"/>
      <c r="BY99" s="220"/>
      <c r="BZ99" s="220"/>
      <c r="CA99" s="220"/>
      <c r="CB99" s="220"/>
      <c r="CC99" s="220"/>
      <c r="CD99" s="220"/>
      <c r="CE99" s="220"/>
      <c r="CF99" s="220"/>
      <c r="CG99" s="220"/>
      <c r="CH99" s="220"/>
      <c r="CI99" s="220"/>
      <c r="CJ99" s="220"/>
      <c r="CK99" s="220"/>
      <c r="CL99" s="220"/>
      <c r="CM99" s="220"/>
      <c r="CN99" s="220"/>
      <c r="CO99" s="220"/>
      <c r="CP99" s="220"/>
      <c r="CQ99" s="220"/>
      <c r="CR99" s="220"/>
      <c r="CS99" s="220"/>
      <c r="CT99" s="220"/>
      <c r="CU99" s="220"/>
      <c r="CV99" s="220"/>
      <c r="CW99" s="220"/>
      <c r="CX99" s="220"/>
      <c r="CY99" s="220"/>
      <c r="CZ99" s="220"/>
      <c r="DA99" s="220"/>
      <c r="DB99" s="220"/>
      <c r="DC99" s="220"/>
      <c r="DD99" s="220"/>
      <c r="DE99" s="220"/>
      <c r="DF99" s="220"/>
      <c r="DG99" s="220"/>
      <c r="DH99" s="220"/>
      <c r="DI99" s="220"/>
      <c r="DJ99" s="220"/>
      <c r="DK99" s="220"/>
      <c r="DL99" s="220"/>
      <c r="DM99" s="220"/>
      <c r="DN99" s="220"/>
      <c r="DO99" s="220"/>
      <c r="DP99" s="220"/>
      <c r="DQ99" s="220"/>
    </row>
    <row r="100" spans="14:121" x14ac:dyDescent="0.25">
      <c r="N100" s="220"/>
      <c r="O100" s="220"/>
      <c r="P100" s="220"/>
      <c r="Q100" s="220"/>
      <c r="R100" s="220"/>
      <c r="S100" s="220"/>
      <c r="T100" s="220"/>
      <c r="U100" s="220"/>
      <c r="V100" s="220"/>
      <c r="W100" s="220"/>
      <c r="X100" s="220"/>
      <c r="Y100" s="220"/>
      <c r="Z100" s="220"/>
      <c r="AA100" s="220"/>
      <c r="AB100" s="220"/>
      <c r="AC100" s="220"/>
      <c r="AD100" s="220"/>
      <c r="AE100" s="220"/>
      <c r="AF100" s="220"/>
      <c r="AG100" s="220"/>
      <c r="AH100" s="220"/>
      <c r="AI100" s="220"/>
      <c r="AJ100" s="220"/>
      <c r="AK100" s="220"/>
      <c r="AL100" s="220"/>
      <c r="AM100" s="220"/>
      <c r="AN100" s="220"/>
      <c r="AO100" s="220"/>
      <c r="AP100" s="220"/>
      <c r="AQ100" s="220"/>
      <c r="AR100" s="220"/>
      <c r="AS100" s="220"/>
      <c r="AT100" s="220"/>
      <c r="AU100" s="220"/>
      <c r="AV100" s="220"/>
      <c r="AW100" s="220"/>
      <c r="AX100" s="220"/>
      <c r="AY100" s="220"/>
      <c r="AZ100" s="220"/>
      <c r="BA100" s="220"/>
      <c r="BB100" s="220"/>
      <c r="BC100" s="220"/>
      <c r="BD100" s="220"/>
      <c r="BE100" s="220"/>
      <c r="BF100" s="220"/>
      <c r="BG100" s="220"/>
      <c r="BH100" s="220"/>
      <c r="BI100" s="220"/>
      <c r="BJ100" s="220"/>
      <c r="BK100" s="220"/>
      <c r="BL100" s="220"/>
      <c r="BM100" s="220"/>
      <c r="BN100" s="220"/>
      <c r="BO100" s="220"/>
      <c r="BP100" s="220"/>
      <c r="BQ100" s="220"/>
      <c r="BR100" s="220"/>
      <c r="BS100" s="220"/>
      <c r="BT100" s="220"/>
      <c r="BU100" s="220"/>
      <c r="BV100" s="220"/>
      <c r="BW100" s="220"/>
      <c r="BX100" s="220"/>
      <c r="BY100" s="220"/>
      <c r="BZ100" s="220"/>
      <c r="CA100" s="220"/>
      <c r="CB100" s="220"/>
      <c r="CC100" s="220"/>
      <c r="CD100" s="220"/>
      <c r="CE100" s="220"/>
      <c r="CF100" s="220"/>
      <c r="CG100" s="220"/>
      <c r="CH100" s="220"/>
      <c r="CI100" s="220"/>
      <c r="CJ100" s="220"/>
      <c r="CK100" s="220"/>
      <c r="CL100" s="220"/>
      <c r="CM100" s="220"/>
      <c r="CN100" s="220"/>
      <c r="CO100" s="220"/>
      <c r="CP100" s="220"/>
      <c r="CQ100" s="220"/>
      <c r="CR100" s="220"/>
      <c r="CS100" s="220"/>
      <c r="CT100" s="220"/>
      <c r="CU100" s="220"/>
      <c r="CV100" s="220"/>
      <c r="CW100" s="220"/>
      <c r="CX100" s="220"/>
      <c r="CY100" s="220"/>
      <c r="CZ100" s="220"/>
      <c r="DA100" s="220"/>
      <c r="DB100" s="220"/>
      <c r="DC100" s="220"/>
      <c r="DD100" s="220"/>
      <c r="DE100" s="220"/>
      <c r="DF100" s="220"/>
      <c r="DG100" s="220"/>
      <c r="DH100" s="220"/>
      <c r="DI100" s="220"/>
      <c r="DJ100" s="220"/>
      <c r="DK100" s="220"/>
      <c r="DL100" s="220"/>
      <c r="DM100" s="220"/>
      <c r="DN100" s="220"/>
      <c r="DO100" s="220"/>
      <c r="DP100" s="220"/>
      <c r="DQ100" s="220"/>
    </row>
    <row r="101" spans="14:121" x14ac:dyDescent="0.25">
      <c r="N101" s="220"/>
      <c r="O101" s="220"/>
      <c r="P101" s="220"/>
      <c r="Q101" s="220"/>
      <c r="R101" s="220"/>
      <c r="S101" s="220"/>
      <c r="T101" s="220"/>
      <c r="U101" s="220"/>
      <c r="V101" s="220"/>
      <c r="W101" s="220"/>
      <c r="X101" s="220"/>
      <c r="Y101" s="220"/>
      <c r="Z101" s="220"/>
      <c r="AA101" s="220"/>
      <c r="AB101" s="220"/>
      <c r="AC101" s="220"/>
      <c r="AD101" s="220"/>
      <c r="AE101" s="220"/>
      <c r="AF101" s="220"/>
      <c r="AG101" s="220"/>
      <c r="AH101" s="220"/>
      <c r="AI101" s="220"/>
      <c r="AJ101" s="220"/>
      <c r="AK101" s="220"/>
      <c r="AL101" s="220"/>
      <c r="AM101" s="220"/>
      <c r="AN101" s="220"/>
      <c r="AO101" s="220"/>
      <c r="AP101" s="220"/>
      <c r="AQ101" s="220"/>
      <c r="AR101" s="220"/>
      <c r="AS101" s="220"/>
      <c r="AT101" s="220"/>
      <c r="AU101" s="220"/>
      <c r="AV101" s="220"/>
      <c r="AW101" s="220"/>
      <c r="AX101" s="220"/>
      <c r="AY101" s="220"/>
      <c r="AZ101" s="220"/>
      <c r="BA101" s="220"/>
      <c r="BB101" s="220"/>
      <c r="BC101" s="220"/>
      <c r="BD101" s="220"/>
      <c r="BE101" s="220"/>
      <c r="BF101" s="220"/>
      <c r="BG101" s="220"/>
      <c r="BH101" s="220"/>
      <c r="BI101" s="220"/>
      <c r="BJ101" s="220"/>
      <c r="BK101" s="220"/>
      <c r="BL101" s="220"/>
      <c r="BM101" s="220"/>
      <c r="BN101" s="220"/>
      <c r="BO101" s="220"/>
      <c r="BP101" s="220"/>
      <c r="BQ101" s="220"/>
      <c r="BR101" s="220"/>
      <c r="BS101" s="220"/>
      <c r="BT101" s="220"/>
      <c r="BU101" s="220"/>
      <c r="BV101" s="220"/>
      <c r="BW101" s="220"/>
      <c r="BX101" s="220"/>
      <c r="BY101" s="220"/>
      <c r="BZ101" s="220"/>
      <c r="CA101" s="220"/>
      <c r="CB101" s="220"/>
      <c r="CC101" s="220"/>
      <c r="CD101" s="220"/>
      <c r="CE101" s="220"/>
      <c r="CF101" s="220"/>
      <c r="CG101" s="220"/>
      <c r="CH101" s="220"/>
      <c r="CI101" s="220"/>
      <c r="CJ101" s="220"/>
      <c r="CK101" s="220"/>
      <c r="CL101" s="220"/>
      <c r="CM101" s="220"/>
      <c r="CN101" s="220"/>
      <c r="CO101" s="220"/>
      <c r="CP101" s="220"/>
      <c r="CQ101" s="220"/>
      <c r="CR101" s="220"/>
      <c r="CS101" s="220"/>
      <c r="CT101" s="220"/>
      <c r="CU101" s="220"/>
      <c r="CV101" s="220"/>
      <c r="CW101" s="220"/>
      <c r="CX101" s="220"/>
      <c r="CY101" s="220"/>
      <c r="CZ101" s="220"/>
      <c r="DA101" s="220"/>
      <c r="DB101" s="220"/>
      <c r="DC101" s="220"/>
      <c r="DD101" s="220"/>
      <c r="DE101" s="220"/>
      <c r="DF101" s="220"/>
      <c r="DG101" s="220"/>
      <c r="DH101" s="220"/>
      <c r="DI101" s="220"/>
      <c r="DJ101" s="220"/>
      <c r="DK101" s="220"/>
      <c r="DL101" s="220"/>
      <c r="DM101" s="220"/>
      <c r="DN101" s="220"/>
      <c r="DO101" s="220"/>
      <c r="DP101" s="220"/>
      <c r="DQ101" s="220"/>
    </row>
    <row r="102" spans="14:121" x14ac:dyDescent="0.25">
      <c r="N102" s="220"/>
      <c r="O102" s="220"/>
      <c r="P102" s="220"/>
      <c r="Q102" s="220"/>
      <c r="R102" s="220"/>
      <c r="S102" s="220"/>
      <c r="T102" s="220"/>
      <c r="U102" s="220"/>
      <c r="V102" s="220"/>
      <c r="W102" s="220"/>
      <c r="X102" s="220"/>
      <c r="Y102" s="220"/>
      <c r="Z102" s="220"/>
      <c r="AA102" s="220"/>
      <c r="AB102" s="220"/>
      <c r="AC102" s="220"/>
      <c r="AD102" s="220"/>
      <c r="AE102" s="220"/>
      <c r="AF102" s="220"/>
      <c r="AG102" s="220"/>
      <c r="AH102" s="220"/>
      <c r="AI102" s="220"/>
      <c r="AJ102" s="220"/>
      <c r="AK102" s="220"/>
      <c r="AL102" s="220"/>
      <c r="AM102" s="220"/>
      <c r="AN102" s="220"/>
      <c r="AO102" s="220"/>
      <c r="AP102" s="220"/>
      <c r="AQ102" s="220"/>
      <c r="AR102" s="220"/>
      <c r="AS102" s="220"/>
      <c r="AT102" s="220"/>
      <c r="AU102" s="220"/>
      <c r="AV102" s="220"/>
      <c r="AW102" s="220"/>
      <c r="AX102" s="220"/>
      <c r="AY102" s="220"/>
      <c r="AZ102" s="220"/>
      <c r="BA102" s="220"/>
      <c r="BB102" s="220"/>
      <c r="BC102" s="220"/>
      <c r="BD102" s="220"/>
      <c r="BE102" s="220"/>
      <c r="BF102" s="220"/>
      <c r="BG102" s="220"/>
      <c r="BH102" s="220"/>
      <c r="BI102" s="220"/>
      <c r="BJ102" s="220"/>
      <c r="BK102" s="220"/>
      <c r="BL102" s="220"/>
      <c r="BM102" s="220"/>
      <c r="BN102" s="220"/>
      <c r="BO102" s="220"/>
      <c r="BP102" s="220"/>
      <c r="BQ102" s="220"/>
      <c r="BR102" s="220"/>
      <c r="BS102" s="220"/>
      <c r="BT102" s="220"/>
      <c r="BU102" s="220"/>
      <c r="BV102" s="220"/>
      <c r="BW102" s="220"/>
      <c r="BX102" s="220"/>
      <c r="BY102" s="220"/>
      <c r="BZ102" s="220"/>
      <c r="CA102" s="220"/>
      <c r="CB102" s="220"/>
      <c r="CC102" s="220"/>
      <c r="CD102" s="220"/>
      <c r="CE102" s="220"/>
      <c r="CF102" s="220"/>
      <c r="CG102" s="220"/>
      <c r="CH102" s="220"/>
      <c r="CI102" s="220"/>
      <c r="CJ102" s="220"/>
      <c r="CK102" s="220"/>
      <c r="CL102" s="220"/>
      <c r="CM102" s="220"/>
      <c r="CN102" s="220"/>
      <c r="CO102" s="220"/>
      <c r="CP102" s="220"/>
      <c r="CQ102" s="220"/>
      <c r="CR102" s="220"/>
      <c r="CS102" s="220"/>
      <c r="CT102" s="220"/>
      <c r="CU102" s="220"/>
      <c r="CV102" s="220"/>
      <c r="CW102" s="220"/>
      <c r="CX102" s="220"/>
      <c r="CY102" s="220"/>
      <c r="CZ102" s="220"/>
      <c r="DA102" s="220"/>
      <c r="DB102" s="220"/>
      <c r="DC102" s="220"/>
      <c r="DD102" s="220"/>
      <c r="DE102" s="220"/>
      <c r="DF102" s="220"/>
      <c r="DG102" s="220"/>
      <c r="DH102" s="220"/>
      <c r="DI102" s="220"/>
      <c r="DJ102" s="220"/>
      <c r="DK102" s="220"/>
      <c r="DL102" s="220"/>
      <c r="DM102" s="220"/>
      <c r="DN102" s="220"/>
      <c r="DO102" s="220"/>
      <c r="DP102" s="220"/>
      <c r="DQ102" s="220"/>
    </row>
    <row r="103" spans="14:121" x14ac:dyDescent="0.25">
      <c r="N103" s="220"/>
      <c r="O103" s="220"/>
      <c r="P103" s="220"/>
      <c r="Q103" s="220"/>
      <c r="R103" s="220"/>
      <c r="S103" s="220"/>
      <c r="T103" s="220"/>
      <c r="U103" s="220"/>
      <c r="V103" s="220"/>
      <c r="W103" s="220"/>
      <c r="X103" s="220"/>
      <c r="Y103" s="220"/>
      <c r="Z103" s="220"/>
      <c r="AA103" s="220"/>
      <c r="AB103" s="220"/>
      <c r="AC103" s="220"/>
      <c r="AD103" s="220"/>
      <c r="AE103" s="220"/>
      <c r="AF103" s="220"/>
      <c r="AG103" s="220"/>
      <c r="AH103" s="220"/>
      <c r="AI103" s="220"/>
      <c r="AJ103" s="220"/>
      <c r="AK103" s="220"/>
      <c r="AL103" s="220"/>
      <c r="AM103" s="220"/>
      <c r="AN103" s="220"/>
      <c r="AO103" s="220"/>
      <c r="AP103" s="220"/>
      <c r="AQ103" s="220"/>
      <c r="AR103" s="220"/>
      <c r="AS103" s="220"/>
      <c r="AT103" s="220"/>
      <c r="AU103" s="220"/>
      <c r="AV103" s="220"/>
      <c r="AW103" s="220"/>
      <c r="AX103" s="220"/>
      <c r="AY103" s="220"/>
      <c r="AZ103" s="220"/>
      <c r="BA103" s="220"/>
      <c r="BB103" s="220"/>
      <c r="BC103" s="220"/>
      <c r="BD103" s="220"/>
      <c r="BE103" s="220"/>
      <c r="BF103" s="220"/>
      <c r="BG103" s="220"/>
      <c r="BH103" s="220"/>
      <c r="BI103" s="220"/>
      <c r="BJ103" s="220"/>
      <c r="BK103" s="220"/>
      <c r="BL103" s="220"/>
      <c r="BM103" s="220"/>
      <c r="BN103" s="220"/>
      <c r="BO103" s="220"/>
      <c r="BP103" s="220"/>
      <c r="BQ103" s="220"/>
      <c r="BR103" s="220"/>
      <c r="BS103" s="220"/>
      <c r="BT103" s="220"/>
      <c r="BU103" s="220"/>
      <c r="BV103" s="220"/>
      <c r="BW103" s="220"/>
      <c r="BX103" s="220"/>
      <c r="BY103" s="220"/>
      <c r="BZ103" s="220"/>
      <c r="CA103" s="220"/>
      <c r="CB103" s="220"/>
      <c r="CC103" s="220"/>
      <c r="CD103" s="220"/>
      <c r="CE103" s="220"/>
      <c r="CF103" s="220"/>
      <c r="CG103" s="220"/>
      <c r="CH103" s="220"/>
      <c r="CI103" s="220"/>
      <c r="CJ103" s="220"/>
      <c r="CK103" s="220"/>
      <c r="CL103" s="220"/>
      <c r="CM103" s="220"/>
      <c r="CN103" s="220"/>
      <c r="CO103" s="220"/>
      <c r="CP103" s="220"/>
      <c r="CQ103" s="220"/>
      <c r="CR103" s="220"/>
      <c r="CS103" s="220"/>
      <c r="CT103" s="220"/>
      <c r="CU103" s="220"/>
      <c r="CV103" s="220"/>
      <c r="CW103" s="220"/>
      <c r="CX103" s="220"/>
      <c r="CY103" s="220"/>
      <c r="CZ103" s="220"/>
      <c r="DA103" s="220"/>
      <c r="DB103" s="220"/>
      <c r="DC103" s="220"/>
      <c r="DD103" s="220"/>
      <c r="DE103" s="220"/>
      <c r="DF103" s="220"/>
      <c r="DG103" s="220"/>
      <c r="DH103" s="220"/>
      <c r="DI103" s="220"/>
      <c r="DJ103" s="220"/>
      <c r="DK103" s="220"/>
      <c r="DL103" s="220"/>
      <c r="DM103" s="220"/>
      <c r="DN103" s="220"/>
      <c r="DO103" s="220"/>
      <c r="DP103" s="220"/>
      <c r="DQ103" s="220"/>
    </row>
    <row r="104" spans="14:121" x14ac:dyDescent="0.25">
      <c r="N104" s="220"/>
      <c r="O104" s="220"/>
      <c r="P104" s="220"/>
      <c r="Q104" s="220"/>
      <c r="R104" s="220"/>
      <c r="S104" s="220"/>
      <c r="T104" s="220"/>
      <c r="U104" s="220"/>
      <c r="V104" s="220"/>
      <c r="W104" s="220"/>
      <c r="X104" s="220"/>
      <c r="Y104" s="220"/>
      <c r="Z104" s="220"/>
      <c r="AA104" s="220"/>
      <c r="AB104" s="220"/>
      <c r="AC104" s="220"/>
      <c r="AD104" s="220"/>
      <c r="AE104" s="220"/>
      <c r="AF104" s="220"/>
      <c r="AG104" s="220"/>
      <c r="AH104" s="220"/>
      <c r="AI104" s="220"/>
      <c r="AJ104" s="220"/>
      <c r="AK104" s="220"/>
      <c r="AL104" s="220"/>
      <c r="AM104" s="220"/>
      <c r="AN104" s="220"/>
      <c r="AO104" s="220"/>
      <c r="AP104" s="220"/>
      <c r="AQ104" s="220"/>
      <c r="AR104" s="220"/>
      <c r="AS104" s="220"/>
      <c r="AT104" s="220"/>
      <c r="AU104" s="220"/>
      <c r="AV104" s="220"/>
      <c r="AW104" s="220"/>
      <c r="AX104" s="220"/>
      <c r="AY104" s="220"/>
      <c r="AZ104" s="220"/>
      <c r="BA104" s="220"/>
      <c r="BB104" s="220"/>
      <c r="BC104" s="220"/>
      <c r="BD104" s="220"/>
      <c r="BE104" s="220"/>
      <c r="BF104" s="220"/>
      <c r="BG104" s="220"/>
      <c r="BH104" s="220"/>
      <c r="BI104" s="220"/>
      <c r="BJ104" s="220"/>
      <c r="BK104" s="220"/>
      <c r="BL104" s="220"/>
      <c r="BM104" s="220"/>
      <c r="BN104" s="220"/>
      <c r="BO104" s="220"/>
      <c r="BP104" s="220"/>
      <c r="BQ104" s="220"/>
      <c r="BR104" s="220"/>
      <c r="BS104" s="220"/>
      <c r="BT104" s="220"/>
      <c r="BU104" s="220"/>
      <c r="BV104" s="220"/>
      <c r="BW104" s="220"/>
      <c r="BX104" s="220"/>
      <c r="BY104" s="220"/>
      <c r="BZ104" s="220"/>
      <c r="CA104" s="220"/>
      <c r="CB104" s="220"/>
      <c r="CC104" s="220"/>
      <c r="CD104" s="220"/>
      <c r="CE104" s="220"/>
      <c r="CF104" s="220"/>
      <c r="CG104" s="220"/>
      <c r="CH104" s="220"/>
      <c r="CI104" s="220"/>
      <c r="CJ104" s="220"/>
      <c r="CK104" s="220"/>
      <c r="CL104" s="220"/>
      <c r="CM104" s="220"/>
      <c r="CN104" s="220"/>
      <c r="CO104" s="220"/>
      <c r="CP104" s="220"/>
      <c r="CQ104" s="220"/>
      <c r="CR104" s="220"/>
      <c r="CS104" s="220"/>
      <c r="CT104" s="220"/>
      <c r="CU104" s="220"/>
      <c r="CV104" s="220"/>
      <c r="CW104" s="220"/>
      <c r="CX104" s="220"/>
      <c r="CY104" s="220"/>
      <c r="CZ104" s="220"/>
      <c r="DA104" s="220"/>
      <c r="DB104" s="220"/>
      <c r="DC104" s="220"/>
      <c r="DD104" s="220"/>
      <c r="DE104" s="220"/>
      <c r="DF104" s="220"/>
      <c r="DG104" s="220"/>
      <c r="DH104" s="220"/>
      <c r="DI104" s="220"/>
      <c r="DJ104" s="220"/>
      <c r="DK104" s="220"/>
      <c r="DL104" s="220"/>
      <c r="DM104" s="220"/>
      <c r="DN104" s="220"/>
      <c r="DO104" s="220"/>
      <c r="DP104" s="220"/>
      <c r="DQ104" s="220"/>
    </row>
    <row r="105" spans="14:121" x14ac:dyDescent="0.25">
      <c r="N105" s="220"/>
      <c r="O105" s="220"/>
      <c r="P105" s="220"/>
      <c r="Q105" s="220"/>
      <c r="R105" s="220"/>
      <c r="S105" s="220"/>
      <c r="T105" s="220"/>
      <c r="U105" s="220"/>
      <c r="V105" s="220"/>
      <c r="W105" s="220"/>
      <c r="X105" s="220"/>
      <c r="Y105" s="220"/>
      <c r="Z105" s="220"/>
      <c r="AA105" s="220"/>
      <c r="AB105" s="220"/>
      <c r="AC105" s="220"/>
      <c r="AD105" s="220"/>
      <c r="AE105" s="220"/>
      <c r="AF105" s="220"/>
      <c r="AG105" s="220"/>
      <c r="AH105" s="220"/>
      <c r="AI105" s="220"/>
      <c r="AJ105" s="220"/>
      <c r="AK105" s="220"/>
      <c r="AL105" s="220"/>
      <c r="AM105" s="220"/>
      <c r="AN105" s="220"/>
      <c r="AO105" s="220"/>
      <c r="AP105" s="220"/>
      <c r="AQ105" s="220"/>
      <c r="AR105" s="220"/>
      <c r="AS105" s="220"/>
      <c r="AT105" s="220"/>
      <c r="AU105" s="220"/>
      <c r="AV105" s="220"/>
      <c r="AW105" s="220"/>
      <c r="AX105" s="220"/>
      <c r="AY105" s="220"/>
      <c r="AZ105" s="220"/>
      <c r="BA105" s="220"/>
      <c r="BB105" s="220"/>
      <c r="BC105" s="220"/>
      <c r="BD105" s="220"/>
      <c r="BE105" s="220"/>
      <c r="BF105" s="220"/>
      <c r="BG105" s="220"/>
      <c r="BH105" s="220"/>
      <c r="BI105" s="220"/>
      <c r="BJ105" s="220"/>
      <c r="BK105" s="220"/>
      <c r="BL105" s="220"/>
      <c r="BM105" s="220"/>
      <c r="BN105" s="220"/>
      <c r="BO105" s="220"/>
      <c r="BP105" s="220"/>
      <c r="BQ105" s="220"/>
      <c r="BR105" s="220"/>
      <c r="BS105" s="220"/>
      <c r="BT105" s="220"/>
      <c r="BU105" s="220"/>
      <c r="BV105" s="220"/>
      <c r="BW105" s="220"/>
      <c r="BX105" s="220"/>
      <c r="BY105" s="220"/>
      <c r="BZ105" s="220"/>
      <c r="CA105" s="220"/>
      <c r="CB105" s="220"/>
      <c r="CC105" s="220"/>
      <c r="CD105" s="220"/>
      <c r="CE105" s="220"/>
      <c r="CF105" s="220"/>
      <c r="CG105" s="220"/>
      <c r="CH105" s="220"/>
      <c r="CI105" s="220"/>
      <c r="CJ105" s="220"/>
      <c r="CK105" s="220"/>
      <c r="CL105" s="220"/>
      <c r="CM105" s="220"/>
      <c r="CN105" s="220"/>
      <c r="CO105" s="220"/>
      <c r="CP105" s="220"/>
      <c r="CQ105" s="220"/>
      <c r="CR105" s="220"/>
      <c r="CS105" s="220"/>
      <c r="CT105" s="220"/>
      <c r="CU105" s="220"/>
      <c r="CV105" s="220"/>
      <c r="CW105" s="220"/>
      <c r="CX105" s="220"/>
      <c r="CY105" s="220"/>
      <c r="CZ105" s="220"/>
      <c r="DA105" s="220"/>
      <c r="DB105" s="220"/>
      <c r="DC105" s="220"/>
      <c r="DD105" s="220"/>
      <c r="DE105" s="220"/>
      <c r="DF105" s="220"/>
      <c r="DG105" s="220"/>
      <c r="DH105" s="220"/>
      <c r="DI105" s="220"/>
      <c r="DJ105" s="220"/>
      <c r="DK105" s="220"/>
      <c r="DL105" s="220"/>
      <c r="DM105" s="220"/>
      <c r="DN105" s="220"/>
      <c r="DO105" s="220"/>
      <c r="DP105" s="220"/>
      <c r="DQ105" s="220"/>
    </row>
    <row r="106" spans="14:121" x14ac:dyDescent="0.25">
      <c r="N106" s="220"/>
      <c r="O106" s="220"/>
      <c r="P106" s="220"/>
      <c r="Q106" s="220"/>
      <c r="R106" s="220"/>
      <c r="S106" s="220"/>
      <c r="T106" s="220"/>
      <c r="U106" s="220"/>
      <c r="V106" s="220"/>
      <c r="W106" s="220"/>
      <c r="X106" s="220"/>
      <c r="Y106" s="220"/>
      <c r="Z106" s="220"/>
      <c r="AA106" s="220"/>
      <c r="AB106" s="220"/>
      <c r="AC106" s="220"/>
      <c r="AD106" s="220"/>
      <c r="AE106" s="220"/>
      <c r="AF106" s="220"/>
      <c r="AG106" s="220"/>
      <c r="AH106" s="220"/>
      <c r="AI106" s="220"/>
      <c r="AJ106" s="220"/>
      <c r="AK106" s="220"/>
      <c r="AL106" s="220"/>
      <c r="AM106" s="220"/>
      <c r="AN106" s="220"/>
      <c r="AO106" s="220"/>
      <c r="AP106" s="220"/>
      <c r="AQ106" s="220"/>
      <c r="AR106" s="220"/>
      <c r="AS106" s="220"/>
      <c r="AT106" s="220"/>
      <c r="AU106" s="220"/>
      <c r="AV106" s="220"/>
      <c r="AW106" s="220"/>
      <c r="AX106" s="220"/>
      <c r="AY106" s="220"/>
      <c r="AZ106" s="220"/>
      <c r="BA106" s="220"/>
      <c r="BB106" s="220"/>
      <c r="BC106" s="220"/>
      <c r="BD106" s="220"/>
      <c r="BE106" s="220"/>
      <c r="BF106" s="220"/>
      <c r="BG106" s="220"/>
      <c r="BH106" s="220"/>
      <c r="BI106" s="220"/>
      <c r="BJ106" s="220"/>
      <c r="BK106" s="220"/>
      <c r="BL106" s="220"/>
      <c r="BM106" s="220"/>
      <c r="BN106" s="220"/>
      <c r="BO106" s="220"/>
      <c r="BP106" s="220"/>
      <c r="BQ106" s="220"/>
      <c r="BR106" s="220"/>
      <c r="BS106" s="220"/>
      <c r="BT106" s="220"/>
      <c r="BU106" s="220"/>
      <c r="BV106" s="220"/>
      <c r="BW106" s="220"/>
      <c r="BX106" s="220"/>
      <c r="BY106" s="220"/>
      <c r="BZ106" s="220"/>
      <c r="CA106" s="220"/>
      <c r="CB106" s="220"/>
      <c r="CC106" s="220"/>
      <c r="CD106" s="220"/>
      <c r="CE106" s="220"/>
      <c r="CF106" s="220"/>
      <c r="CG106" s="220"/>
      <c r="CH106" s="220"/>
      <c r="CI106" s="220"/>
      <c r="CJ106" s="220"/>
      <c r="CK106" s="220"/>
      <c r="CL106" s="220"/>
      <c r="CM106" s="220"/>
      <c r="CN106" s="220"/>
      <c r="CO106" s="220"/>
      <c r="CP106" s="220"/>
      <c r="CQ106" s="220"/>
      <c r="CR106" s="220"/>
      <c r="CS106" s="220"/>
      <c r="CT106" s="220"/>
      <c r="CU106" s="220"/>
      <c r="CV106" s="220"/>
      <c r="CW106" s="220"/>
      <c r="CX106" s="220"/>
      <c r="CY106" s="220"/>
      <c r="CZ106" s="220"/>
      <c r="DA106" s="220"/>
      <c r="DB106" s="220"/>
      <c r="DC106" s="220"/>
      <c r="DD106" s="220"/>
      <c r="DE106" s="220"/>
      <c r="DF106" s="220"/>
      <c r="DG106" s="220"/>
      <c r="DH106" s="220"/>
      <c r="DI106" s="220"/>
      <c r="DJ106" s="220"/>
      <c r="DK106" s="220"/>
      <c r="DL106" s="220"/>
      <c r="DM106" s="220"/>
      <c r="DN106" s="220"/>
      <c r="DO106" s="220"/>
      <c r="DP106" s="220"/>
      <c r="DQ106" s="220"/>
    </row>
    <row r="107" spans="14:121" x14ac:dyDescent="0.25">
      <c r="N107" s="220"/>
      <c r="O107" s="220"/>
      <c r="P107" s="220"/>
      <c r="Q107" s="220"/>
      <c r="R107" s="220"/>
      <c r="S107" s="220"/>
      <c r="T107" s="220"/>
      <c r="U107" s="220"/>
      <c r="V107" s="220"/>
      <c r="W107" s="220"/>
      <c r="X107" s="220"/>
      <c r="Y107" s="220"/>
      <c r="Z107" s="220"/>
      <c r="AA107" s="220"/>
      <c r="AB107" s="220"/>
      <c r="AC107" s="220"/>
      <c r="AD107" s="220"/>
      <c r="AE107" s="220"/>
      <c r="AF107" s="220"/>
      <c r="AG107" s="220"/>
      <c r="AH107" s="220"/>
      <c r="AI107" s="220"/>
      <c r="AJ107" s="220"/>
      <c r="AK107" s="220"/>
      <c r="AL107" s="220"/>
      <c r="AM107" s="220"/>
      <c r="AN107" s="220"/>
      <c r="AO107" s="220"/>
      <c r="AP107" s="220"/>
      <c r="AQ107" s="220"/>
      <c r="AR107" s="220"/>
      <c r="AS107" s="220"/>
      <c r="AT107" s="220"/>
      <c r="AU107" s="220"/>
      <c r="AV107" s="220"/>
      <c r="AW107" s="220"/>
      <c r="AX107" s="220"/>
      <c r="AY107" s="220"/>
      <c r="AZ107" s="220"/>
      <c r="BA107" s="220"/>
      <c r="BB107" s="220"/>
      <c r="BC107" s="220"/>
      <c r="BD107" s="220"/>
      <c r="BE107" s="220"/>
      <c r="BF107" s="220"/>
      <c r="BG107" s="220"/>
      <c r="BH107" s="220"/>
      <c r="BI107" s="220"/>
      <c r="BJ107" s="220"/>
      <c r="BK107" s="220"/>
      <c r="BL107" s="220"/>
      <c r="BM107" s="220"/>
      <c r="BN107" s="220"/>
      <c r="BO107" s="220"/>
      <c r="BP107" s="220"/>
      <c r="BQ107" s="220"/>
      <c r="BR107" s="220"/>
      <c r="BS107" s="220"/>
      <c r="BT107" s="220"/>
      <c r="BU107" s="220"/>
      <c r="BV107" s="220"/>
      <c r="BW107" s="220"/>
      <c r="BX107" s="220"/>
      <c r="BY107" s="220"/>
      <c r="BZ107" s="220"/>
      <c r="CA107" s="220"/>
      <c r="CB107" s="220"/>
      <c r="CC107" s="220"/>
      <c r="CD107" s="220"/>
      <c r="CE107" s="220"/>
      <c r="CF107" s="220"/>
      <c r="CG107" s="220"/>
      <c r="CH107" s="220"/>
      <c r="CI107" s="220"/>
      <c r="CJ107" s="220"/>
      <c r="CK107" s="220"/>
      <c r="CL107" s="220"/>
      <c r="CM107" s="220"/>
      <c r="CN107" s="220"/>
      <c r="CO107" s="220"/>
      <c r="CP107" s="220"/>
      <c r="CQ107" s="220"/>
      <c r="CR107" s="220"/>
      <c r="CS107" s="220"/>
      <c r="CT107" s="220"/>
      <c r="CU107" s="220"/>
      <c r="CV107" s="220"/>
      <c r="CW107" s="220"/>
      <c r="CX107" s="220"/>
      <c r="CY107" s="220"/>
      <c r="CZ107" s="220"/>
      <c r="DA107" s="220"/>
      <c r="DB107" s="220"/>
      <c r="DC107" s="220"/>
      <c r="DD107" s="220"/>
      <c r="DE107" s="220"/>
      <c r="DF107" s="220"/>
      <c r="DG107" s="220"/>
      <c r="DH107" s="220"/>
      <c r="DI107" s="220"/>
      <c r="DJ107" s="220"/>
      <c r="DK107" s="220"/>
      <c r="DL107" s="220"/>
      <c r="DM107" s="220"/>
      <c r="DN107" s="220"/>
      <c r="DO107" s="220"/>
      <c r="DP107" s="220"/>
      <c r="DQ107" s="220"/>
    </row>
    <row r="108" spans="14:121" x14ac:dyDescent="0.25">
      <c r="N108" s="220"/>
      <c r="O108" s="220"/>
      <c r="P108" s="220"/>
      <c r="Q108" s="220"/>
      <c r="R108" s="220"/>
      <c r="S108" s="220"/>
      <c r="T108" s="220"/>
      <c r="U108" s="220"/>
      <c r="V108" s="220"/>
      <c r="W108" s="220"/>
      <c r="X108" s="220"/>
      <c r="Y108" s="220"/>
      <c r="Z108" s="220"/>
      <c r="AA108" s="220"/>
      <c r="AB108" s="220"/>
      <c r="AC108" s="220"/>
      <c r="AD108" s="220"/>
      <c r="AE108" s="220"/>
      <c r="AF108" s="220"/>
      <c r="AG108" s="220"/>
      <c r="AH108" s="220"/>
      <c r="AI108" s="220"/>
      <c r="AJ108" s="220"/>
      <c r="AK108" s="220"/>
      <c r="AL108" s="220"/>
      <c r="AM108" s="220"/>
      <c r="AN108" s="220"/>
      <c r="AO108" s="220"/>
      <c r="AP108" s="220"/>
      <c r="AQ108" s="220"/>
      <c r="AR108" s="220"/>
      <c r="AS108" s="220"/>
      <c r="AT108" s="220"/>
      <c r="AU108" s="220"/>
      <c r="AV108" s="220"/>
      <c r="AW108" s="220"/>
      <c r="AX108" s="220"/>
      <c r="AY108" s="220"/>
      <c r="AZ108" s="220"/>
      <c r="BA108" s="220"/>
      <c r="BB108" s="220"/>
      <c r="BC108" s="220"/>
      <c r="BD108" s="220"/>
      <c r="BE108" s="220"/>
      <c r="BF108" s="220"/>
      <c r="BG108" s="220"/>
      <c r="BH108" s="220"/>
      <c r="BI108" s="220"/>
      <c r="BJ108" s="220"/>
      <c r="BK108" s="220"/>
      <c r="BL108" s="220"/>
      <c r="BM108" s="220"/>
      <c r="BN108" s="220"/>
      <c r="BO108" s="220"/>
      <c r="BP108" s="220"/>
      <c r="BQ108" s="220"/>
      <c r="BR108" s="220"/>
      <c r="BS108" s="220"/>
      <c r="BT108" s="220"/>
      <c r="BU108" s="220"/>
      <c r="BV108" s="220"/>
      <c r="BW108" s="220"/>
      <c r="BX108" s="220"/>
      <c r="BY108" s="220"/>
      <c r="BZ108" s="220"/>
      <c r="CA108" s="220"/>
      <c r="CB108" s="220"/>
      <c r="CC108" s="220"/>
      <c r="CD108" s="220"/>
      <c r="CE108" s="220"/>
      <c r="CF108" s="220"/>
      <c r="CG108" s="220"/>
      <c r="CH108" s="220"/>
      <c r="CI108" s="220"/>
      <c r="CJ108" s="220"/>
      <c r="CK108" s="220"/>
      <c r="CL108" s="220"/>
      <c r="CM108" s="220"/>
      <c r="CN108" s="220"/>
      <c r="CO108" s="220"/>
      <c r="CP108" s="220"/>
      <c r="CQ108" s="220"/>
      <c r="CR108" s="220"/>
      <c r="CS108" s="220"/>
      <c r="CT108" s="220"/>
      <c r="CU108" s="220"/>
      <c r="CV108" s="220"/>
      <c r="CW108" s="220"/>
      <c r="CX108" s="220"/>
      <c r="CY108" s="220"/>
      <c r="CZ108" s="220"/>
      <c r="DA108" s="220"/>
      <c r="DB108" s="220"/>
      <c r="DC108" s="220"/>
      <c r="DD108" s="220"/>
      <c r="DE108" s="220"/>
      <c r="DF108" s="220"/>
      <c r="DG108" s="220"/>
      <c r="DH108" s="220"/>
      <c r="DI108" s="220"/>
      <c r="DJ108" s="220"/>
      <c r="DK108" s="220"/>
      <c r="DL108" s="220"/>
      <c r="DM108" s="220"/>
      <c r="DN108" s="220"/>
      <c r="DO108" s="220"/>
      <c r="DP108" s="220"/>
      <c r="DQ108" s="220"/>
    </row>
    <row r="109" spans="14:121" x14ac:dyDescent="0.25">
      <c r="N109" s="220"/>
      <c r="O109" s="220"/>
      <c r="P109" s="220"/>
      <c r="Q109" s="220"/>
      <c r="R109" s="220"/>
      <c r="S109" s="220"/>
      <c r="T109" s="220"/>
      <c r="U109" s="220"/>
      <c r="V109" s="220"/>
      <c r="W109" s="220"/>
      <c r="X109" s="220"/>
      <c r="Y109" s="220"/>
      <c r="Z109" s="220"/>
      <c r="AA109" s="220"/>
      <c r="AB109" s="220"/>
      <c r="AC109" s="220"/>
      <c r="AD109" s="220"/>
      <c r="AE109" s="220"/>
      <c r="AF109" s="220"/>
      <c r="AG109" s="220"/>
      <c r="AH109" s="220"/>
      <c r="AI109" s="220"/>
      <c r="AJ109" s="220"/>
      <c r="AK109" s="220"/>
      <c r="AL109" s="220"/>
      <c r="AM109" s="220"/>
      <c r="AN109" s="220"/>
      <c r="AO109" s="220"/>
      <c r="AP109" s="220"/>
      <c r="AQ109" s="220"/>
      <c r="AR109" s="220"/>
      <c r="AS109" s="220"/>
      <c r="AT109" s="220"/>
      <c r="AU109" s="220"/>
      <c r="AV109" s="220"/>
      <c r="AW109" s="220"/>
      <c r="AX109" s="220"/>
      <c r="AY109" s="220"/>
      <c r="AZ109" s="220"/>
      <c r="BA109" s="220"/>
      <c r="BB109" s="220"/>
      <c r="BC109" s="220"/>
      <c r="BD109" s="220"/>
      <c r="BE109" s="220"/>
      <c r="BF109" s="220"/>
      <c r="BG109" s="220"/>
      <c r="BH109" s="220"/>
      <c r="BI109" s="220"/>
      <c r="BJ109" s="220"/>
      <c r="BK109" s="220"/>
      <c r="BL109" s="220"/>
      <c r="BM109" s="220"/>
      <c r="BN109" s="220"/>
      <c r="BO109" s="220"/>
      <c r="BP109" s="220"/>
      <c r="BQ109" s="220"/>
      <c r="BR109" s="220"/>
      <c r="BS109" s="220"/>
      <c r="BT109" s="220"/>
      <c r="BU109" s="220"/>
      <c r="BV109" s="220"/>
      <c r="BW109" s="220"/>
      <c r="BX109" s="220"/>
      <c r="BY109" s="220"/>
      <c r="BZ109" s="220"/>
      <c r="CA109" s="220"/>
      <c r="CB109" s="220"/>
      <c r="CC109" s="220"/>
      <c r="CD109" s="220"/>
      <c r="CE109" s="220"/>
      <c r="CF109" s="220"/>
      <c r="CG109" s="220"/>
      <c r="CH109" s="220"/>
      <c r="CI109" s="220"/>
      <c r="CJ109" s="220"/>
      <c r="CK109" s="220"/>
      <c r="CL109" s="220"/>
      <c r="CM109" s="220"/>
      <c r="CN109" s="220"/>
      <c r="CO109" s="220"/>
      <c r="CP109" s="220"/>
      <c r="CQ109" s="220"/>
      <c r="CR109" s="220"/>
      <c r="CS109" s="220"/>
      <c r="CT109" s="220"/>
      <c r="CU109" s="220"/>
      <c r="CV109" s="220"/>
      <c r="CW109" s="220"/>
      <c r="CX109" s="220"/>
      <c r="CY109" s="220"/>
      <c r="CZ109" s="220"/>
      <c r="DA109" s="220"/>
      <c r="DB109" s="220"/>
      <c r="DC109" s="220"/>
      <c r="DD109" s="220"/>
      <c r="DE109" s="220"/>
      <c r="DF109" s="220"/>
      <c r="DG109" s="220"/>
      <c r="DH109" s="220"/>
      <c r="DI109" s="220"/>
      <c r="DJ109" s="220"/>
      <c r="DK109" s="220"/>
      <c r="DL109" s="220"/>
      <c r="DM109" s="220"/>
      <c r="DN109" s="220"/>
      <c r="DO109" s="220"/>
      <c r="DP109" s="220"/>
      <c r="DQ109" s="220"/>
    </row>
    <row r="110" spans="14:121" x14ac:dyDescent="0.25">
      <c r="N110" s="220"/>
      <c r="O110" s="220"/>
      <c r="P110" s="220"/>
      <c r="Q110" s="220"/>
      <c r="R110" s="220"/>
      <c r="S110" s="220"/>
      <c r="T110" s="220"/>
      <c r="U110" s="220"/>
      <c r="V110" s="220"/>
      <c r="W110" s="220"/>
      <c r="X110" s="220"/>
      <c r="Y110" s="220"/>
      <c r="Z110" s="220"/>
      <c r="AA110" s="220"/>
      <c r="AB110" s="220"/>
      <c r="AC110" s="220"/>
      <c r="AD110" s="220"/>
      <c r="AE110" s="220"/>
      <c r="AF110" s="220"/>
      <c r="AG110" s="220"/>
      <c r="AH110" s="220"/>
      <c r="AI110" s="220"/>
      <c r="AJ110" s="220"/>
      <c r="AK110" s="220"/>
      <c r="AL110" s="220"/>
      <c r="AM110" s="220"/>
      <c r="AN110" s="220"/>
      <c r="AO110" s="220"/>
      <c r="AP110" s="220"/>
      <c r="AQ110" s="220"/>
      <c r="AR110" s="220"/>
      <c r="AS110" s="220"/>
      <c r="AT110" s="220"/>
      <c r="AU110" s="220"/>
      <c r="AV110" s="220"/>
      <c r="AW110" s="220"/>
      <c r="AX110" s="220"/>
      <c r="AY110" s="220"/>
      <c r="AZ110" s="220"/>
      <c r="BA110" s="220"/>
      <c r="BB110" s="220"/>
      <c r="BC110" s="220"/>
      <c r="BD110" s="220"/>
      <c r="BE110" s="220"/>
      <c r="BF110" s="220"/>
      <c r="BG110" s="220"/>
      <c r="BH110" s="220"/>
      <c r="BI110" s="220"/>
      <c r="BJ110" s="220"/>
      <c r="BK110" s="220"/>
      <c r="BL110" s="220"/>
      <c r="BM110" s="220"/>
      <c r="BN110" s="220"/>
      <c r="BO110" s="220"/>
      <c r="BP110" s="220"/>
      <c r="BQ110" s="220"/>
      <c r="BR110" s="220"/>
      <c r="BS110" s="220"/>
      <c r="BT110" s="220"/>
      <c r="BU110" s="220"/>
      <c r="BV110" s="220"/>
      <c r="BW110" s="220"/>
      <c r="BX110" s="220"/>
      <c r="BY110" s="220"/>
      <c r="BZ110" s="220"/>
      <c r="CA110" s="220"/>
      <c r="CB110" s="220"/>
      <c r="CC110" s="220"/>
      <c r="CD110" s="220"/>
      <c r="CE110" s="220"/>
      <c r="CF110" s="220"/>
      <c r="CG110" s="220"/>
      <c r="CH110" s="220"/>
      <c r="CI110" s="220"/>
      <c r="CJ110" s="220"/>
      <c r="CK110" s="220"/>
      <c r="CL110" s="220"/>
      <c r="CM110" s="220"/>
      <c r="CN110" s="220"/>
      <c r="CO110" s="220"/>
      <c r="CP110" s="220"/>
      <c r="CQ110" s="220"/>
      <c r="CR110" s="220"/>
      <c r="CS110" s="220"/>
      <c r="CT110" s="220"/>
      <c r="CU110" s="220"/>
      <c r="CV110" s="220"/>
      <c r="CW110" s="220"/>
      <c r="CX110" s="220"/>
      <c r="CY110" s="220"/>
      <c r="CZ110" s="220"/>
      <c r="DA110" s="220"/>
      <c r="DB110" s="220"/>
      <c r="DC110" s="220"/>
      <c r="DD110" s="220"/>
      <c r="DE110" s="220"/>
      <c r="DF110" s="220"/>
      <c r="DG110" s="220"/>
      <c r="DH110" s="220"/>
      <c r="DI110" s="220"/>
      <c r="DJ110" s="220"/>
      <c r="DK110" s="220"/>
      <c r="DL110" s="220"/>
      <c r="DM110" s="220"/>
      <c r="DN110" s="220"/>
      <c r="DO110" s="220"/>
      <c r="DP110" s="220"/>
      <c r="DQ110" s="220"/>
    </row>
    <row r="111" spans="14:121" x14ac:dyDescent="0.25">
      <c r="N111" s="220"/>
      <c r="O111" s="220"/>
      <c r="P111" s="220"/>
      <c r="Q111" s="220"/>
      <c r="R111" s="220"/>
      <c r="S111" s="220"/>
      <c r="T111" s="220"/>
      <c r="U111" s="220"/>
      <c r="V111" s="220"/>
      <c r="W111" s="220"/>
      <c r="X111" s="220"/>
      <c r="Y111" s="220"/>
      <c r="Z111" s="220"/>
      <c r="AA111" s="220"/>
      <c r="AB111" s="220"/>
      <c r="AC111" s="220"/>
      <c r="AD111" s="220"/>
      <c r="AE111" s="220"/>
      <c r="AF111" s="220"/>
      <c r="AG111" s="220"/>
      <c r="AH111" s="220"/>
      <c r="AI111" s="220"/>
      <c r="AJ111" s="220"/>
      <c r="AK111" s="220"/>
      <c r="AL111" s="220"/>
      <c r="AM111" s="220"/>
      <c r="AN111" s="220"/>
      <c r="AO111" s="220"/>
      <c r="AP111" s="220"/>
      <c r="AQ111" s="220"/>
      <c r="AR111" s="220"/>
      <c r="AS111" s="220"/>
      <c r="AT111" s="220"/>
      <c r="AU111" s="220"/>
      <c r="AV111" s="220"/>
      <c r="AW111" s="220"/>
      <c r="AX111" s="220"/>
      <c r="AY111" s="220"/>
      <c r="AZ111" s="220"/>
      <c r="BA111" s="220"/>
      <c r="BB111" s="220"/>
      <c r="BC111" s="220"/>
      <c r="BD111" s="220"/>
      <c r="BE111" s="220"/>
      <c r="BF111" s="220"/>
      <c r="BG111" s="220"/>
      <c r="BH111" s="220"/>
      <c r="BI111" s="220"/>
      <c r="BJ111" s="220"/>
      <c r="BK111" s="220"/>
      <c r="BL111" s="220"/>
      <c r="BM111" s="220"/>
      <c r="BN111" s="220"/>
      <c r="BO111" s="220"/>
      <c r="BP111" s="220"/>
      <c r="BQ111" s="220"/>
      <c r="BR111" s="220"/>
      <c r="BS111" s="220"/>
      <c r="BT111" s="220"/>
      <c r="BU111" s="220"/>
      <c r="BV111" s="220"/>
      <c r="BW111" s="220"/>
      <c r="BX111" s="220"/>
      <c r="BY111" s="220"/>
      <c r="BZ111" s="220"/>
      <c r="CA111" s="220"/>
      <c r="CB111" s="220"/>
      <c r="CC111" s="220"/>
      <c r="CD111" s="220"/>
      <c r="CE111" s="220"/>
      <c r="CF111" s="220"/>
      <c r="CG111" s="220"/>
      <c r="CH111" s="220"/>
      <c r="CI111" s="220"/>
      <c r="CJ111" s="220"/>
      <c r="CK111" s="220"/>
      <c r="CL111" s="220"/>
      <c r="CM111" s="220"/>
      <c r="CN111" s="220"/>
      <c r="CO111" s="220"/>
      <c r="CP111" s="220"/>
      <c r="CQ111" s="220"/>
      <c r="CR111" s="220"/>
      <c r="CS111" s="220"/>
      <c r="CT111" s="220"/>
      <c r="CU111" s="220"/>
      <c r="CV111" s="220"/>
      <c r="CW111" s="220"/>
      <c r="CX111" s="220"/>
      <c r="CY111" s="220"/>
      <c r="CZ111" s="220"/>
      <c r="DA111" s="220"/>
      <c r="DB111" s="220"/>
      <c r="DC111" s="220"/>
      <c r="DD111" s="220"/>
      <c r="DE111" s="220"/>
      <c r="DF111" s="220"/>
      <c r="DG111" s="220"/>
      <c r="DH111" s="220"/>
      <c r="DI111" s="220"/>
      <c r="DJ111" s="220"/>
      <c r="DK111" s="220"/>
      <c r="DL111" s="220"/>
      <c r="DM111" s="220"/>
      <c r="DN111" s="220"/>
      <c r="DO111" s="220"/>
      <c r="DP111" s="220"/>
      <c r="DQ111" s="220"/>
    </row>
    <row r="112" spans="14:121" x14ac:dyDescent="0.25">
      <c r="N112" s="220"/>
      <c r="O112" s="220"/>
      <c r="P112" s="220"/>
      <c r="Q112" s="220"/>
      <c r="R112" s="220"/>
      <c r="S112" s="220"/>
      <c r="T112" s="220"/>
      <c r="U112" s="220"/>
      <c r="V112" s="220"/>
      <c r="W112" s="220"/>
      <c r="X112" s="220"/>
      <c r="Y112" s="220"/>
      <c r="Z112" s="220"/>
      <c r="AA112" s="220"/>
      <c r="AB112" s="220"/>
      <c r="AC112" s="220"/>
      <c r="AD112" s="220"/>
      <c r="AE112" s="220"/>
      <c r="AF112" s="220"/>
      <c r="AG112" s="220"/>
      <c r="AH112" s="220"/>
      <c r="AI112" s="220"/>
      <c r="AJ112" s="220"/>
      <c r="AK112" s="220"/>
      <c r="AL112" s="220"/>
      <c r="AM112" s="220"/>
      <c r="AN112" s="220"/>
      <c r="AO112" s="220"/>
      <c r="AP112" s="220"/>
      <c r="AQ112" s="220"/>
      <c r="AR112" s="220"/>
      <c r="AS112" s="220"/>
      <c r="AT112" s="220"/>
      <c r="AU112" s="220"/>
      <c r="AV112" s="220"/>
      <c r="AW112" s="220"/>
      <c r="AX112" s="220"/>
      <c r="AY112" s="220"/>
      <c r="AZ112" s="220"/>
      <c r="BA112" s="220"/>
      <c r="BB112" s="220"/>
      <c r="BC112" s="220"/>
      <c r="BD112" s="220"/>
      <c r="BE112" s="220"/>
      <c r="BF112" s="220"/>
      <c r="BG112" s="220"/>
      <c r="BH112" s="220"/>
      <c r="BI112" s="220"/>
      <c r="BJ112" s="220"/>
      <c r="BK112" s="220"/>
      <c r="BL112" s="220"/>
      <c r="BM112" s="220"/>
      <c r="BN112" s="220"/>
      <c r="BO112" s="220"/>
      <c r="BP112" s="220"/>
      <c r="BQ112" s="220"/>
      <c r="BR112" s="220"/>
      <c r="BS112" s="220"/>
      <c r="BT112" s="220"/>
      <c r="BU112" s="220"/>
      <c r="BV112" s="220"/>
      <c r="BW112" s="220"/>
      <c r="BX112" s="220"/>
      <c r="BY112" s="220"/>
      <c r="BZ112" s="220"/>
      <c r="CA112" s="220"/>
      <c r="CB112" s="220"/>
      <c r="CC112" s="220"/>
      <c r="CD112" s="220"/>
      <c r="CE112" s="220"/>
      <c r="CF112" s="220"/>
      <c r="CG112" s="220"/>
      <c r="CH112" s="220"/>
      <c r="CI112" s="220"/>
      <c r="CJ112" s="220"/>
      <c r="CK112" s="220"/>
      <c r="CL112" s="220"/>
      <c r="CM112" s="220"/>
      <c r="CN112" s="220"/>
      <c r="CO112" s="220"/>
      <c r="CP112" s="220"/>
      <c r="CQ112" s="220"/>
      <c r="CR112" s="220"/>
      <c r="CS112" s="220"/>
      <c r="CT112" s="220"/>
      <c r="CU112" s="220"/>
      <c r="CV112" s="220"/>
      <c r="CW112" s="220"/>
      <c r="CX112" s="220"/>
      <c r="CY112" s="220"/>
      <c r="CZ112" s="220"/>
      <c r="DA112" s="220"/>
      <c r="DB112" s="220"/>
      <c r="DC112" s="220"/>
      <c r="DD112" s="220"/>
      <c r="DE112" s="220"/>
      <c r="DF112" s="220"/>
      <c r="DG112" s="220"/>
      <c r="DH112" s="220"/>
      <c r="DI112" s="220"/>
      <c r="DJ112" s="220"/>
      <c r="DK112" s="220"/>
      <c r="DL112" s="220"/>
      <c r="DM112" s="220"/>
      <c r="DN112" s="220"/>
      <c r="DO112" s="220"/>
      <c r="DP112" s="220"/>
      <c r="DQ112" s="220"/>
    </row>
    <row r="113" spans="14:121" x14ac:dyDescent="0.25">
      <c r="N113" s="220"/>
      <c r="O113" s="220"/>
      <c r="P113" s="220"/>
      <c r="Q113" s="220"/>
      <c r="R113" s="220"/>
      <c r="S113" s="220"/>
      <c r="T113" s="220"/>
      <c r="U113" s="220"/>
      <c r="V113" s="220"/>
      <c r="W113" s="220"/>
      <c r="X113" s="220"/>
      <c r="Y113" s="220"/>
      <c r="Z113" s="220"/>
      <c r="AA113" s="220"/>
      <c r="AB113" s="220"/>
      <c r="AC113" s="220"/>
      <c r="AD113" s="220"/>
      <c r="AE113" s="220"/>
      <c r="AF113" s="220"/>
      <c r="AG113" s="220"/>
      <c r="AH113" s="220"/>
      <c r="AI113" s="220"/>
      <c r="AJ113" s="220"/>
      <c r="AK113" s="220"/>
      <c r="AL113" s="220"/>
      <c r="AM113" s="220"/>
      <c r="AN113" s="220"/>
      <c r="AO113" s="220"/>
      <c r="AP113" s="220"/>
      <c r="AQ113" s="220"/>
      <c r="AR113" s="220"/>
      <c r="AS113" s="220"/>
      <c r="AT113" s="220"/>
      <c r="AU113" s="220"/>
      <c r="AV113" s="220"/>
      <c r="AW113" s="220"/>
      <c r="AX113" s="220"/>
      <c r="AY113" s="220"/>
      <c r="AZ113" s="220"/>
      <c r="BA113" s="220"/>
      <c r="BB113" s="220"/>
      <c r="BC113" s="220"/>
      <c r="BD113" s="220"/>
      <c r="BE113" s="220"/>
      <c r="BF113" s="220"/>
      <c r="BG113" s="220"/>
      <c r="BH113" s="220"/>
      <c r="BI113" s="220"/>
      <c r="BJ113" s="220"/>
      <c r="BK113" s="220"/>
      <c r="BL113" s="220"/>
      <c r="BM113" s="220"/>
      <c r="BN113" s="220"/>
      <c r="BO113" s="220"/>
      <c r="BP113" s="220"/>
      <c r="BQ113" s="220"/>
      <c r="BR113" s="220"/>
      <c r="BS113" s="220"/>
      <c r="BT113" s="220"/>
      <c r="BU113" s="220"/>
      <c r="BV113" s="220"/>
      <c r="BW113" s="220"/>
      <c r="BX113" s="220"/>
      <c r="BY113" s="220"/>
      <c r="BZ113" s="220"/>
      <c r="CA113" s="220"/>
      <c r="CB113" s="220"/>
      <c r="CC113" s="220"/>
      <c r="CD113" s="220"/>
      <c r="CE113" s="220"/>
      <c r="CF113" s="220"/>
      <c r="CG113" s="220"/>
      <c r="CH113" s="220"/>
      <c r="CI113" s="220"/>
      <c r="CJ113" s="220"/>
      <c r="CK113" s="220"/>
      <c r="CL113" s="220"/>
      <c r="CM113" s="220"/>
      <c r="CN113" s="220"/>
      <c r="CO113" s="220"/>
      <c r="CP113" s="220"/>
      <c r="CQ113" s="220"/>
      <c r="CR113" s="220"/>
      <c r="CS113" s="220"/>
      <c r="CT113" s="220"/>
      <c r="CU113" s="220"/>
      <c r="CV113" s="220"/>
      <c r="CW113" s="220"/>
      <c r="CX113" s="220"/>
      <c r="CY113" s="220"/>
      <c r="CZ113" s="220"/>
      <c r="DA113" s="220"/>
      <c r="DB113" s="220"/>
      <c r="DC113" s="220"/>
      <c r="DD113" s="220"/>
      <c r="DE113" s="220"/>
      <c r="DF113" s="220"/>
      <c r="DG113" s="220"/>
      <c r="DH113" s="220"/>
      <c r="DI113" s="220"/>
      <c r="DJ113" s="220"/>
      <c r="DK113" s="220"/>
      <c r="DL113" s="220"/>
      <c r="DM113" s="220"/>
      <c r="DN113" s="220"/>
      <c r="DO113" s="220"/>
      <c r="DP113" s="220"/>
      <c r="DQ113" s="220"/>
    </row>
    <row r="114" spans="14:121" x14ac:dyDescent="0.25">
      <c r="N114" s="220"/>
      <c r="O114" s="220"/>
      <c r="P114" s="220"/>
      <c r="Q114" s="220"/>
      <c r="R114" s="220"/>
      <c r="S114" s="220"/>
      <c r="T114" s="220"/>
      <c r="U114" s="220"/>
      <c r="V114" s="220"/>
      <c r="W114" s="220"/>
      <c r="X114" s="220"/>
      <c r="Y114" s="220"/>
      <c r="Z114" s="220"/>
      <c r="AA114" s="220"/>
      <c r="AB114" s="220"/>
      <c r="AC114" s="220"/>
      <c r="AD114" s="220"/>
      <c r="AE114" s="220"/>
      <c r="AF114" s="220"/>
      <c r="AG114" s="220"/>
      <c r="AH114" s="220"/>
      <c r="AI114" s="220"/>
      <c r="AJ114" s="220"/>
      <c r="AK114" s="220"/>
      <c r="AL114" s="220"/>
      <c r="AM114" s="220"/>
      <c r="AN114" s="220"/>
      <c r="AO114" s="220"/>
      <c r="AP114" s="220"/>
      <c r="AQ114" s="220"/>
      <c r="AR114" s="220"/>
      <c r="AS114" s="220"/>
      <c r="AT114" s="220"/>
      <c r="AU114" s="220"/>
      <c r="AV114" s="220"/>
      <c r="AW114" s="220"/>
      <c r="AX114" s="220"/>
      <c r="AY114" s="220"/>
      <c r="AZ114" s="220"/>
      <c r="BA114" s="220"/>
      <c r="BB114" s="220"/>
      <c r="BC114" s="220"/>
      <c r="BD114" s="220"/>
      <c r="BE114" s="220"/>
      <c r="BF114" s="220"/>
      <c r="BG114" s="220"/>
      <c r="BH114" s="220"/>
      <c r="BI114" s="220"/>
      <c r="BJ114" s="220"/>
      <c r="BK114" s="220"/>
      <c r="BL114" s="220"/>
      <c r="BM114" s="220"/>
      <c r="BN114" s="220"/>
      <c r="BO114" s="220"/>
      <c r="BP114" s="220"/>
      <c r="BQ114" s="220"/>
      <c r="BR114" s="220"/>
      <c r="BS114" s="220"/>
      <c r="BT114" s="220"/>
      <c r="BU114" s="220"/>
      <c r="BV114" s="220"/>
      <c r="BW114" s="220"/>
      <c r="BX114" s="220"/>
      <c r="BY114" s="220"/>
      <c r="BZ114" s="220"/>
      <c r="CA114" s="220"/>
      <c r="CB114" s="220"/>
      <c r="CC114" s="220"/>
      <c r="CD114" s="220"/>
      <c r="CE114" s="220"/>
      <c r="CF114" s="220"/>
      <c r="CG114" s="220"/>
      <c r="CH114" s="220"/>
      <c r="CI114" s="220"/>
      <c r="CJ114" s="220"/>
      <c r="CK114" s="220"/>
      <c r="CL114" s="220"/>
      <c r="CM114" s="220"/>
      <c r="CN114" s="220"/>
      <c r="CO114" s="220"/>
      <c r="CP114" s="220"/>
      <c r="CQ114" s="220"/>
      <c r="CR114" s="220"/>
      <c r="CS114" s="220"/>
      <c r="CT114" s="220"/>
      <c r="CU114" s="220"/>
      <c r="CV114" s="220"/>
      <c r="CW114" s="220"/>
      <c r="CX114" s="220"/>
      <c r="CY114" s="220"/>
      <c r="CZ114" s="220"/>
      <c r="DA114" s="220"/>
      <c r="DB114" s="220"/>
      <c r="DC114" s="220"/>
      <c r="DD114" s="220"/>
      <c r="DE114" s="220"/>
      <c r="DF114" s="220"/>
      <c r="DG114" s="220"/>
      <c r="DH114" s="220"/>
      <c r="DI114" s="220"/>
      <c r="DJ114" s="220"/>
      <c r="DK114" s="220"/>
      <c r="DL114" s="220"/>
      <c r="DM114" s="220"/>
      <c r="DN114" s="220"/>
      <c r="DO114" s="220"/>
      <c r="DP114" s="220"/>
      <c r="DQ114" s="220"/>
    </row>
    <row r="115" spans="14:121" x14ac:dyDescent="0.25">
      <c r="N115" s="220"/>
      <c r="O115" s="220"/>
      <c r="P115" s="220"/>
      <c r="Q115" s="220"/>
      <c r="R115" s="220"/>
      <c r="S115" s="220"/>
      <c r="T115" s="220"/>
      <c r="U115" s="220"/>
      <c r="V115" s="220"/>
      <c r="W115" s="220"/>
      <c r="X115" s="220"/>
      <c r="Y115" s="220"/>
      <c r="Z115" s="220"/>
      <c r="AA115" s="220"/>
      <c r="AB115" s="220"/>
      <c r="AC115" s="220"/>
      <c r="AD115" s="220"/>
      <c r="AE115" s="220"/>
      <c r="AF115" s="220"/>
      <c r="AG115" s="220"/>
      <c r="AH115" s="220"/>
      <c r="AI115" s="220"/>
      <c r="AJ115" s="220"/>
      <c r="AK115" s="220"/>
      <c r="AL115" s="220"/>
      <c r="AM115" s="220"/>
      <c r="AN115" s="220"/>
      <c r="AO115" s="220"/>
      <c r="AP115" s="220"/>
      <c r="AQ115" s="220"/>
      <c r="AR115" s="220"/>
      <c r="AS115" s="220"/>
      <c r="AT115" s="220"/>
      <c r="AU115" s="220"/>
      <c r="AV115" s="220"/>
      <c r="AW115" s="220"/>
      <c r="AX115" s="220"/>
      <c r="AY115" s="220"/>
      <c r="AZ115" s="220"/>
      <c r="BA115" s="220"/>
      <c r="BB115" s="220"/>
      <c r="BC115" s="220"/>
      <c r="BD115" s="220"/>
      <c r="BE115" s="220"/>
      <c r="BF115" s="220"/>
      <c r="BG115" s="220"/>
      <c r="BH115" s="220"/>
      <c r="BI115" s="220"/>
      <c r="BJ115" s="220"/>
      <c r="BK115" s="220"/>
      <c r="BL115" s="220"/>
      <c r="BM115" s="220"/>
      <c r="BN115" s="220"/>
      <c r="BO115" s="220"/>
      <c r="BP115" s="220"/>
      <c r="BQ115" s="220"/>
      <c r="BR115" s="220"/>
      <c r="BS115" s="220"/>
      <c r="BT115" s="220"/>
      <c r="BU115" s="220"/>
      <c r="BV115" s="220"/>
      <c r="BW115" s="220"/>
      <c r="BX115" s="220"/>
      <c r="BY115" s="220"/>
      <c r="BZ115" s="220"/>
      <c r="CA115" s="220"/>
      <c r="CB115" s="220"/>
      <c r="CC115" s="220"/>
      <c r="CD115" s="220"/>
      <c r="CE115" s="220"/>
      <c r="CF115" s="220"/>
      <c r="CG115" s="220"/>
      <c r="CH115" s="220"/>
      <c r="CI115" s="220"/>
      <c r="CJ115" s="220"/>
      <c r="CK115" s="220"/>
      <c r="CL115" s="220"/>
      <c r="CM115" s="220"/>
      <c r="CN115" s="220"/>
      <c r="CO115" s="220"/>
      <c r="CP115" s="220"/>
      <c r="CQ115" s="220"/>
      <c r="CR115" s="220"/>
      <c r="CS115" s="220"/>
      <c r="CT115" s="220"/>
      <c r="CU115" s="220"/>
      <c r="CV115" s="220"/>
      <c r="CW115" s="220"/>
      <c r="CX115" s="220"/>
      <c r="CY115" s="220"/>
      <c r="CZ115" s="220"/>
      <c r="DA115" s="220"/>
      <c r="DB115" s="220"/>
      <c r="DC115" s="220"/>
      <c r="DD115" s="220"/>
      <c r="DE115" s="220"/>
      <c r="DF115" s="220"/>
      <c r="DG115" s="220"/>
      <c r="DH115" s="220"/>
      <c r="DI115" s="220"/>
      <c r="DJ115" s="220"/>
      <c r="DK115" s="220"/>
      <c r="DL115" s="220"/>
      <c r="DM115" s="220"/>
      <c r="DN115" s="220"/>
      <c r="DO115" s="220"/>
      <c r="DP115" s="220"/>
      <c r="DQ115" s="220"/>
    </row>
    <row r="116" spans="14:121" x14ac:dyDescent="0.25">
      <c r="N116" s="220"/>
      <c r="O116" s="220"/>
      <c r="P116" s="220"/>
      <c r="Q116" s="220"/>
      <c r="R116" s="220"/>
      <c r="S116" s="220"/>
      <c r="T116" s="220"/>
      <c r="U116" s="220"/>
      <c r="V116" s="220"/>
      <c r="W116" s="220"/>
      <c r="X116" s="220"/>
      <c r="Y116" s="220"/>
      <c r="Z116" s="220"/>
      <c r="AA116" s="220"/>
      <c r="AB116" s="220"/>
      <c r="AC116" s="220"/>
      <c r="AD116" s="220"/>
      <c r="AE116" s="220"/>
      <c r="AF116" s="220"/>
      <c r="AG116" s="220"/>
      <c r="AH116" s="220"/>
      <c r="AI116" s="220"/>
      <c r="AJ116" s="220"/>
      <c r="AK116" s="220"/>
      <c r="AL116" s="220"/>
      <c r="AM116" s="220"/>
      <c r="AN116" s="220"/>
      <c r="AO116" s="220"/>
      <c r="AP116" s="220"/>
      <c r="AQ116" s="220"/>
      <c r="AR116" s="220"/>
      <c r="AS116" s="220"/>
      <c r="AT116" s="220"/>
      <c r="AU116" s="220"/>
      <c r="AV116" s="220"/>
      <c r="AW116" s="220"/>
      <c r="AX116" s="220"/>
      <c r="AY116" s="220"/>
      <c r="AZ116" s="220"/>
      <c r="BA116" s="220"/>
      <c r="BB116" s="220"/>
      <c r="BC116" s="220"/>
      <c r="BD116" s="220"/>
      <c r="BE116" s="220"/>
      <c r="BF116" s="220"/>
      <c r="BG116" s="220"/>
      <c r="BH116" s="220"/>
      <c r="BI116" s="220"/>
      <c r="BJ116" s="220"/>
      <c r="BK116" s="220"/>
      <c r="BL116" s="220"/>
      <c r="BM116" s="220"/>
      <c r="BN116" s="220"/>
      <c r="BO116" s="220"/>
      <c r="BP116" s="220"/>
      <c r="BQ116" s="220"/>
      <c r="BR116" s="220"/>
      <c r="BS116" s="220"/>
      <c r="BT116" s="220"/>
      <c r="BU116" s="220"/>
      <c r="BV116" s="220"/>
      <c r="BW116" s="220"/>
      <c r="BX116" s="220"/>
      <c r="BY116" s="220"/>
      <c r="BZ116" s="220"/>
      <c r="CA116" s="220"/>
      <c r="CB116" s="220"/>
      <c r="CC116" s="220"/>
      <c r="CD116" s="220"/>
      <c r="CE116" s="220"/>
      <c r="CF116" s="220"/>
      <c r="CG116" s="220"/>
      <c r="CH116" s="220"/>
      <c r="CI116" s="220"/>
      <c r="CJ116" s="220"/>
      <c r="CK116" s="220"/>
      <c r="CL116" s="220"/>
      <c r="CM116" s="220"/>
      <c r="CN116" s="220"/>
      <c r="CO116" s="220"/>
      <c r="CP116" s="220"/>
      <c r="CQ116" s="220"/>
      <c r="CR116" s="220"/>
      <c r="CS116" s="220"/>
      <c r="CT116" s="220"/>
      <c r="CU116" s="220"/>
      <c r="CV116" s="220"/>
      <c r="CW116" s="220"/>
      <c r="CX116" s="220"/>
      <c r="CY116" s="220"/>
      <c r="CZ116" s="220"/>
      <c r="DA116" s="220"/>
      <c r="DB116" s="220"/>
      <c r="DC116" s="220"/>
      <c r="DD116" s="220"/>
      <c r="DE116" s="220"/>
      <c r="DF116" s="220"/>
      <c r="DG116" s="220"/>
      <c r="DH116" s="220"/>
      <c r="DI116" s="220"/>
      <c r="DJ116" s="220"/>
      <c r="DK116" s="220"/>
      <c r="DL116" s="220"/>
      <c r="DM116" s="220"/>
      <c r="DN116" s="220"/>
      <c r="DO116" s="220"/>
      <c r="DP116" s="220"/>
      <c r="DQ116" s="220"/>
    </row>
    <row r="117" spans="14:121" x14ac:dyDescent="0.25">
      <c r="N117" s="220"/>
      <c r="O117" s="220"/>
      <c r="P117" s="220"/>
      <c r="Q117" s="220"/>
      <c r="R117" s="220"/>
      <c r="S117" s="220"/>
      <c r="T117" s="220"/>
      <c r="U117" s="220"/>
      <c r="V117" s="220"/>
      <c r="W117" s="220"/>
      <c r="X117" s="220"/>
      <c r="Y117" s="220"/>
      <c r="Z117" s="220"/>
      <c r="AA117" s="220"/>
      <c r="AB117" s="220"/>
      <c r="AC117" s="220"/>
      <c r="AD117" s="220"/>
      <c r="AE117" s="220"/>
      <c r="AF117" s="220"/>
      <c r="AG117" s="220"/>
      <c r="AH117" s="220"/>
      <c r="AI117" s="220"/>
      <c r="AJ117" s="220"/>
      <c r="AK117" s="220"/>
      <c r="AL117" s="220"/>
      <c r="AM117" s="220"/>
      <c r="AN117" s="220"/>
      <c r="AO117" s="220"/>
      <c r="AP117" s="220"/>
      <c r="AQ117" s="220"/>
      <c r="AR117" s="220"/>
      <c r="AS117" s="220"/>
      <c r="AT117" s="220"/>
      <c r="AU117" s="220"/>
      <c r="AV117" s="220"/>
      <c r="AW117" s="220"/>
      <c r="AX117" s="220"/>
      <c r="AY117" s="220"/>
      <c r="AZ117" s="220"/>
      <c r="BA117" s="220"/>
      <c r="BB117" s="220"/>
      <c r="BC117" s="220"/>
      <c r="BD117" s="220"/>
      <c r="BE117" s="220"/>
      <c r="BF117" s="220"/>
      <c r="BG117" s="220"/>
      <c r="BH117" s="220"/>
      <c r="BI117" s="220"/>
      <c r="BJ117" s="220"/>
      <c r="BK117" s="220"/>
      <c r="BL117" s="220"/>
      <c r="BM117" s="220"/>
      <c r="BN117" s="220"/>
      <c r="BO117" s="220"/>
      <c r="BP117" s="220"/>
      <c r="BQ117" s="220"/>
      <c r="BR117" s="220"/>
      <c r="BS117" s="220"/>
      <c r="BT117" s="220"/>
      <c r="BU117" s="220"/>
      <c r="BV117" s="220"/>
      <c r="BW117" s="220"/>
      <c r="BX117" s="220"/>
      <c r="BY117" s="220"/>
      <c r="BZ117" s="220"/>
      <c r="CA117" s="220"/>
      <c r="CB117" s="220"/>
      <c r="CC117" s="220"/>
      <c r="CD117" s="220"/>
      <c r="CE117" s="220"/>
      <c r="CF117" s="220"/>
      <c r="CG117" s="220"/>
      <c r="CH117" s="220"/>
      <c r="CI117" s="220"/>
      <c r="CJ117" s="220"/>
      <c r="CK117" s="220"/>
      <c r="CL117" s="220"/>
      <c r="CM117" s="220"/>
      <c r="CN117" s="220"/>
      <c r="CO117" s="220"/>
      <c r="CP117" s="220"/>
      <c r="CQ117" s="220"/>
      <c r="CR117" s="220"/>
      <c r="CS117" s="220"/>
      <c r="CT117" s="220"/>
      <c r="CU117" s="220"/>
      <c r="CV117" s="220"/>
      <c r="CW117" s="220"/>
      <c r="CX117" s="220"/>
      <c r="CY117" s="220"/>
      <c r="CZ117" s="220"/>
      <c r="DA117" s="220"/>
      <c r="DB117" s="220"/>
      <c r="DC117" s="220"/>
      <c r="DD117" s="220"/>
      <c r="DE117" s="220"/>
      <c r="DF117" s="220"/>
      <c r="DG117" s="220"/>
      <c r="DH117" s="220"/>
      <c r="DI117" s="220"/>
      <c r="DJ117" s="220"/>
      <c r="DK117" s="220"/>
      <c r="DL117" s="220"/>
      <c r="DM117" s="220"/>
      <c r="DN117" s="220"/>
      <c r="DO117" s="220"/>
      <c r="DP117" s="220"/>
      <c r="DQ117" s="220"/>
    </row>
    <row r="118" spans="14:121" x14ac:dyDescent="0.25">
      <c r="N118" s="220"/>
      <c r="O118" s="220"/>
      <c r="P118" s="220"/>
      <c r="Q118" s="220"/>
      <c r="R118" s="220"/>
      <c r="S118" s="220"/>
      <c r="T118" s="220"/>
      <c r="U118" s="220"/>
      <c r="V118" s="220"/>
      <c r="W118" s="220"/>
      <c r="X118" s="220"/>
      <c r="Y118" s="220"/>
      <c r="Z118" s="220"/>
      <c r="AA118" s="220"/>
      <c r="AB118" s="220"/>
      <c r="AC118" s="220"/>
      <c r="AD118" s="220"/>
      <c r="AE118" s="220"/>
      <c r="AF118" s="220"/>
      <c r="AG118" s="220"/>
      <c r="AH118" s="220"/>
      <c r="AI118" s="220"/>
      <c r="AJ118" s="220"/>
      <c r="AK118" s="220"/>
      <c r="AL118" s="220"/>
      <c r="AM118" s="220"/>
      <c r="AN118" s="220"/>
      <c r="AO118" s="220"/>
      <c r="AP118" s="220"/>
      <c r="AQ118" s="220"/>
      <c r="AR118" s="220"/>
      <c r="AS118" s="220"/>
      <c r="AT118" s="220"/>
      <c r="AU118" s="220"/>
      <c r="AV118" s="220"/>
      <c r="AW118" s="220"/>
      <c r="AX118" s="220"/>
      <c r="AY118" s="220"/>
      <c r="AZ118" s="220"/>
      <c r="BA118" s="220"/>
      <c r="BB118" s="220"/>
      <c r="BC118" s="220"/>
      <c r="BD118" s="220"/>
      <c r="BE118" s="220"/>
      <c r="BF118" s="220"/>
      <c r="BG118" s="220"/>
      <c r="BH118" s="220"/>
      <c r="BI118" s="220"/>
      <c r="BJ118" s="220"/>
      <c r="BK118" s="220"/>
      <c r="BL118" s="220"/>
      <c r="BM118" s="220"/>
      <c r="BN118" s="220"/>
      <c r="BO118" s="220"/>
      <c r="BP118" s="220"/>
      <c r="BQ118" s="220"/>
      <c r="BR118" s="220"/>
      <c r="BS118" s="220"/>
      <c r="BT118" s="220"/>
      <c r="BU118" s="220"/>
      <c r="BV118" s="220"/>
      <c r="BW118" s="220"/>
      <c r="BX118" s="220"/>
      <c r="BY118" s="220"/>
      <c r="BZ118" s="220"/>
      <c r="CA118" s="220"/>
      <c r="CB118" s="220"/>
      <c r="CC118" s="220"/>
      <c r="CD118" s="220"/>
      <c r="CE118" s="220"/>
      <c r="CF118" s="220"/>
      <c r="CG118" s="220"/>
      <c r="CH118" s="220"/>
      <c r="CI118" s="220"/>
      <c r="CJ118" s="220"/>
      <c r="CK118" s="220"/>
      <c r="CL118" s="220"/>
      <c r="CM118" s="220"/>
      <c r="CN118" s="220"/>
      <c r="CO118" s="220"/>
      <c r="CP118" s="220"/>
      <c r="CQ118" s="220"/>
      <c r="CR118" s="220"/>
      <c r="CS118" s="220"/>
      <c r="CT118" s="220"/>
      <c r="CU118" s="220"/>
      <c r="CV118" s="220"/>
      <c r="CW118" s="220"/>
      <c r="CX118" s="220"/>
      <c r="CY118" s="220"/>
      <c r="CZ118" s="220"/>
      <c r="DA118" s="220"/>
      <c r="DB118" s="220"/>
      <c r="DC118" s="220"/>
      <c r="DD118" s="220"/>
      <c r="DE118" s="220"/>
      <c r="DF118" s="220"/>
      <c r="DG118" s="220"/>
      <c r="DH118" s="220"/>
      <c r="DI118" s="220"/>
      <c r="DJ118" s="220"/>
      <c r="DK118" s="220"/>
      <c r="DL118" s="220"/>
      <c r="DM118" s="220"/>
      <c r="DN118" s="220"/>
      <c r="DO118" s="220"/>
      <c r="DP118" s="220"/>
      <c r="DQ118" s="220"/>
    </row>
    <row r="119" spans="14:121" x14ac:dyDescent="0.25">
      <c r="N119" s="220"/>
      <c r="O119" s="220"/>
      <c r="P119" s="220"/>
      <c r="Q119" s="220"/>
      <c r="R119" s="220"/>
      <c r="S119" s="220"/>
      <c r="T119" s="220"/>
      <c r="U119" s="220"/>
      <c r="V119" s="220"/>
      <c r="W119" s="220"/>
      <c r="X119" s="220"/>
      <c r="Y119" s="220"/>
      <c r="Z119" s="220"/>
      <c r="AA119" s="220"/>
      <c r="AB119" s="220"/>
      <c r="AC119" s="220"/>
      <c r="AD119" s="220"/>
      <c r="AE119" s="220"/>
      <c r="AF119" s="220"/>
      <c r="AG119" s="220"/>
      <c r="AH119" s="220"/>
      <c r="AI119" s="220"/>
      <c r="AJ119" s="220"/>
      <c r="AK119" s="220"/>
      <c r="AL119" s="220"/>
      <c r="AM119" s="220"/>
      <c r="AN119" s="220"/>
      <c r="AO119" s="220"/>
      <c r="AP119" s="220"/>
      <c r="AQ119" s="220"/>
      <c r="AR119" s="220"/>
      <c r="AS119" s="220"/>
      <c r="AT119" s="220"/>
      <c r="AU119" s="220"/>
      <c r="AV119" s="220"/>
      <c r="AW119" s="220"/>
      <c r="AX119" s="220"/>
      <c r="AY119" s="220"/>
      <c r="AZ119" s="220"/>
      <c r="BA119" s="220"/>
      <c r="BB119" s="220"/>
      <c r="BC119" s="220"/>
      <c r="BD119" s="220"/>
      <c r="BE119" s="220"/>
      <c r="BF119" s="220"/>
      <c r="BG119" s="220"/>
      <c r="BH119" s="220"/>
      <c r="BI119" s="220"/>
      <c r="BJ119" s="220"/>
      <c r="BK119" s="220"/>
      <c r="BL119" s="220"/>
      <c r="BM119" s="220"/>
      <c r="BN119" s="220"/>
      <c r="BO119" s="220"/>
      <c r="BP119" s="220"/>
      <c r="BQ119" s="220"/>
      <c r="BR119" s="220"/>
      <c r="BS119" s="220"/>
      <c r="BT119" s="220"/>
      <c r="BU119" s="220"/>
      <c r="BV119" s="220"/>
      <c r="BW119" s="220"/>
      <c r="BX119" s="220"/>
      <c r="BY119" s="220"/>
      <c r="BZ119" s="220"/>
      <c r="CA119" s="220"/>
      <c r="CB119" s="220"/>
      <c r="CC119" s="220"/>
      <c r="CD119" s="220"/>
      <c r="CE119" s="220"/>
      <c r="CF119" s="220"/>
      <c r="CG119" s="220"/>
      <c r="CH119" s="220"/>
      <c r="CI119" s="220"/>
      <c r="CJ119" s="220"/>
      <c r="CK119" s="220"/>
      <c r="CL119" s="220"/>
      <c r="CM119" s="220"/>
      <c r="CN119" s="220"/>
      <c r="CO119" s="220"/>
      <c r="CP119" s="220"/>
      <c r="CQ119" s="220"/>
      <c r="CR119" s="220"/>
      <c r="CS119" s="220"/>
      <c r="CT119" s="220"/>
      <c r="CU119" s="220"/>
      <c r="CV119" s="220"/>
      <c r="CW119" s="220"/>
      <c r="CX119" s="220"/>
      <c r="CY119" s="220"/>
      <c r="CZ119" s="220"/>
      <c r="DA119" s="220"/>
      <c r="DB119" s="220"/>
      <c r="DC119" s="220"/>
      <c r="DD119" s="220"/>
      <c r="DE119" s="220"/>
      <c r="DF119" s="220"/>
      <c r="DG119" s="220"/>
      <c r="DH119" s="220"/>
      <c r="DI119" s="220"/>
      <c r="DJ119" s="220"/>
      <c r="DK119" s="220"/>
      <c r="DL119" s="220"/>
      <c r="DM119" s="220"/>
      <c r="DN119" s="220"/>
      <c r="DO119" s="220"/>
      <c r="DP119" s="220"/>
      <c r="DQ119" s="220"/>
    </row>
    <row r="120" spans="14:121" x14ac:dyDescent="0.25">
      <c r="N120" s="220"/>
      <c r="O120" s="220"/>
      <c r="P120" s="220"/>
      <c r="Q120" s="220"/>
      <c r="R120" s="220"/>
      <c r="S120" s="220"/>
      <c r="T120" s="220"/>
      <c r="U120" s="220"/>
      <c r="V120" s="220"/>
      <c r="W120" s="220"/>
      <c r="X120" s="220"/>
      <c r="Y120" s="220"/>
      <c r="Z120" s="220"/>
      <c r="AA120" s="220"/>
      <c r="AB120" s="220"/>
      <c r="AC120" s="220"/>
      <c r="AD120" s="220"/>
      <c r="AE120" s="220"/>
      <c r="AF120" s="220"/>
      <c r="AG120" s="220"/>
      <c r="AH120" s="220"/>
      <c r="AI120" s="220"/>
      <c r="AJ120" s="220"/>
      <c r="AK120" s="220"/>
      <c r="AL120" s="220"/>
      <c r="AM120" s="220"/>
      <c r="AN120" s="220"/>
      <c r="AO120" s="220"/>
      <c r="AP120" s="220"/>
      <c r="AQ120" s="220"/>
      <c r="AR120" s="220"/>
      <c r="AS120" s="220"/>
      <c r="AT120" s="220"/>
      <c r="AU120" s="220"/>
      <c r="AV120" s="220"/>
      <c r="AW120" s="220"/>
      <c r="AX120" s="220"/>
      <c r="AY120" s="220"/>
      <c r="AZ120" s="220"/>
      <c r="BA120" s="220"/>
      <c r="BB120" s="220"/>
      <c r="BC120" s="220"/>
      <c r="BD120" s="220"/>
      <c r="BE120" s="220"/>
      <c r="BF120" s="220"/>
      <c r="BG120" s="220"/>
      <c r="BH120" s="220"/>
      <c r="BI120" s="220"/>
      <c r="BJ120" s="220"/>
      <c r="BK120" s="220"/>
      <c r="BL120" s="220"/>
      <c r="BM120" s="220"/>
      <c r="BN120" s="220"/>
      <c r="BO120" s="220"/>
      <c r="BP120" s="220"/>
      <c r="BQ120" s="220"/>
      <c r="BR120" s="220"/>
      <c r="BS120" s="220"/>
      <c r="BT120" s="220"/>
      <c r="BU120" s="220"/>
      <c r="BV120" s="220"/>
      <c r="BW120" s="220"/>
      <c r="BX120" s="220"/>
      <c r="BY120" s="220"/>
      <c r="BZ120" s="220"/>
      <c r="CA120" s="220"/>
      <c r="CB120" s="220"/>
      <c r="CC120" s="220"/>
      <c r="CD120" s="220"/>
      <c r="CE120" s="220"/>
      <c r="CF120" s="220"/>
      <c r="CG120" s="220"/>
      <c r="CH120" s="220"/>
      <c r="CI120" s="220"/>
      <c r="CJ120" s="220"/>
      <c r="CK120" s="220"/>
      <c r="CL120" s="220"/>
      <c r="CM120" s="220"/>
      <c r="CN120" s="220"/>
      <c r="CO120" s="220"/>
      <c r="CP120" s="220"/>
      <c r="CQ120" s="220"/>
      <c r="CR120" s="220"/>
      <c r="CS120" s="220"/>
      <c r="CT120" s="220"/>
      <c r="CU120" s="220"/>
      <c r="CV120" s="220"/>
      <c r="CW120" s="220"/>
      <c r="CX120" s="220"/>
      <c r="CY120" s="220"/>
      <c r="CZ120" s="220"/>
      <c r="DA120" s="220"/>
      <c r="DB120" s="220"/>
      <c r="DC120" s="220"/>
      <c r="DD120" s="220"/>
      <c r="DE120" s="220"/>
      <c r="DF120" s="220"/>
      <c r="DG120" s="220"/>
      <c r="DH120" s="220"/>
      <c r="DI120" s="220"/>
      <c r="DJ120" s="220"/>
      <c r="DK120" s="220"/>
      <c r="DL120" s="220"/>
      <c r="DM120" s="220"/>
      <c r="DN120" s="220"/>
      <c r="DO120" s="220"/>
      <c r="DP120" s="220"/>
      <c r="DQ120" s="220"/>
    </row>
    <row r="121" spans="14:121" x14ac:dyDescent="0.25">
      <c r="N121" s="220"/>
      <c r="O121" s="220"/>
      <c r="P121" s="220"/>
      <c r="Q121" s="220"/>
      <c r="R121" s="220"/>
      <c r="S121" s="220"/>
      <c r="T121" s="220"/>
      <c r="U121" s="220"/>
      <c r="V121" s="220"/>
      <c r="W121" s="220"/>
      <c r="X121" s="220"/>
      <c r="Y121" s="220"/>
      <c r="Z121" s="220"/>
      <c r="AA121" s="220"/>
      <c r="AB121" s="220"/>
      <c r="AC121" s="220"/>
      <c r="AD121" s="220"/>
      <c r="AE121" s="220"/>
      <c r="AF121" s="220"/>
      <c r="AG121" s="220"/>
      <c r="AH121" s="220"/>
      <c r="AI121" s="220"/>
      <c r="AJ121" s="220"/>
      <c r="AK121" s="220"/>
      <c r="AL121" s="220"/>
      <c r="AM121" s="220"/>
      <c r="AN121" s="220"/>
      <c r="AO121" s="220"/>
      <c r="AP121" s="220"/>
      <c r="AQ121" s="220"/>
      <c r="AR121" s="220"/>
      <c r="AS121" s="220"/>
      <c r="AT121" s="220"/>
      <c r="AU121" s="220"/>
      <c r="AV121" s="220"/>
      <c r="AW121" s="220"/>
      <c r="AX121" s="220"/>
      <c r="AY121" s="220"/>
      <c r="AZ121" s="220"/>
      <c r="BA121" s="220"/>
      <c r="BB121" s="220"/>
      <c r="BC121" s="220"/>
      <c r="BD121" s="220"/>
      <c r="BE121" s="220"/>
      <c r="BF121" s="220"/>
      <c r="BG121" s="220"/>
      <c r="BH121" s="220"/>
      <c r="BI121" s="220"/>
      <c r="BJ121" s="220"/>
      <c r="BK121" s="220"/>
      <c r="BL121" s="220"/>
      <c r="BM121" s="220"/>
      <c r="BN121" s="220"/>
      <c r="BO121" s="220"/>
      <c r="BP121" s="220"/>
      <c r="BQ121" s="220"/>
      <c r="BR121" s="220"/>
      <c r="BS121" s="220"/>
      <c r="BT121" s="220"/>
      <c r="BU121" s="220"/>
      <c r="BV121" s="220"/>
      <c r="BW121" s="220"/>
      <c r="BX121" s="220"/>
      <c r="BY121" s="220"/>
      <c r="BZ121" s="220"/>
      <c r="CA121" s="220"/>
      <c r="CB121" s="220"/>
      <c r="CC121" s="220"/>
      <c r="CD121" s="220"/>
      <c r="CE121" s="220"/>
      <c r="CF121" s="220"/>
      <c r="CG121" s="220"/>
      <c r="CH121" s="220"/>
      <c r="CI121" s="220"/>
      <c r="CJ121" s="220"/>
      <c r="CK121" s="220"/>
      <c r="CL121" s="220"/>
      <c r="CM121" s="220"/>
      <c r="CN121" s="220"/>
      <c r="CO121" s="220"/>
      <c r="CP121" s="220"/>
      <c r="CQ121" s="220"/>
      <c r="CR121" s="220"/>
      <c r="CS121" s="220"/>
      <c r="CT121" s="220"/>
      <c r="CU121" s="220"/>
      <c r="CV121" s="220"/>
      <c r="CW121" s="220"/>
      <c r="CX121" s="220"/>
      <c r="CY121" s="220"/>
      <c r="CZ121" s="220"/>
      <c r="DA121" s="220"/>
      <c r="DB121" s="220"/>
      <c r="DC121" s="220"/>
      <c r="DD121" s="220"/>
      <c r="DE121" s="220"/>
      <c r="DF121" s="220"/>
      <c r="DG121" s="220"/>
      <c r="DH121" s="220"/>
      <c r="DI121" s="220"/>
      <c r="DJ121" s="220"/>
      <c r="DK121" s="220"/>
      <c r="DL121" s="220"/>
      <c r="DM121" s="220"/>
      <c r="DN121" s="220"/>
      <c r="DO121" s="220"/>
      <c r="DP121" s="220"/>
      <c r="DQ121" s="220"/>
    </row>
    <row r="122" spans="14:121" x14ac:dyDescent="0.25">
      <c r="N122" s="220"/>
      <c r="O122" s="220"/>
      <c r="P122" s="220"/>
      <c r="Q122" s="220"/>
      <c r="R122" s="220"/>
      <c r="S122" s="220"/>
      <c r="T122" s="220"/>
      <c r="U122" s="220"/>
      <c r="V122" s="220"/>
      <c r="W122" s="220"/>
      <c r="X122" s="220"/>
      <c r="Y122" s="220"/>
      <c r="Z122" s="220"/>
      <c r="AA122" s="220"/>
      <c r="AB122" s="220"/>
      <c r="AC122" s="220"/>
      <c r="AD122" s="220"/>
      <c r="AE122" s="220"/>
      <c r="AF122" s="220"/>
      <c r="AG122" s="220"/>
      <c r="AH122" s="220"/>
      <c r="AI122" s="220"/>
      <c r="AJ122" s="220"/>
      <c r="AK122" s="220"/>
      <c r="AL122" s="220"/>
      <c r="AM122" s="220"/>
      <c r="AN122" s="220"/>
      <c r="AO122" s="220"/>
      <c r="AP122" s="220"/>
      <c r="AQ122" s="220"/>
      <c r="AR122" s="220"/>
      <c r="AS122" s="220"/>
      <c r="AT122" s="220"/>
      <c r="AU122" s="220"/>
      <c r="AV122" s="220"/>
      <c r="AW122" s="220"/>
      <c r="AX122" s="220"/>
      <c r="AY122" s="220"/>
      <c r="AZ122" s="220"/>
      <c r="BA122" s="220"/>
      <c r="BB122" s="220"/>
      <c r="BC122" s="220"/>
      <c r="BD122" s="220"/>
      <c r="BE122" s="220"/>
      <c r="BF122" s="220"/>
      <c r="BG122" s="220"/>
      <c r="BH122" s="220"/>
      <c r="BI122" s="220"/>
      <c r="BJ122" s="220"/>
      <c r="BK122" s="220"/>
      <c r="BL122" s="220"/>
      <c r="BM122" s="220"/>
      <c r="BN122" s="220"/>
      <c r="BO122" s="220"/>
      <c r="BP122" s="220"/>
      <c r="BQ122" s="220"/>
      <c r="BR122" s="220"/>
      <c r="BS122" s="220"/>
      <c r="BT122" s="220"/>
      <c r="BU122" s="220"/>
      <c r="BV122" s="220"/>
      <c r="BW122" s="220"/>
      <c r="BX122" s="220"/>
      <c r="BY122" s="220"/>
      <c r="BZ122" s="220"/>
      <c r="CA122" s="220"/>
      <c r="CB122" s="220"/>
      <c r="CC122" s="220"/>
      <c r="CD122" s="220"/>
      <c r="CE122" s="220"/>
      <c r="CF122" s="220"/>
      <c r="CG122" s="220"/>
      <c r="CH122" s="220"/>
      <c r="CI122" s="220"/>
      <c r="CJ122" s="220"/>
      <c r="CK122" s="220"/>
      <c r="CL122" s="220"/>
      <c r="CM122" s="220"/>
      <c r="CN122" s="220"/>
      <c r="CO122" s="220"/>
      <c r="CP122" s="220"/>
      <c r="CQ122" s="220"/>
      <c r="CR122" s="220"/>
      <c r="CS122" s="220"/>
      <c r="CT122" s="220"/>
      <c r="CU122" s="220"/>
      <c r="CV122" s="220"/>
      <c r="CW122" s="220"/>
      <c r="CX122" s="220"/>
      <c r="CY122" s="220"/>
      <c r="CZ122" s="220"/>
      <c r="DA122" s="220"/>
      <c r="DB122" s="220"/>
      <c r="DC122" s="220"/>
      <c r="DD122" s="220"/>
      <c r="DE122" s="220"/>
      <c r="DF122" s="220"/>
      <c r="DG122" s="220"/>
      <c r="DH122" s="220"/>
      <c r="DI122" s="220"/>
      <c r="DJ122" s="220"/>
      <c r="DK122" s="220"/>
      <c r="DL122" s="220"/>
      <c r="DM122" s="220"/>
      <c r="DN122" s="220"/>
      <c r="DO122" s="220"/>
      <c r="DP122" s="220"/>
      <c r="DQ122" s="220"/>
    </row>
    <row r="123" spans="14:121" x14ac:dyDescent="0.25">
      <c r="N123" s="220"/>
      <c r="O123" s="220"/>
      <c r="P123" s="220"/>
      <c r="Q123" s="220"/>
      <c r="R123" s="220"/>
      <c r="S123" s="220"/>
      <c r="T123" s="220"/>
      <c r="U123" s="220"/>
      <c r="V123" s="220"/>
      <c r="W123" s="220"/>
      <c r="X123" s="220"/>
      <c r="Y123" s="220"/>
      <c r="Z123" s="220"/>
      <c r="AA123" s="220"/>
      <c r="AB123" s="220"/>
      <c r="AC123" s="220"/>
      <c r="AD123" s="220"/>
      <c r="AE123" s="220"/>
      <c r="AF123" s="220"/>
      <c r="AG123" s="220"/>
      <c r="AH123" s="220"/>
      <c r="AI123" s="220"/>
      <c r="AJ123" s="220"/>
      <c r="AK123" s="220"/>
      <c r="AL123" s="220"/>
      <c r="AM123" s="220"/>
      <c r="AN123" s="220"/>
      <c r="AO123" s="220"/>
      <c r="AP123" s="220"/>
      <c r="AQ123" s="220"/>
      <c r="AR123" s="220"/>
      <c r="AS123" s="220"/>
      <c r="AT123" s="220"/>
      <c r="AU123" s="220"/>
      <c r="AV123" s="220"/>
      <c r="AW123" s="220"/>
      <c r="AX123" s="220"/>
      <c r="AY123" s="220"/>
      <c r="AZ123" s="220"/>
      <c r="BA123" s="220"/>
      <c r="BB123" s="220"/>
      <c r="BC123" s="220"/>
      <c r="BD123" s="220"/>
      <c r="BE123" s="220"/>
      <c r="BF123" s="220"/>
      <c r="BG123" s="220"/>
      <c r="BH123" s="220"/>
      <c r="BI123" s="220"/>
      <c r="BJ123" s="220"/>
      <c r="BK123" s="220"/>
      <c r="BL123" s="220"/>
      <c r="BM123" s="220"/>
      <c r="BN123" s="220"/>
      <c r="BO123" s="220"/>
      <c r="BP123" s="220"/>
      <c r="BQ123" s="220"/>
      <c r="BR123" s="220"/>
      <c r="BS123" s="220"/>
      <c r="BT123" s="220"/>
      <c r="BU123" s="220"/>
      <c r="BV123" s="220"/>
      <c r="BW123" s="220"/>
      <c r="BX123" s="220"/>
      <c r="BY123" s="220"/>
      <c r="BZ123" s="220"/>
      <c r="CA123" s="220"/>
      <c r="CB123" s="220"/>
      <c r="CC123" s="220"/>
      <c r="CD123" s="220"/>
      <c r="CE123" s="220"/>
      <c r="CF123" s="220"/>
      <c r="CG123" s="220"/>
      <c r="CH123" s="220"/>
      <c r="CI123" s="220"/>
      <c r="CJ123" s="220"/>
      <c r="CK123" s="220"/>
      <c r="CL123" s="220"/>
      <c r="CM123" s="220"/>
      <c r="CN123" s="220"/>
      <c r="CO123" s="220"/>
      <c r="CP123" s="220"/>
      <c r="CQ123" s="220"/>
      <c r="CR123" s="220"/>
      <c r="CS123" s="220"/>
      <c r="CT123" s="220"/>
      <c r="CU123" s="220"/>
      <c r="CV123" s="220"/>
      <c r="CW123" s="220"/>
      <c r="CX123" s="220"/>
      <c r="CY123" s="220"/>
      <c r="CZ123" s="220"/>
      <c r="DA123" s="220"/>
      <c r="DB123" s="220"/>
      <c r="DC123" s="220"/>
      <c r="DD123" s="220"/>
      <c r="DE123" s="220"/>
      <c r="DF123" s="220"/>
      <c r="DG123" s="220"/>
      <c r="DH123" s="220"/>
      <c r="DI123" s="220"/>
      <c r="DJ123" s="220"/>
      <c r="DK123" s="220"/>
      <c r="DL123" s="220"/>
      <c r="DM123" s="220"/>
      <c r="DN123" s="220"/>
      <c r="DO123" s="220"/>
      <c r="DP123" s="220"/>
      <c r="DQ123" s="220"/>
    </row>
    <row r="124" spans="14:121" x14ac:dyDescent="0.25">
      <c r="N124" s="220"/>
      <c r="O124" s="220"/>
      <c r="P124" s="220"/>
      <c r="Q124" s="220"/>
      <c r="R124" s="220"/>
      <c r="S124" s="220"/>
      <c r="T124" s="220"/>
      <c r="U124" s="220"/>
      <c r="V124" s="220"/>
      <c r="W124" s="220"/>
      <c r="X124" s="220"/>
      <c r="Y124" s="220"/>
      <c r="Z124" s="220"/>
      <c r="AA124" s="220"/>
      <c r="AB124" s="220"/>
      <c r="AC124" s="220"/>
      <c r="AD124" s="220"/>
      <c r="AE124" s="220"/>
      <c r="AF124" s="220"/>
      <c r="AG124" s="220"/>
      <c r="AH124" s="220"/>
      <c r="AI124" s="220"/>
      <c r="AJ124" s="220"/>
      <c r="AK124" s="220"/>
      <c r="AL124" s="220"/>
      <c r="AM124" s="220"/>
      <c r="AN124" s="220"/>
      <c r="AO124" s="220"/>
      <c r="AP124" s="220"/>
      <c r="AQ124" s="220"/>
      <c r="AR124" s="220"/>
      <c r="AS124" s="220"/>
      <c r="AT124" s="220"/>
      <c r="AU124" s="220"/>
      <c r="AV124" s="220"/>
      <c r="AW124" s="220"/>
      <c r="AX124" s="220"/>
      <c r="AY124" s="220"/>
      <c r="AZ124" s="220"/>
      <c r="BA124" s="220"/>
      <c r="BB124" s="220"/>
      <c r="BC124" s="220"/>
      <c r="BD124" s="220"/>
      <c r="BE124" s="220"/>
      <c r="BF124" s="220"/>
      <c r="BG124" s="220"/>
      <c r="BH124" s="220"/>
      <c r="BI124" s="220"/>
      <c r="BJ124" s="220"/>
      <c r="BK124" s="220"/>
      <c r="BL124" s="220"/>
      <c r="BM124" s="220"/>
      <c r="BN124" s="220"/>
      <c r="BO124" s="220"/>
      <c r="BP124" s="220"/>
      <c r="BQ124" s="220"/>
      <c r="BR124" s="220"/>
      <c r="BS124" s="220"/>
      <c r="BT124" s="220"/>
      <c r="BU124" s="220"/>
      <c r="BV124" s="220"/>
      <c r="BW124" s="220"/>
      <c r="BX124" s="220"/>
      <c r="BY124" s="220"/>
      <c r="BZ124" s="220"/>
      <c r="CA124" s="220"/>
      <c r="CB124" s="220"/>
      <c r="CC124" s="220"/>
      <c r="CD124" s="220"/>
      <c r="CE124" s="220"/>
      <c r="CF124" s="220"/>
      <c r="CG124" s="220"/>
      <c r="CH124" s="220"/>
      <c r="CI124" s="220"/>
      <c r="CJ124" s="220"/>
      <c r="CK124" s="220"/>
      <c r="CL124" s="220"/>
      <c r="CM124" s="220"/>
      <c r="CN124" s="220"/>
      <c r="CO124" s="220"/>
      <c r="CP124" s="220"/>
      <c r="CQ124" s="220"/>
      <c r="CR124" s="220"/>
      <c r="CS124" s="220"/>
      <c r="CT124" s="220"/>
      <c r="CU124" s="220"/>
      <c r="CV124" s="220"/>
      <c r="CW124" s="220"/>
      <c r="CX124" s="220"/>
      <c r="CY124" s="220"/>
      <c r="CZ124" s="220"/>
      <c r="DA124" s="220"/>
      <c r="DB124" s="220"/>
      <c r="DC124" s="220"/>
      <c r="DD124" s="220"/>
      <c r="DE124" s="220"/>
      <c r="DF124" s="220"/>
      <c r="DG124" s="220"/>
      <c r="DH124" s="220"/>
      <c r="DI124" s="220"/>
      <c r="DJ124" s="220"/>
      <c r="DK124" s="220"/>
      <c r="DL124" s="220"/>
      <c r="DM124" s="220"/>
      <c r="DN124" s="220"/>
      <c r="DO124" s="220"/>
      <c r="DP124" s="220"/>
      <c r="DQ124" s="220"/>
    </row>
    <row r="125" spans="14:121" x14ac:dyDescent="0.25">
      <c r="N125" s="220"/>
      <c r="O125" s="220"/>
      <c r="P125" s="220"/>
      <c r="Q125" s="220"/>
      <c r="R125" s="220"/>
      <c r="S125" s="220"/>
      <c r="T125" s="220"/>
      <c r="U125" s="220"/>
      <c r="V125" s="220"/>
      <c r="W125" s="220"/>
      <c r="X125" s="220"/>
      <c r="Y125" s="220"/>
      <c r="Z125" s="220"/>
      <c r="AA125" s="220"/>
      <c r="AB125" s="220"/>
      <c r="AC125" s="220"/>
      <c r="AD125" s="220"/>
      <c r="AE125" s="220"/>
      <c r="AF125" s="220"/>
      <c r="AG125" s="220"/>
      <c r="AH125" s="220"/>
      <c r="AI125" s="220"/>
      <c r="AJ125" s="220"/>
      <c r="AK125" s="220"/>
      <c r="AL125" s="220"/>
      <c r="AM125" s="220"/>
      <c r="AN125" s="220"/>
      <c r="AO125" s="220"/>
      <c r="AP125" s="220"/>
      <c r="AQ125" s="220"/>
      <c r="AR125" s="220"/>
      <c r="AS125" s="220"/>
      <c r="AT125" s="220"/>
      <c r="AU125" s="220"/>
      <c r="AV125" s="220"/>
      <c r="AW125" s="220"/>
      <c r="AX125" s="220"/>
      <c r="AY125" s="220"/>
      <c r="AZ125" s="220"/>
      <c r="BA125" s="220"/>
      <c r="BB125" s="220"/>
      <c r="BC125" s="220"/>
      <c r="BD125" s="220"/>
      <c r="BE125" s="220"/>
      <c r="BF125" s="220"/>
      <c r="BG125" s="220"/>
      <c r="BH125" s="220"/>
      <c r="BI125" s="220"/>
      <c r="BJ125" s="220"/>
      <c r="BK125" s="220"/>
      <c r="BL125" s="220"/>
      <c r="BM125" s="220"/>
      <c r="BN125" s="220"/>
      <c r="BO125" s="220"/>
      <c r="BP125" s="220"/>
      <c r="BQ125" s="220"/>
      <c r="BR125" s="220"/>
      <c r="BS125" s="220"/>
      <c r="BT125" s="220"/>
      <c r="BU125" s="220"/>
      <c r="BV125" s="220"/>
      <c r="BW125" s="220"/>
      <c r="BX125" s="220"/>
      <c r="BY125" s="220"/>
      <c r="BZ125" s="220"/>
      <c r="CA125" s="220"/>
      <c r="CB125" s="220"/>
      <c r="CC125" s="220"/>
      <c r="CD125" s="220"/>
      <c r="CE125" s="220"/>
      <c r="CF125" s="220"/>
      <c r="CG125" s="220"/>
      <c r="CH125" s="220"/>
      <c r="CI125" s="220"/>
      <c r="CJ125" s="220"/>
      <c r="CK125" s="220"/>
      <c r="CL125" s="220"/>
      <c r="CM125" s="220"/>
      <c r="CN125" s="220"/>
      <c r="CO125" s="220"/>
      <c r="CP125" s="220"/>
      <c r="CQ125" s="220"/>
      <c r="CR125" s="220"/>
      <c r="CS125" s="220"/>
      <c r="CT125" s="220"/>
      <c r="CU125" s="220"/>
      <c r="CV125" s="220"/>
      <c r="CW125" s="220"/>
      <c r="CX125" s="220"/>
      <c r="CY125" s="220"/>
      <c r="CZ125" s="220"/>
      <c r="DA125" s="220"/>
      <c r="DB125" s="220"/>
      <c r="DC125" s="220"/>
      <c r="DD125" s="220"/>
      <c r="DE125" s="220"/>
      <c r="DF125" s="220"/>
      <c r="DG125" s="220"/>
      <c r="DH125" s="220"/>
      <c r="DI125" s="220"/>
      <c r="DJ125" s="220"/>
      <c r="DK125" s="220"/>
      <c r="DL125" s="220"/>
      <c r="DM125" s="220"/>
      <c r="DN125" s="220"/>
      <c r="DO125" s="220"/>
      <c r="DP125" s="220"/>
      <c r="DQ125" s="220"/>
    </row>
    <row r="126" spans="14:121" x14ac:dyDescent="0.25">
      <c r="N126" s="220"/>
      <c r="O126" s="220"/>
      <c r="P126" s="220"/>
      <c r="Q126" s="220"/>
      <c r="R126" s="220"/>
      <c r="S126" s="220"/>
      <c r="T126" s="220"/>
      <c r="U126" s="220"/>
      <c r="V126" s="220"/>
      <c r="W126" s="220"/>
      <c r="X126" s="220"/>
      <c r="Y126" s="220"/>
      <c r="Z126" s="220"/>
      <c r="AA126" s="220"/>
      <c r="AB126" s="220"/>
      <c r="AC126" s="220"/>
      <c r="AD126" s="220"/>
      <c r="AE126" s="220"/>
      <c r="AF126" s="220"/>
      <c r="AG126" s="220"/>
      <c r="AH126" s="220"/>
      <c r="AI126" s="220"/>
      <c r="AJ126" s="220"/>
      <c r="AK126" s="220"/>
      <c r="AL126" s="220"/>
      <c r="AM126" s="220"/>
      <c r="AN126" s="220"/>
      <c r="AO126" s="220"/>
      <c r="AP126" s="220"/>
      <c r="AQ126" s="220"/>
      <c r="AR126" s="220"/>
      <c r="AS126" s="220"/>
      <c r="AT126" s="220"/>
      <c r="AU126" s="220"/>
      <c r="AV126" s="220"/>
      <c r="AW126" s="220"/>
      <c r="AX126" s="220"/>
      <c r="AY126" s="220"/>
      <c r="AZ126" s="220"/>
      <c r="BA126" s="220"/>
      <c r="BB126" s="220"/>
      <c r="BC126" s="220"/>
      <c r="BD126" s="220"/>
      <c r="BE126" s="220"/>
      <c r="BF126" s="220"/>
      <c r="BG126" s="220"/>
      <c r="BH126" s="220"/>
      <c r="BI126" s="220"/>
      <c r="BJ126" s="220"/>
      <c r="BK126" s="220"/>
      <c r="BL126" s="220"/>
      <c r="BM126" s="220"/>
      <c r="BN126" s="220"/>
      <c r="BO126" s="220"/>
      <c r="BP126" s="220"/>
      <c r="BQ126" s="220"/>
      <c r="BR126" s="220"/>
      <c r="BS126" s="220"/>
      <c r="BT126" s="220"/>
      <c r="BU126" s="220"/>
      <c r="BV126" s="220"/>
      <c r="BW126" s="220"/>
      <c r="BX126" s="220"/>
      <c r="BY126" s="220"/>
      <c r="BZ126" s="220"/>
      <c r="CA126" s="220"/>
      <c r="CB126" s="220"/>
      <c r="CC126" s="220"/>
      <c r="CD126" s="220"/>
      <c r="CE126" s="220"/>
      <c r="CF126" s="220"/>
      <c r="CG126" s="220"/>
      <c r="CH126" s="220"/>
      <c r="CI126" s="220"/>
      <c r="CJ126" s="220"/>
      <c r="CK126" s="220"/>
      <c r="CL126" s="220"/>
      <c r="CM126" s="220"/>
      <c r="CN126" s="220"/>
      <c r="CO126" s="220"/>
      <c r="CP126" s="220"/>
      <c r="CQ126" s="220"/>
      <c r="CR126" s="220"/>
      <c r="CS126" s="220"/>
      <c r="CT126" s="220"/>
      <c r="CU126" s="220"/>
      <c r="CV126" s="220"/>
      <c r="CW126" s="220"/>
      <c r="CX126" s="220"/>
      <c r="CY126" s="220"/>
      <c r="CZ126" s="220"/>
      <c r="DA126" s="220"/>
      <c r="DB126" s="220"/>
      <c r="DC126" s="220"/>
      <c r="DD126" s="220"/>
      <c r="DE126" s="220"/>
      <c r="DF126" s="220"/>
      <c r="DG126" s="220"/>
      <c r="DH126" s="220"/>
      <c r="DI126" s="220"/>
      <c r="DJ126" s="220"/>
      <c r="DK126" s="220"/>
      <c r="DL126" s="220"/>
      <c r="DM126" s="220"/>
      <c r="DN126" s="220"/>
      <c r="DO126" s="220"/>
      <c r="DP126" s="220"/>
      <c r="DQ126" s="220"/>
    </row>
    <row r="127" spans="14:121" x14ac:dyDescent="0.25">
      <c r="N127" s="220"/>
      <c r="O127" s="220"/>
      <c r="P127" s="220"/>
      <c r="Q127" s="220"/>
      <c r="R127" s="220"/>
      <c r="S127" s="220"/>
      <c r="T127" s="220"/>
      <c r="U127" s="220"/>
      <c r="V127" s="220"/>
      <c r="W127" s="220"/>
      <c r="X127" s="220"/>
      <c r="Y127" s="220"/>
      <c r="Z127" s="220"/>
      <c r="AA127" s="220"/>
      <c r="AB127" s="220"/>
      <c r="AC127" s="220"/>
      <c r="AD127" s="220"/>
      <c r="AE127" s="220"/>
      <c r="AF127" s="220"/>
      <c r="AG127" s="220"/>
      <c r="AH127" s="220"/>
      <c r="AI127" s="220"/>
      <c r="AJ127" s="220"/>
      <c r="AK127" s="220"/>
      <c r="AL127" s="220"/>
      <c r="AM127" s="220"/>
      <c r="AN127" s="220"/>
      <c r="AO127" s="220"/>
      <c r="AP127" s="220"/>
      <c r="AQ127" s="220"/>
      <c r="AR127" s="220"/>
      <c r="AS127" s="220"/>
      <c r="AT127" s="220"/>
      <c r="AU127" s="220"/>
      <c r="AV127" s="220"/>
      <c r="AW127" s="220"/>
      <c r="AX127" s="220"/>
      <c r="AY127" s="220"/>
      <c r="AZ127" s="220"/>
      <c r="BA127" s="220"/>
      <c r="BB127" s="220"/>
      <c r="BC127" s="220"/>
      <c r="BD127" s="220"/>
      <c r="BE127" s="220"/>
      <c r="BF127" s="220"/>
      <c r="BG127" s="220"/>
      <c r="BH127" s="220"/>
      <c r="BI127" s="220"/>
      <c r="BJ127" s="220"/>
      <c r="BK127" s="220"/>
      <c r="BL127" s="220"/>
      <c r="BM127" s="220"/>
      <c r="BN127" s="220"/>
      <c r="BO127" s="220"/>
      <c r="BP127" s="220"/>
      <c r="BQ127" s="220"/>
      <c r="BR127" s="220"/>
      <c r="BS127" s="220"/>
      <c r="BT127" s="220"/>
      <c r="BU127" s="220"/>
      <c r="BV127" s="220"/>
      <c r="BW127" s="220"/>
      <c r="BX127" s="220"/>
      <c r="BY127" s="220"/>
      <c r="BZ127" s="220"/>
      <c r="CA127" s="220"/>
      <c r="CB127" s="220"/>
      <c r="CC127" s="220"/>
      <c r="CD127" s="220"/>
      <c r="CE127" s="220"/>
      <c r="CF127" s="220"/>
      <c r="CG127" s="220"/>
      <c r="CH127" s="220"/>
      <c r="CI127" s="220"/>
      <c r="CJ127" s="220"/>
      <c r="CK127" s="220"/>
      <c r="CL127" s="220"/>
      <c r="CM127" s="220"/>
      <c r="CN127" s="220"/>
      <c r="CO127" s="220"/>
      <c r="CP127" s="220"/>
      <c r="CQ127" s="220"/>
      <c r="CR127" s="220"/>
      <c r="CS127" s="220"/>
      <c r="CT127" s="220"/>
      <c r="CU127" s="220"/>
      <c r="CV127" s="220"/>
      <c r="CW127" s="220"/>
      <c r="CX127" s="220"/>
      <c r="CY127" s="220"/>
      <c r="CZ127" s="220"/>
      <c r="DA127" s="220"/>
      <c r="DB127" s="220"/>
      <c r="DC127" s="220"/>
      <c r="DD127" s="220"/>
      <c r="DE127" s="220"/>
      <c r="DF127" s="220"/>
      <c r="DG127" s="220"/>
      <c r="DH127" s="220"/>
      <c r="DI127" s="220"/>
      <c r="DJ127" s="220"/>
      <c r="DK127" s="220"/>
      <c r="DL127" s="220"/>
      <c r="DM127" s="220"/>
      <c r="DN127" s="220"/>
      <c r="DO127" s="220"/>
      <c r="DP127" s="220"/>
      <c r="DQ127" s="220"/>
    </row>
    <row r="128" spans="14:121" x14ac:dyDescent="0.25">
      <c r="N128" s="220"/>
      <c r="O128" s="220"/>
      <c r="P128" s="220"/>
      <c r="Q128" s="220"/>
      <c r="R128" s="220"/>
      <c r="S128" s="220"/>
      <c r="T128" s="220"/>
      <c r="U128" s="220"/>
      <c r="V128" s="220"/>
      <c r="W128" s="220"/>
      <c r="X128" s="220"/>
      <c r="Y128" s="220"/>
      <c r="Z128" s="220"/>
      <c r="AA128" s="220"/>
      <c r="AB128" s="220"/>
      <c r="AC128" s="220"/>
      <c r="AD128" s="220"/>
      <c r="AE128" s="220"/>
      <c r="AF128" s="220"/>
      <c r="AG128" s="220"/>
      <c r="AH128" s="220"/>
      <c r="AI128" s="220"/>
      <c r="AJ128" s="220"/>
      <c r="AK128" s="220"/>
      <c r="AL128" s="220"/>
      <c r="AM128" s="220"/>
      <c r="AN128" s="220"/>
      <c r="AO128" s="220"/>
      <c r="AP128" s="220"/>
      <c r="AQ128" s="220"/>
      <c r="AR128" s="220"/>
      <c r="AS128" s="220"/>
      <c r="AT128" s="220"/>
      <c r="AU128" s="220"/>
      <c r="AV128" s="220"/>
      <c r="AW128" s="220"/>
      <c r="AX128" s="220"/>
      <c r="AY128" s="220"/>
      <c r="AZ128" s="220"/>
      <c r="BA128" s="220"/>
      <c r="BB128" s="220"/>
      <c r="BC128" s="220"/>
      <c r="BD128" s="220"/>
      <c r="BE128" s="220"/>
      <c r="BF128" s="220"/>
      <c r="BG128" s="220"/>
      <c r="BH128" s="220"/>
      <c r="BI128" s="220"/>
      <c r="BJ128" s="220"/>
      <c r="BK128" s="220"/>
      <c r="BL128" s="220"/>
      <c r="BM128" s="220"/>
      <c r="BN128" s="220"/>
      <c r="BO128" s="220"/>
      <c r="BP128" s="220"/>
      <c r="BQ128" s="220"/>
      <c r="BR128" s="220"/>
      <c r="BS128" s="220"/>
      <c r="BT128" s="220"/>
      <c r="BU128" s="220"/>
      <c r="BV128" s="220"/>
      <c r="BW128" s="220"/>
      <c r="BX128" s="220"/>
      <c r="BY128" s="220"/>
      <c r="BZ128" s="220"/>
      <c r="CA128" s="220"/>
      <c r="CB128" s="220"/>
      <c r="CC128" s="220"/>
      <c r="CD128" s="220"/>
      <c r="CE128" s="220"/>
      <c r="CF128" s="220"/>
      <c r="CG128" s="220"/>
      <c r="CH128" s="220"/>
      <c r="CI128" s="220"/>
      <c r="CJ128" s="220"/>
      <c r="CK128" s="220"/>
      <c r="CL128" s="220"/>
      <c r="CM128" s="220"/>
      <c r="CN128" s="220"/>
      <c r="CO128" s="220"/>
      <c r="CP128" s="220"/>
      <c r="CQ128" s="220"/>
      <c r="CR128" s="220"/>
      <c r="CS128" s="220"/>
      <c r="CT128" s="220"/>
      <c r="CU128" s="220"/>
      <c r="CV128" s="220"/>
      <c r="CW128" s="220"/>
      <c r="CX128" s="220"/>
      <c r="CY128" s="220"/>
      <c r="CZ128" s="220"/>
      <c r="DA128" s="220"/>
      <c r="DB128" s="220"/>
      <c r="DC128" s="220"/>
      <c r="DD128" s="220"/>
      <c r="DE128" s="220"/>
      <c r="DF128" s="220"/>
      <c r="DG128" s="220"/>
      <c r="DH128" s="220"/>
      <c r="DI128" s="220"/>
      <c r="DJ128" s="220"/>
      <c r="DK128" s="220"/>
      <c r="DL128" s="220"/>
      <c r="DM128" s="220"/>
      <c r="DN128" s="220"/>
      <c r="DO128" s="220"/>
      <c r="DP128" s="220"/>
      <c r="DQ128" s="220"/>
    </row>
    <row r="129" spans="14:121" x14ac:dyDescent="0.25">
      <c r="N129" s="220"/>
      <c r="O129" s="220"/>
      <c r="P129" s="220"/>
      <c r="Q129" s="220"/>
      <c r="R129" s="220"/>
      <c r="S129" s="220"/>
      <c r="T129" s="220"/>
      <c r="U129" s="220"/>
      <c r="V129" s="220"/>
      <c r="W129" s="220"/>
      <c r="X129" s="220"/>
      <c r="Y129" s="220"/>
      <c r="Z129" s="220"/>
      <c r="AA129" s="220"/>
      <c r="AB129" s="220"/>
      <c r="AC129" s="220"/>
      <c r="AD129" s="220"/>
      <c r="AE129" s="220"/>
      <c r="AF129" s="220"/>
      <c r="AG129" s="220"/>
      <c r="AH129" s="220"/>
      <c r="AI129" s="220"/>
      <c r="AJ129" s="220"/>
      <c r="AK129" s="220"/>
      <c r="AL129" s="220"/>
      <c r="AM129" s="220"/>
      <c r="AN129" s="220"/>
      <c r="AO129" s="220"/>
      <c r="AP129" s="220"/>
      <c r="AQ129" s="220"/>
      <c r="AR129" s="220"/>
      <c r="AS129" s="220"/>
      <c r="AT129" s="220"/>
      <c r="AU129" s="220"/>
      <c r="AV129" s="220"/>
      <c r="AW129" s="220"/>
      <c r="AX129" s="220"/>
      <c r="AY129" s="220"/>
      <c r="AZ129" s="220"/>
      <c r="BA129" s="220"/>
      <c r="BB129" s="220"/>
      <c r="BC129" s="220"/>
      <c r="BD129" s="220"/>
      <c r="BE129" s="220"/>
      <c r="BF129" s="220"/>
      <c r="BG129" s="220"/>
      <c r="BH129" s="220"/>
      <c r="BI129" s="220"/>
      <c r="BJ129" s="220"/>
      <c r="BK129" s="220"/>
      <c r="BL129" s="220"/>
      <c r="BM129" s="220"/>
      <c r="BN129" s="220"/>
      <c r="BO129" s="220"/>
      <c r="BP129" s="220"/>
      <c r="BQ129" s="220"/>
      <c r="BR129" s="220"/>
      <c r="BS129" s="220"/>
      <c r="BT129" s="220"/>
      <c r="BU129" s="220"/>
      <c r="BV129" s="220"/>
      <c r="BW129" s="220"/>
      <c r="BX129" s="220"/>
      <c r="BY129" s="220"/>
      <c r="BZ129" s="220"/>
      <c r="CA129" s="220"/>
      <c r="CB129" s="220"/>
      <c r="CC129" s="220"/>
      <c r="CD129" s="220"/>
      <c r="CE129" s="220"/>
      <c r="CF129" s="220"/>
      <c r="CG129" s="220"/>
      <c r="CH129" s="220"/>
      <c r="CI129" s="220"/>
      <c r="CJ129" s="220"/>
      <c r="CK129" s="220"/>
      <c r="CL129" s="220"/>
      <c r="CM129" s="220"/>
      <c r="CN129" s="220"/>
      <c r="CO129" s="220"/>
      <c r="CP129" s="220"/>
      <c r="CQ129" s="220"/>
      <c r="CR129" s="220"/>
      <c r="CS129" s="220"/>
      <c r="CT129" s="220"/>
      <c r="CU129" s="220"/>
      <c r="CV129" s="220"/>
      <c r="CW129" s="220"/>
      <c r="CX129" s="220"/>
      <c r="CY129" s="220"/>
      <c r="CZ129" s="220"/>
      <c r="DA129" s="220"/>
      <c r="DB129" s="220"/>
      <c r="DC129" s="220"/>
      <c r="DD129" s="220"/>
      <c r="DE129" s="220"/>
      <c r="DF129" s="220"/>
      <c r="DG129" s="220"/>
      <c r="DH129" s="220"/>
      <c r="DI129" s="220"/>
      <c r="DJ129" s="220"/>
      <c r="DK129" s="220"/>
      <c r="DL129" s="220"/>
      <c r="DM129" s="220"/>
      <c r="DN129" s="220"/>
      <c r="DO129" s="220"/>
      <c r="DP129" s="220"/>
      <c r="DQ129" s="220"/>
    </row>
    <row r="130" spans="14:121" x14ac:dyDescent="0.25">
      <c r="N130" s="220"/>
      <c r="O130" s="220"/>
      <c r="P130" s="220"/>
      <c r="Q130" s="220"/>
      <c r="R130" s="220"/>
      <c r="S130" s="220"/>
      <c r="T130" s="220"/>
      <c r="U130" s="220"/>
      <c r="V130" s="220"/>
      <c r="W130" s="220"/>
      <c r="X130" s="220"/>
      <c r="Y130" s="220"/>
      <c r="Z130" s="220"/>
      <c r="AA130" s="220"/>
      <c r="AB130" s="220"/>
      <c r="AC130" s="220"/>
      <c r="AD130" s="220"/>
      <c r="AE130" s="220"/>
      <c r="AF130" s="220"/>
      <c r="AG130" s="220"/>
      <c r="AH130" s="220"/>
      <c r="AI130" s="220"/>
      <c r="AJ130" s="220"/>
      <c r="AK130" s="220"/>
      <c r="AL130" s="220"/>
      <c r="AM130" s="220"/>
      <c r="AN130" s="220"/>
      <c r="AO130" s="220"/>
      <c r="AP130" s="220"/>
      <c r="AQ130" s="220"/>
      <c r="AR130" s="220"/>
      <c r="AS130" s="220"/>
      <c r="AT130" s="220"/>
      <c r="AU130" s="220"/>
      <c r="AV130" s="220"/>
      <c r="AW130" s="220"/>
      <c r="AX130" s="220"/>
      <c r="AY130" s="220"/>
      <c r="AZ130" s="220"/>
      <c r="BA130" s="220"/>
      <c r="BB130" s="220"/>
      <c r="BC130" s="220"/>
      <c r="BD130" s="220"/>
      <c r="BE130" s="220"/>
      <c r="BF130" s="220"/>
      <c r="BG130" s="220"/>
      <c r="BH130" s="220"/>
      <c r="BI130" s="220"/>
      <c r="BJ130" s="220"/>
      <c r="BK130" s="220"/>
      <c r="BL130" s="220"/>
      <c r="BM130" s="220"/>
      <c r="BN130" s="220"/>
      <c r="BO130" s="220"/>
      <c r="BP130" s="220"/>
      <c r="BQ130" s="220"/>
      <c r="BR130" s="220"/>
      <c r="BS130" s="220"/>
      <c r="BT130" s="220"/>
      <c r="BU130" s="220"/>
      <c r="BV130" s="220"/>
      <c r="BW130" s="220"/>
      <c r="BX130" s="220"/>
      <c r="BY130" s="220"/>
      <c r="BZ130" s="220"/>
      <c r="CA130" s="220"/>
      <c r="CB130" s="220"/>
      <c r="CC130" s="220"/>
      <c r="CD130" s="220"/>
      <c r="CE130" s="220"/>
      <c r="CF130" s="220"/>
      <c r="CG130" s="220"/>
      <c r="CH130" s="220"/>
      <c r="CI130" s="220"/>
      <c r="CJ130" s="220"/>
      <c r="CK130" s="220"/>
      <c r="CL130" s="220"/>
      <c r="CM130" s="220"/>
      <c r="CN130" s="220"/>
      <c r="CO130" s="220"/>
      <c r="CP130" s="220"/>
      <c r="CQ130" s="220"/>
      <c r="CR130" s="220"/>
      <c r="CS130" s="220"/>
      <c r="CT130" s="220"/>
      <c r="CU130" s="220"/>
      <c r="CV130" s="220"/>
      <c r="CW130" s="220"/>
      <c r="CX130" s="220"/>
      <c r="CY130" s="220"/>
      <c r="CZ130" s="220"/>
      <c r="DA130" s="220"/>
      <c r="DB130" s="220"/>
      <c r="DC130" s="220"/>
      <c r="DD130" s="220"/>
      <c r="DE130" s="220"/>
      <c r="DF130" s="220"/>
      <c r="DG130" s="220"/>
      <c r="DH130" s="220"/>
      <c r="DI130" s="220"/>
      <c r="DJ130" s="220"/>
      <c r="DK130" s="220"/>
      <c r="DL130" s="220"/>
      <c r="DM130" s="220"/>
      <c r="DN130" s="220"/>
      <c r="DO130" s="220"/>
      <c r="DP130" s="220"/>
      <c r="DQ130" s="220"/>
    </row>
    <row r="131" spans="14:121" x14ac:dyDescent="0.25">
      <c r="N131" s="220"/>
      <c r="O131" s="220"/>
      <c r="P131" s="220"/>
      <c r="Q131" s="220"/>
      <c r="R131" s="220"/>
      <c r="S131" s="220"/>
      <c r="T131" s="220"/>
      <c r="U131" s="220"/>
      <c r="V131" s="220"/>
      <c r="W131" s="220"/>
      <c r="X131" s="220"/>
      <c r="Y131" s="220"/>
      <c r="Z131" s="220"/>
      <c r="AA131" s="220"/>
      <c r="AB131" s="220"/>
      <c r="AC131" s="220"/>
      <c r="AD131" s="220"/>
      <c r="AE131" s="220"/>
      <c r="AF131" s="220"/>
      <c r="AG131" s="220"/>
      <c r="AH131" s="220"/>
      <c r="AI131" s="220"/>
      <c r="AJ131" s="220"/>
      <c r="AK131" s="220"/>
      <c r="AL131" s="220"/>
      <c r="AM131" s="220"/>
      <c r="AN131" s="220"/>
      <c r="AO131" s="220"/>
      <c r="AP131" s="220"/>
      <c r="AQ131" s="220"/>
      <c r="AR131" s="220"/>
      <c r="AS131" s="220"/>
      <c r="AT131" s="220"/>
      <c r="AU131" s="220"/>
      <c r="AV131" s="220"/>
      <c r="AW131" s="220"/>
      <c r="AX131" s="220"/>
      <c r="AY131" s="220"/>
      <c r="AZ131" s="220"/>
      <c r="BA131" s="220"/>
      <c r="BB131" s="220"/>
      <c r="BC131" s="220"/>
      <c r="BD131" s="220"/>
      <c r="BE131" s="220"/>
      <c r="BF131" s="220"/>
      <c r="BG131" s="220"/>
      <c r="BH131" s="220"/>
      <c r="BI131" s="220"/>
      <c r="BJ131" s="220"/>
      <c r="BK131" s="220"/>
      <c r="BL131" s="220"/>
      <c r="BM131" s="220"/>
      <c r="BN131" s="220"/>
      <c r="BO131" s="220"/>
      <c r="BP131" s="220"/>
      <c r="BQ131" s="220"/>
      <c r="BR131" s="220"/>
      <c r="BS131" s="220"/>
      <c r="BT131" s="220"/>
      <c r="BU131" s="220"/>
      <c r="BV131" s="220"/>
      <c r="BW131" s="220"/>
      <c r="BX131" s="220"/>
      <c r="BY131" s="220"/>
      <c r="BZ131" s="220"/>
      <c r="CA131" s="220"/>
      <c r="CB131" s="220"/>
      <c r="CC131" s="220"/>
      <c r="CD131" s="220"/>
      <c r="CE131" s="220"/>
      <c r="CF131" s="220"/>
      <c r="CG131" s="220"/>
      <c r="CH131" s="220"/>
      <c r="CI131" s="220"/>
      <c r="CJ131" s="220"/>
      <c r="CK131" s="220"/>
      <c r="CL131" s="220"/>
      <c r="CM131" s="220"/>
      <c r="CN131" s="220"/>
      <c r="CO131" s="220"/>
      <c r="CP131" s="220"/>
      <c r="CQ131" s="220"/>
      <c r="CR131" s="220"/>
      <c r="CS131" s="220"/>
      <c r="CT131" s="220"/>
      <c r="CU131" s="220"/>
      <c r="CV131" s="220"/>
      <c r="CW131" s="220"/>
      <c r="CX131" s="220"/>
      <c r="CY131" s="220"/>
      <c r="CZ131" s="220"/>
      <c r="DA131" s="220"/>
      <c r="DB131" s="220"/>
      <c r="DC131" s="220"/>
      <c r="DD131" s="220"/>
      <c r="DE131" s="220"/>
      <c r="DF131" s="220"/>
      <c r="DG131" s="220"/>
      <c r="DH131" s="220"/>
      <c r="DI131" s="220"/>
      <c r="DJ131" s="220"/>
      <c r="DK131" s="220"/>
      <c r="DL131" s="220"/>
      <c r="DM131" s="220"/>
      <c r="DN131" s="220"/>
      <c r="DO131" s="220"/>
      <c r="DP131" s="220"/>
      <c r="DQ131" s="220"/>
    </row>
    <row r="132" spans="14:121" x14ac:dyDescent="0.25">
      <c r="N132" s="220"/>
      <c r="O132" s="220"/>
      <c r="P132" s="220"/>
      <c r="Q132" s="220"/>
      <c r="R132" s="220"/>
      <c r="S132" s="220"/>
      <c r="T132" s="220"/>
      <c r="U132" s="220"/>
      <c r="V132" s="220"/>
      <c r="W132" s="220"/>
      <c r="X132" s="220"/>
      <c r="Y132" s="220"/>
      <c r="Z132" s="220"/>
      <c r="AA132" s="220"/>
      <c r="AB132" s="220"/>
      <c r="AC132" s="220"/>
      <c r="AD132" s="220"/>
      <c r="AE132" s="220"/>
      <c r="AF132" s="220"/>
      <c r="AG132" s="220"/>
      <c r="AH132" s="220"/>
      <c r="AI132" s="220"/>
      <c r="AJ132" s="220"/>
      <c r="AK132" s="220"/>
      <c r="AL132" s="220"/>
      <c r="AM132" s="220"/>
      <c r="AN132" s="220"/>
      <c r="AO132" s="220"/>
      <c r="AP132" s="220"/>
      <c r="AQ132" s="220"/>
      <c r="AR132" s="220"/>
      <c r="AS132" s="220"/>
      <c r="AT132" s="220"/>
      <c r="AU132" s="220"/>
      <c r="AV132" s="220"/>
      <c r="AW132" s="220"/>
      <c r="AX132" s="220"/>
      <c r="AY132" s="220"/>
      <c r="AZ132" s="220"/>
      <c r="BA132" s="220"/>
      <c r="BB132" s="220"/>
      <c r="BC132" s="220"/>
      <c r="BD132" s="220"/>
      <c r="BE132" s="220"/>
      <c r="BF132" s="220"/>
      <c r="BG132" s="220"/>
      <c r="BH132" s="220"/>
      <c r="BI132" s="220"/>
      <c r="BJ132" s="220"/>
      <c r="BK132" s="220"/>
      <c r="BL132" s="220"/>
      <c r="BM132" s="220"/>
      <c r="BN132" s="220"/>
      <c r="BO132" s="220"/>
      <c r="BP132" s="220"/>
      <c r="BQ132" s="220"/>
      <c r="BR132" s="220"/>
      <c r="BS132" s="220"/>
      <c r="BT132" s="220"/>
      <c r="BU132" s="220"/>
      <c r="BV132" s="220"/>
      <c r="BW132" s="220"/>
      <c r="BX132" s="220"/>
      <c r="BY132" s="220"/>
      <c r="BZ132" s="220"/>
      <c r="CA132" s="220"/>
      <c r="CB132" s="220"/>
      <c r="CC132" s="220"/>
      <c r="CD132" s="220"/>
      <c r="CE132" s="220"/>
      <c r="CF132" s="220"/>
      <c r="CG132" s="220"/>
      <c r="CH132" s="220"/>
      <c r="CI132" s="220"/>
      <c r="CJ132" s="220"/>
      <c r="CK132" s="220"/>
      <c r="CL132" s="220"/>
      <c r="CM132" s="220"/>
      <c r="CN132" s="220"/>
      <c r="CO132" s="220"/>
      <c r="CP132" s="220"/>
      <c r="CQ132" s="220"/>
      <c r="CR132" s="220"/>
      <c r="CS132" s="220"/>
      <c r="CT132" s="220"/>
      <c r="CU132" s="220"/>
      <c r="CV132" s="220"/>
      <c r="CW132" s="220"/>
      <c r="CX132" s="220"/>
      <c r="CY132" s="220"/>
      <c r="CZ132" s="220"/>
      <c r="DA132" s="220"/>
      <c r="DB132" s="220"/>
      <c r="DC132" s="220"/>
      <c r="DD132" s="220"/>
      <c r="DE132" s="220"/>
      <c r="DF132" s="220"/>
      <c r="DG132" s="220"/>
      <c r="DH132" s="220"/>
      <c r="DI132" s="220"/>
      <c r="DJ132" s="220"/>
      <c r="DK132" s="220"/>
      <c r="DL132" s="220"/>
      <c r="DM132" s="220"/>
      <c r="DN132" s="220"/>
      <c r="DO132" s="220"/>
      <c r="DP132" s="220"/>
      <c r="DQ132" s="220"/>
    </row>
    <row r="133" spans="14:121" x14ac:dyDescent="0.25">
      <c r="N133" s="220"/>
      <c r="O133" s="220"/>
      <c r="P133" s="220"/>
      <c r="Q133" s="220"/>
      <c r="R133" s="220"/>
      <c r="S133" s="220"/>
      <c r="T133" s="220"/>
      <c r="U133" s="220"/>
      <c r="V133" s="220"/>
      <c r="W133" s="220"/>
      <c r="X133" s="220"/>
      <c r="Y133" s="220"/>
      <c r="Z133" s="220"/>
      <c r="AA133" s="220"/>
      <c r="AB133" s="220"/>
      <c r="AC133" s="220"/>
      <c r="AD133" s="220"/>
      <c r="AE133" s="220"/>
      <c r="AF133" s="220"/>
      <c r="AG133" s="220"/>
      <c r="AH133" s="220"/>
      <c r="AI133" s="220"/>
      <c r="AJ133" s="220"/>
      <c r="AK133" s="220"/>
      <c r="AL133" s="220"/>
      <c r="AM133" s="220"/>
      <c r="AN133" s="220"/>
      <c r="AO133" s="220"/>
      <c r="AP133" s="220"/>
      <c r="AQ133" s="220"/>
      <c r="AR133" s="220"/>
      <c r="AS133" s="220"/>
      <c r="AT133" s="220"/>
      <c r="AU133" s="220"/>
      <c r="AV133" s="220"/>
      <c r="AW133" s="220"/>
      <c r="AX133" s="220"/>
      <c r="AY133" s="220"/>
      <c r="AZ133" s="220"/>
      <c r="BA133" s="220"/>
      <c r="BB133" s="220"/>
      <c r="BC133" s="220"/>
      <c r="BD133" s="220"/>
      <c r="BE133" s="220"/>
      <c r="BF133" s="220"/>
      <c r="BG133" s="220"/>
      <c r="BH133" s="220"/>
      <c r="BI133" s="220"/>
      <c r="BJ133" s="220"/>
      <c r="BK133" s="220"/>
      <c r="BL133" s="220"/>
      <c r="BM133" s="220"/>
      <c r="BN133" s="220"/>
      <c r="BO133" s="220"/>
      <c r="BP133" s="220"/>
      <c r="BQ133" s="220"/>
      <c r="BR133" s="220"/>
      <c r="BS133" s="220"/>
      <c r="BT133" s="220"/>
      <c r="BU133" s="220"/>
      <c r="BV133" s="220"/>
      <c r="BW133" s="220"/>
      <c r="BX133" s="220"/>
      <c r="BY133" s="220"/>
      <c r="BZ133" s="220"/>
      <c r="CA133" s="220"/>
      <c r="CB133" s="220"/>
      <c r="CC133" s="220"/>
      <c r="CD133" s="220"/>
      <c r="CE133" s="220"/>
      <c r="CF133" s="220"/>
      <c r="CG133" s="220"/>
      <c r="CH133" s="220"/>
      <c r="CI133" s="220"/>
      <c r="CJ133" s="220"/>
      <c r="CK133" s="220"/>
      <c r="CL133" s="220"/>
      <c r="CM133" s="220"/>
      <c r="CN133" s="220"/>
      <c r="CO133" s="220"/>
      <c r="CP133" s="220"/>
      <c r="CQ133" s="220"/>
      <c r="CR133" s="220"/>
      <c r="CS133" s="220"/>
      <c r="CT133" s="220"/>
      <c r="CU133" s="220"/>
      <c r="CV133" s="220"/>
      <c r="CW133" s="220"/>
      <c r="CX133" s="220"/>
      <c r="CY133" s="220"/>
      <c r="CZ133" s="220"/>
      <c r="DA133" s="220"/>
      <c r="DB133" s="220"/>
      <c r="DC133" s="220"/>
      <c r="DD133" s="220"/>
      <c r="DE133" s="220"/>
      <c r="DF133" s="220"/>
      <c r="DG133" s="220"/>
      <c r="DH133" s="220"/>
      <c r="DI133" s="220"/>
      <c r="DJ133" s="220"/>
      <c r="DK133" s="220"/>
      <c r="DL133" s="220"/>
      <c r="DM133" s="220"/>
      <c r="DN133" s="220"/>
      <c r="DO133" s="220"/>
      <c r="DP133" s="220"/>
      <c r="DQ133" s="220"/>
    </row>
    <row r="134" spans="14:121" x14ac:dyDescent="0.25">
      <c r="N134" s="220"/>
      <c r="O134" s="220"/>
      <c r="P134" s="220"/>
      <c r="Q134" s="220"/>
      <c r="R134" s="220"/>
      <c r="S134" s="220"/>
      <c r="T134" s="220"/>
      <c r="U134" s="220"/>
      <c r="V134" s="220"/>
      <c r="W134" s="220"/>
      <c r="X134" s="220"/>
      <c r="Y134" s="220"/>
      <c r="Z134" s="220"/>
      <c r="AA134" s="220"/>
      <c r="AB134" s="220"/>
      <c r="AC134" s="220"/>
      <c r="AD134" s="220"/>
      <c r="AE134" s="220"/>
      <c r="AF134" s="220"/>
      <c r="AG134" s="220"/>
      <c r="AH134" s="220"/>
      <c r="AI134" s="220"/>
      <c r="AJ134" s="220"/>
      <c r="AK134" s="220"/>
      <c r="AL134" s="220"/>
      <c r="AM134" s="220"/>
      <c r="AN134" s="220"/>
      <c r="AO134" s="220"/>
      <c r="AP134" s="220"/>
      <c r="AQ134" s="220"/>
      <c r="AR134" s="220"/>
      <c r="AS134" s="220"/>
      <c r="AT134" s="220"/>
      <c r="AU134" s="220"/>
      <c r="AV134" s="220"/>
      <c r="AW134" s="220"/>
      <c r="AX134" s="220"/>
      <c r="AY134" s="220"/>
      <c r="AZ134" s="220"/>
      <c r="BA134" s="220"/>
      <c r="BB134" s="220"/>
      <c r="BC134" s="220"/>
      <c r="BD134" s="220"/>
      <c r="BE134" s="220"/>
      <c r="BF134" s="220"/>
      <c r="BG134" s="220"/>
      <c r="BH134" s="220"/>
      <c r="BI134" s="220"/>
      <c r="BJ134" s="220"/>
      <c r="BK134" s="220"/>
      <c r="BL134" s="220"/>
      <c r="BM134" s="220"/>
      <c r="BN134" s="220"/>
      <c r="BO134" s="220"/>
      <c r="BP134" s="220"/>
      <c r="BQ134" s="220"/>
      <c r="BR134" s="220"/>
      <c r="BS134" s="220"/>
      <c r="BT134" s="220"/>
      <c r="BU134" s="220"/>
      <c r="BV134" s="220"/>
      <c r="BW134" s="220"/>
      <c r="BX134" s="220"/>
      <c r="BY134" s="220"/>
      <c r="BZ134" s="220"/>
      <c r="CA134" s="220"/>
      <c r="CB134" s="220"/>
      <c r="CC134" s="220"/>
      <c r="CD134" s="220"/>
      <c r="CE134" s="220"/>
      <c r="CF134" s="220"/>
      <c r="CG134" s="220"/>
      <c r="CH134" s="220"/>
      <c r="CI134" s="220"/>
      <c r="CJ134" s="220"/>
      <c r="CK134" s="220"/>
      <c r="CL134" s="220"/>
      <c r="CM134" s="220"/>
      <c r="CN134" s="220"/>
      <c r="CO134" s="220"/>
      <c r="CP134" s="220"/>
      <c r="CQ134" s="220"/>
      <c r="CR134" s="220"/>
      <c r="CS134" s="220"/>
      <c r="CT134" s="220"/>
      <c r="CU134" s="220"/>
      <c r="CV134" s="220"/>
      <c r="CW134" s="220"/>
      <c r="CX134" s="220"/>
      <c r="CY134" s="220"/>
      <c r="CZ134" s="220"/>
      <c r="DA134" s="220"/>
      <c r="DB134" s="220"/>
      <c r="DC134" s="220"/>
      <c r="DD134" s="220"/>
      <c r="DE134" s="220"/>
      <c r="DF134" s="220"/>
      <c r="DG134" s="220"/>
      <c r="DH134" s="220"/>
      <c r="DI134" s="220"/>
      <c r="DJ134" s="220"/>
      <c r="DK134" s="220"/>
      <c r="DL134" s="220"/>
      <c r="DM134" s="220"/>
      <c r="DN134" s="220"/>
      <c r="DO134" s="220"/>
      <c r="DP134" s="220"/>
      <c r="DQ134" s="220"/>
    </row>
    <row r="135" spans="14:121" x14ac:dyDescent="0.25">
      <c r="N135" s="220"/>
      <c r="O135" s="220"/>
      <c r="P135" s="220"/>
      <c r="Q135" s="220"/>
      <c r="R135" s="220"/>
      <c r="S135" s="220"/>
      <c r="T135" s="220"/>
      <c r="U135" s="220"/>
      <c r="V135" s="220"/>
      <c r="W135" s="220"/>
      <c r="X135" s="220"/>
      <c r="Y135" s="220"/>
      <c r="Z135" s="220"/>
      <c r="AA135" s="220"/>
      <c r="AB135" s="220"/>
      <c r="AC135" s="220"/>
      <c r="AD135" s="220"/>
      <c r="AE135" s="220"/>
      <c r="AF135" s="220"/>
      <c r="AG135" s="220"/>
      <c r="AH135" s="220"/>
      <c r="AI135" s="220"/>
      <c r="AJ135" s="220"/>
      <c r="AK135" s="220"/>
      <c r="AL135" s="220"/>
      <c r="AM135" s="220"/>
      <c r="AN135" s="220"/>
      <c r="AO135" s="220"/>
      <c r="AP135" s="220"/>
      <c r="AQ135" s="220"/>
      <c r="AR135" s="220"/>
      <c r="AS135" s="220"/>
      <c r="AT135" s="220"/>
      <c r="AU135" s="220"/>
      <c r="AV135" s="220"/>
      <c r="AW135" s="220"/>
      <c r="AX135" s="220"/>
      <c r="AY135" s="220"/>
      <c r="AZ135" s="220"/>
      <c r="BA135" s="220"/>
      <c r="BB135" s="220"/>
      <c r="BC135" s="220"/>
      <c r="BD135" s="220"/>
      <c r="BE135" s="220"/>
      <c r="BF135" s="220"/>
      <c r="BG135" s="220"/>
      <c r="BH135" s="220"/>
      <c r="BI135" s="220"/>
      <c r="BJ135" s="220"/>
      <c r="BK135" s="220"/>
      <c r="BL135" s="220"/>
      <c r="BM135" s="220"/>
      <c r="BN135" s="220"/>
      <c r="BO135" s="220"/>
      <c r="BP135" s="220"/>
      <c r="BQ135" s="220"/>
      <c r="BR135" s="220"/>
      <c r="BS135" s="220"/>
      <c r="BT135" s="220"/>
      <c r="BU135" s="220"/>
      <c r="BV135" s="220"/>
      <c r="BW135" s="220"/>
      <c r="BX135" s="220"/>
      <c r="BY135" s="220"/>
      <c r="BZ135" s="220"/>
      <c r="CA135" s="220"/>
      <c r="CB135" s="220"/>
      <c r="CC135" s="220"/>
      <c r="CD135" s="220"/>
      <c r="CE135" s="220"/>
      <c r="CF135" s="220"/>
      <c r="CG135" s="220"/>
      <c r="CH135" s="220"/>
      <c r="CI135" s="220"/>
      <c r="CJ135" s="220"/>
      <c r="CK135" s="220"/>
      <c r="CL135" s="220"/>
      <c r="CM135" s="220"/>
      <c r="CN135" s="220"/>
      <c r="CO135" s="220"/>
      <c r="CP135" s="220"/>
      <c r="CQ135" s="220"/>
      <c r="CR135" s="220"/>
      <c r="CS135" s="220"/>
      <c r="CT135" s="220"/>
      <c r="CU135" s="220"/>
      <c r="CV135" s="220"/>
      <c r="CW135" s="220"/>
      <c r="CX135" s="220"/>
      <c r="CY135" s="220"/>
      <c r="CZ135" s="220"/>
      <c r="DA135" s="220"/>
      <c r="DB135" s="220"/>
      <c r="DC135" s="220"/>
      <c r="DD135" s="220"/>
      <c r="DE135" s="220"/>
      <c r="DF135" s="220"/>
      <c r="DG135" s="220"/>
      <c r="DH135" s="220"/>
      <c r="DI135" s="220"/>
      <c r="DJ135" s="220"/>
      <c r="DK135" s="220"/>
      <c r="DL135" s="220"/>
      <c r="DM135" s="220"/>
      <c r="DN135" s="220"/>
      <c r="DO135" s="220"/>
      <c r="DP135" s="220"/>
      <c r="DQ135" s="220"/>
    </row>
    <row r="136" spans="14:121" x14ac:dyDescent="0.25">
      <c r="N136" s="220"/>
      <c r="O136" s="220"/>
      <c r="P136" s="220"/>
      <c r="Q136" s="220"/>
      <c r="R136" s="220"/>
      <c r="S136" s="220"/>
      <c r="T136" s="220"/>
      <c r="U136" s="220"/>
      <c r="V136" s="220"/>
      <c r="W136" s="220"/>
      <c r="X136" s="220"/>
      <c r="Y136" s="220"/>
      <c r="Z136" s="220"/>
      <c r="AA136" s="220"/>
      <c r="AB136" s="220"/>
      <c r="AC136" s="220"/>
      <c r="AD136" s="220"/>
      <c r="AE136" s="220"/>
      <c r="AF136" s="220"/>
      <c r="AG136" s="220"/>
      <c r="AH136" s="220"/>
      <c r="AI136" s="220"/>
      <c r="AJ136" s="220"/>
      <c r="AK136" s="220"/>
      <c r="AL136" s="220"/>
      <c r="AM136" s="220"/>
      <c r="AN136" s="220"/>
      <c r="AO136" s="220"/>
      <c r="AP136" s="220"/>
      <c r="AQ136" s="220"/>
      <c r="AR136" s="220"/>
      <c r="AS136" s="220"/>
      <c r="AT136" s="220"/>
      <c r="AU136" s="220"/>
      <c r="AV136" s="220"/>
      <c r="AW136" s="220"/>
      <c r="AX136" s="220"/>
      <c r="AY136" s="220"/>
      <c r="AZ136" s="220"/>
      <c r="BA136" s="220"/>
      <c r="BB136" s="220"/>
      <c r="BC136" s="220"/>
      <c r="BD136" s="220"/>
      <c r="BE136" s="220"/>
      <c r="BF136" s="220"/>
      <c r="BG136" s="220"/>
      <c r="BH136" s="220"/>
      <c r="BI136" s="220"/>
      <c r="BJ136" s="220"/>
      <c r="BK136" s="220"/>
      <c r="BL136" s="220"/>
      <c r="BM136" s="220"/>
      <c r="BN136" s="220"/>
      <c r="BO136" s="220"/>
      <c r="BP136" s="220"/>
      <c r="BQ136" s="220"/>
      <c r="BR136" s="220"/>
      <c r="BS136" s="220"/>
      <c r="BT136" s="220"/>
      <c r="BU136" s="220"/>
      <c r="BV136" s="220"/>
      <c r="BW136" s="220"/>
      <c r="BX136" s="220"/>
      <c r="BY136" s="220"/>
      <c r="BZ136" s="220"/>
      <c r="CA136" s="220"/>
      <c r="CB136" s="220"/>
      <c r="CC136" s="220"/>
      <c r="CD136" s="220"/>
      <c r="CE136" s="220"/>
      <c r="CF136" s="220"/>
      <c r="CG136" s="220"/>
      <c r="CH136" s="220"/>
      <c r="CI136" s="220"/>
      <c r="CJ136" s="220"/>
      <c r="CK136" s="220"/>
      <c r="CL136" s="220"/>
      <c r="CM136" s="220"/>
      <c r="CN136" s="220"/>
      <c r="CO136" s="220"/>
      <c r="CP136" s="220"/>
      <c r="CQ136" s="220"/>
      <c r="CR136" s="220"/>
      <c r="CS136" s="220"/>
      <c r="CT136" s="220"/>
      <c r="CU136" s="220"/>
      <c r="CV136" s="220"/>
      <c r="CW136" s="220"/>
      <c r="CX136" s="220"/>
      <c r="CY136" s="220"/>
      <c r="CZ136" s="220"/>
      <c r="DA136" s="220"/>
      <c r="DB136" s="220"/>
      <c r="DC136" s="220"/>
      <c r="DD136" s="220"/>
      <c r="DE136" s="220"/>
      <c r="DF136" s="220"/>
      <c r="DG136" s="220"/>
      <c r="DH136" s="220"/>
      <c r="DI136" s="220"/>
      <c r="DJ136" s="220"/>
      <c r="DK136" s="220"/>
      <c r="DL136" s="220"/>
      <c r="DM136" s="220"/>
      <c r="DN136" s="220"/>
      <c r="DO136" s="220"/>
      <c r="DP136" s="220"/>
      <c r="DQ136" s="220"/>
    </row>
    <row r="137" spans="14:121" x14ac:dyDescent="0.25">
      <c r="N137" s="220"/>
      <c r="O137" s="220"/>
      <c r="P137" s="220"/>
      <c r="Q137" s="220"/>
      <c r="R137" s="220"/>
      <c r="S137" s="220"/>
      <c r="T137" s="220"/>
      <c r="U137" s="220"/>
      <c r="V137" s="220"/>
      <c r="W137" s="220"/>
      <c r="X137" s="220"/>
      <c r="Y137" s="220"/>
      <c r="Z137" s="220"/>
      <c r="AA137" s="220"/>
      <c r="AB137" s="220"/>
      <c r="AC137" s="220"/>
      <c r="AD137" s="220"/>
      <c r="AE137" s="220"/>
      <c r="AF137" s="220"/>
      <c r="AG137" s="220"/>
      <c r="AH137" s="220"/>
      <c r="AI137" s="220"/>
      <c r="AJ137" s="220"/>
      <c r="AK137" s="220"/>
      <c r="AL137" s="220"/>
      <c r="AM137" s="220"/>
      <c r="AN137" s="220"/>
      <c r="AO137" s="220"/>
      <c r="AP137" s="220"/>
      <c r="AQ137" s="220"/>
      <c r="AR137" s="220"/>
      <c r="AS137" s="220"/>
      <c r="AT137" s="220"/>
      <c r="AU137" s="220"/>
      <c r="AV137" s="220"/>
      <c r="AW137" s="220"/>
      <c r="AX137" s="220"/>
      <c r="AY137" s="220"/>
      <c r="AZ137" s="220"/>
      <c r="BA137" s="220"/>
      <c r="BB137" s="220"/>
      <c r="BC137" s="220"/>
      <c r="BD137" s="220"/>
      <c r="BE137" s="220"/>
      <c r="BF137" s="220"/>
      <c r="BG137" s="220"/>
      <c r="BH137" s="220"/>
      <c r="BI137" s="220"/>
      <c r="BJ137" s="220"/>
      <c r="BK137" s="220"/>
      <c r="BL137" s="220"/>
      <c r="BM137" s="220"/>
      <c r="BN137" s="220"/>
      <c r="BO137" s="220"/>
      <c r="BP137" s="220"/>
      <c r="BQ137" s="220"/>
      <c r="BR137" s="220"/>
      <c r="BS137" s="220"/>
      <c r="BT137" s="220"/>
      <c r="BU137" s="220"/>
      <c r="BV137" s="220"/>
      <c r="BW137" s="220"/>
      <c r="BX137" s="220"/>
      <c r="BY137" s="220"/>
      <c r="BZ137" s="220"/>
      <c r="CA137" s="220"/>
      <c r="CB137" s="220"/>
      <c r="CC137" s="220"/>
      <c r="CD137" s="220"/>
      <c r="CE137" s="220"/>
      <c r="CF137" s="220"/>
      <c r="CG137" s="220"/>
      <c r="CH137" s="220"/>
      <c r="CI137" s="220"/>
      <c r="CJ137" s="220"/>
      <c r="CK137" s="220"/>
      <c r="CL137" s="220"/>
      <c r="CM137" s="220"/>
      <c r="CN137" s="220"/>
      <c r="CO137" s="220"/>
      <c r="CP137" s="220"/>
      <c r="CQ137" s="220"/>
      <c r="CR137" s="220"/>
      <c r="CS137" s="220"/>
      <c r="CT137" s="220"/>
      <c r="CU137" s="220"/>
      <c r="CV137" s="220"/>
      <c r="CW137" s="220"/>
      <c r="CX137" s="220"/>
      <c r="CY137" s="220"/>
      <c r="CZ137" s="220"/>
      <c r="DA137" s="220"/>
      <c r="DB137" s="220"/>
      <c r="DC137" s="220"/>
      <c r="DD137" s="220"/>
      <c r="DE137" s="220"/>
      <c r="DF137" s="220"/>
      <c r="DG137" s="220"/>
      <c r="DH137" s="220"/>
      <c r="DI137" s="220"/>
      <c r="DJ137" s="220"/>
      <c r="DK137" s="220"/>
      <c r="DL137" s="220"/>
      <c r="DM137" s="220"/>
      <c r="DN137" s="220"/>
      <c r="DO137" s="220"/>
      <c r="DP137" s="220"/>
      <c r="DQ137" s="220"/>
    </row>
    <row r="138" spans="14:121" x14ac:dyDescent="0.25">
      <c r="N138" s="220"/>
      <c r="O138" s="220"/>
      <c r="P138" s="220"/>
      <c r="Q138" s="220"/>
      <c r="R138" s="220"/>
      <c r="S138" s="220"/>
      <c r="T138" s="220"/>
      <c r="U138" s="220"/>
      <c r="V138" s="220"/>
      <c r="W138" s="220"/>
      <c r="X138" s="220"/>
      <c r="Y138" s="220"/>
      <c r="Z138" s="220"/>
      <c r="AA138" s="220"/>
      <c r="AB138" s="220"/>
      <c r="AC138" s="220"/>
      <c r="AD138" s="220"/>
      <c r="AE138" s="220"/>
      <c r="AF138" s="220"/>
      <c r="AG138" s="220"/>
      <c r="AH138" s="220"/>
      <c r="AI138" s="220"/>
      <c r="AJ138" s="220"/>
      <c r="AK138" s="220"/>
      <c r="AL138" s="220"/>
      <c r="AM138" s="220"/>
      <c r="AN138" s="220"/>
      <c r="AO138" s="220"/>
      <c r="AP138" s="220"/>
      <c r="AQ138" s="220"/>
      <c r="AR138" s="220"/>
      <c r="AS138" s="220"/>
      <c r="AT138" s="220"/>
      <c r="AU138" s="220"/>
      <c r="AV138" s="220"/>
      <c r="AW138" s="220"/>
      <c r="AX138" s="220"/>
      <c r="AY138" s="220"/>
      <c r="AZ138" s="220"/>
      <c r="BA138" s="220"/>
      <c r="BB138" s="220"/>
      <c r="BC138" s="220"/>
      <c r="BD138" s="220"/>
      <c r="BE138" s="220"/>
      <c r="BF138" s="220"/>
      <c r="BG138" s="220"/>
      <c r="BH138" s="220"/>
      <c r="BI138" s="220"/>
      <c r="BJ138" s="220"/>
      <c r="BK138" s="220"/>
      <c r="BL138" s="220"/>
      <c r="BM138" s="220"/>
      <c r="BN138" s="220"/>
      <c r="BO138" s="220"/>
      <c r="BP138" s="220"/>
      <c r="BQ138" s="220"/>
      <c r="BR138" s="220"/>
      <c r="BS138" s="220"/>
      <c r="BT138" s="220"/>
      <c r="BU138" s="220"/>
      <c r="BV138" s="220"/>
      <c r="BW138" s="220"/>
      <c r="BX138" s="220"/>
      <c r="BY138" s="220"/>
      <c r="BZ138" s="220"/>
      <c r="CA138" s="220"/>
      <c r="CB138" s="220"/>
      <c r="CC138" s="220"/>
      <c r="CD138" s="220"/>
      <c r="CE138" s="220"/>
      <c r="CF138" s="220"/>
      <c r="CG138" s="220"/>
      <c r="CH138" s="220"/>
      <c r="CI138" s="220"/>
      <c r="CJ138" s="220"/>
      <c r="CK138" s="220"/>
      <c r="CL138" s="220"/>
      <c r="CM138" s="220"/>
      <c r="CN138" s="220"/>
      <c r="CO138" s="220"/>
      <c r="CP138" s="220"/>
      <c r="CQ138" s="220"/>
      <c r="CR138" s="220"/>
      <c r="CS138" s="220"/>
      <c r="CT138" s="220"/>
      <c r="CU138" s="220"/>
      <c r="CV138" s="220"/>
      <c r="CW138" s="220"/>
      <c r="CX138" s="220"/>
      <c r="CY138" s="220"/>
      <c r="CZ138" s="220"/>
      <c r="DA138" s="220"/>
      <c r="DB138" s="220"/>
      <c r="DC138" s="220"/>
      <c r="DD138" s="220"/>
      <c r="DE138" s="220"/>
      <c r="DF138" s="220"/>
      <c r="DG138" s="220"/>
      <c r="DH138" s="220"/>
      <c r="DI138" s="220"/>
      <c r="DJ138" s="220"/>
      <c r="DK138" s="220"/>
      <c r="DL138" s="220"/>
      <c r="DM138" s="220"/>
      <c r="DN138" s="220"/>
      <c r="DO138" s="220"/>
      <c r="DP138" s="220"/>
      <c r="DQ138" s="220"/>
    </row>
    <row r="139" spans="14:121" x14ac:dyDescent="0.25">
      <c r="N139" s="220"/>
      <c r="O139" s="220"/>
      <c r="P139" s="220"/>
      <c r="Q139" s="220"/>
      <c r="R139" s="220"/>
      <c r="S139" s="220"/>
      <c r="T139" s="220"/>
      <c r="U139" s="220"/>
      <c r="V139" s="220"/>
      <c r="W139" s="220"/>
      <c r="X139" s="220"/>
      <c r="Y139" s="220"/>
      <c r="Z139" s="220"/>
      <c r="AA139" s="220"/>
      <c r="AB139" s="220"/>
      <c r="AC139" s="220"/>
      <c r="AD139" s="220"/>
      <c r="AE139" s="220"/>
      <c r="AF139" s="220"/>
      <c r="AG139" s="220"/>
      <c r="AH139" s="220"/>
      <c r="AI139" s="220"/>
      <c r="AJ139" s="220"/>
      <c r="AK139" s="220"/>
      <c r="AL139" s="220"/>
      <c r="AM139" s="220"/>
      <c r="AN139" s="220"/>
      <c r="AO139" s="220"/>
      <c r="AP139" s="220"/>
      <c r="AQ139" s="220"/>
      <c r="AR139" s="220"/>
      <c r="AS139" s="220"/>
      <c r="AT139" s="220"/>
      <c r="AU139" s="220"/>
      <c r="AV139" s="220"/>
      <c r="AW139" s="220"/>
      <c r="AX139" s="220"/>
      <c r="AY139" s="220"/>
      <c r="AZ139" s="220"/>
      <c r="BA139" s="220"/>
      <c r="BB139" s="220"/>
      <c r="BC139" s="220"/>
      <c r="BD139" s="220"/>
      <c r="BE139" s="220"/>
      <c r="BF139" s="220"/>
      <c r="BG139" s="220"/>
      <c r="BH139" s="220"/>
      <c r="BI139" s="220"/>
      <c r="BJ139" s="220"/>
      <c r="BK139" s="220"/>
      <c r="BL139" s="220"/>
      <c r="BM139" s="220"/>
      <c r="BN139" s="220"/>
      <c r="BO139" s="220"/>
      <c r="BP139" s="220"/>
      <c r="BQ139" s="220"/>
      <c r="BR139" s="220"/>
      <c r="BS139" s="220"/>
      <c r="BT139" s="220"/>
      <c r="BU139" s="220"/>
      <c r="BV139" s="220"/>
      <c r="BW139" s="220"/>
      <c r="BX139" s="220"/>
      <c r="BY139" s="220"/>
      <c r="BZ139" s="220"/>
      <c r="CA139" s="220"/>
      <c r="CB139" s="220"/>
      <c r="CC139" s="220"/>
      <c r="CD139" s="220"/>
      <c r="CE139" s="220"/>
      <c r="CF139" s="220"/>
      <c r="CG139" s="220"/>
      <c r="CH139" s="220"/>
      <c r="CI139" s="220"/>
      <c r="CJ139" s="220"/>
      <c r="CK139" s="220"/>
      <c r="CL139" s="220"/>
      <c r="CM139" s="220"/>
      <c r="CN139" s="220"/>
      <c r="CO139" s="220"/>
      <c r="CP139" s="220"/>
      <c r="CQ139" s="220"/>
      <c r="CR139" s="220"/>
      <c r="CS139" s="220"/>
      <c r="CT139" s="220"/>
      <c r="CU139" s="220"/>
      <c r="CV139" s="220"/>
      <c r="CW139" s="220"/>
      <c r="CX139" s="220"/>
      <c r="CY139" s="220"/>
      <c r="CZ139" s="220"/>
      <c r="DA139" s="220"/>
      <c r="DB139" s="220"/>
      <c r="DC139" s="220"/>
      <c r="DD139" s="220"/>
      <c r="DE139" s="220"/>
      <c r="DF139" s="220"/>
      <c r="DG139" s="220"/>
      <c r="DH139" s="220"/>
      <c r="DI139" s="220"/>
      <c r="DJ139" s="220"/>
      <c r="DK139" s="220"/>
      <c r="DL139" s="220"/>
      <c r="DM139" s="220"/>
      <c r="DN139" s="220"/>
      <c r="DO139" s="220"/>
      <c r="DP139" s="220"/>
      <c r="DQ139" s="220"/>
    </row>
    <row r="140" spans="14:121" x14ac:dyDescent="0.25">
      <c r="N140" s="220"/>
      <c r="O140" s="220"/>
      <c r="P140" s="220"/>
      <c r="Q140" s="220"/>
      <c r="R140" s="220"/>
      <c r="S140" s="220"/>
      <c r="T140" s="220"/>
      <c r="U140" s="220"/>
      <c r="V140" s="220"/>
      <c r="W140" s="220"/>
      <c r="X140" s="220"/>
      <c r="Y140" s="220"/>
      <c r="Z140" s="220"/>
      <c r="AA140" s="220"/>
      <c r="AB140" s="220"/>
      <c r="AC140" s="220"/>
      <c r="AD140" s="220"/>
      <c r="AE140" s="220"/>
      <c r="AF140" s="220"/>
      <c r="AG140" s="220"/>
      <c r="AH140" s="220"/>
      <c r="AI140" s="220"/>
      <c r="AJ140" s="220"/>
      <c r="AK140" s="220"/>
      <c r="AL140" s="220"/>
      <c r="AM140" s="220"/>
      <c r="AN140" s="220"/>
      <c r="AO140" s="220"/>
      <c r="AP140" s="220"/>
      <c r="AQ140" s="220"/>
      <c r="AR140" s="220"/>
      <c r="AS140" s="220"/>
      <c r="AT140" s="220"/>
      <c r="AU140" s="220"/>
      <c r="AV140" s="220"/>
      <c r="AW140" s="220"/>
      <c r="AX140" s="220"/>
      <c r="AY140" s="220"/>
      <c r="AZ140" s="220"/>
      <c r="BA140" s="220"/>
      <c r="BB140" s="220"/>
      <c r="BC140" s="220"/>
      <c r="BD140" s="220"/>
      <c r="BE140" s="220"/>
      <c r="BF140" s="220"/>
      <c r="BG140" s="220"/>
      <c r="BH140" s="220"/>
      <c r="BI140" s="220"/>
      <c r="BJ140" s="220"/>
      <c r="BK140" s="220"/>
      <c r="BL140" s="220"/>
      <c r="BM140" s="220"/>
      <c r="BN140" s="220"/>
      <c r="BO140" s="220"/>
      <c r="BP140" s="220"/>
      <c r="BQ140" s="220"/>
      <c r="BR140" s="220"/>
      <c r="BS140" s="220"/>
      <c r="BT140" s="220"/>
      <c r="BU140" s="220"/>
      <c r="BV140" s="220"/>
      <c r="BW140" s="220"/>
      <c r="BX140" s="220"/>
      <c r="BY140" s="220"/>
      <c r="BZ140" s="220"/>
      <c r="CA140" s="220"/>
      <c r="CB140" s="220"/>
      <c r="CC140" s="220"/>
      <c r="CD140" s="220"/>
      <c r="CE140" s="220"/>
      <c r="CF140" s="220"/>
      <c r="CG140" s="220"/>
      <c r="CH140" s="220"/>
      <c r="CI140" s="220"/>
      <c r="CJ140" s="220"/>
      <c r="CK140" s="220"/>
      <c r="CL140" s="220"/>
      <c r="CM140" s="220"/>
      <c r="CN140" s="220"/>
      <c r="CO140" s="220"/>
      <c r="CP140" s="220"/>
      <c r="CQ140" s="220"/>
      <c r="CR140" s="220"/>
      <c r="CS140" s="220"/>
      <c r="CT140" s="220"/>
      <c r="CU140" s="220"/>
      <c r="CV140" s="220"/>
      <c r="CW140" s="220"/>
      <c r="CX140" s="220"/>
      <c r="CY140" s="220"/>
      <c r="CZ140" s="220"/>
      <c r="DA140" s="220"/>
      <c r="DB140" s="220"/>
      <c r="DC140" s="220"/>
      <c r="DD140" s="220"/>
      <c r="DE140" s="220"/>
      <c r="DF140" s="220"/>
      <c r="DG140" s="220"/>
      <c r="DH140" s="220"/>
      <c r="DI140" s="220"/>
      <c r="DJ140" s="220"/>
      <c r="DK140" s="220"/>
      <c r="DL140" s="220"/>
      <c r="DM140" s="220"/>
      <c r="DN140" s="220"/>
      <c r="DO140" s="220"/>
      <c r="DP140" s="220"/>
      <c r="DQ140" s="220"/>
    </row>
    <row r="141" spans="14:121" x14ac:dyDescent="0.25">
      <c r="N141" s="220"/>
      <c r="O141" s="220"/>
      <c r="P141" s="220"/>
      <c r="Q141" s="220"/>
      <c r="R141" s="220"/>
      <c r="S141" s="220"/>
      <c r="T141" s="220"/>
      <c r="U141" s="220"/>
      <c r="V141" s="220"/>
      <c r="W141" s="220"/>
      <c r="X141" s="220"/>
      <c r="Y141" s="220"/>
      <c r="Z141" s="220"/>
      <c r="AA141" s="220"/>
      <c r="AB141" s="220"/>
      <c r="AC141" s="220"/>
      <c r="AD141" s="220"/>
      <c r="AE141" s="220"/>
      <c r="AF141" s="220"/>
      <c r="AG141" s="220"/>
      <c r="AH141" s="220"/>
      <c r="AI141" s="220"/>
      <c r="AJ141" s="220"/>
      <c r="AK141" s="220"/>
      <c r="AL141" s="220"/>
      <c r="AM141" s="220"/>
      <c r="AN141" s="220"/>
      <c r="AO141" s="220"/>
      <c r="AP141" s="220"/>
      <c r="AQ141" s="220"/>
      <c r="AR141" s="220"/>
      <c r="AS141" s="220"/>
      <c r="AT141" s="220"/>
      <c r="AU141" s="220"/>
      <c r="AV141" s="220"/>
      <c r="AW141" s="220"/>
      <c r="AX141" s="220"/>
      <c r="AY141" s="220"/>
      <c r="AZ141" s="220"/>
      <c r="BA141" s="220"/>
      <c r="BB141" s="220"/>
      <c r="BC141" s="220"/>
      <c r="BD141" s="220"/>
      <c r="BE141" s="220"/>
      <c r="BF141" s="220"/>
      <c r="BG141" s="220"/>
      <c r="BH141" s="220"/>
      <c r="BI141" s="220"/>
      <c r="BJ141" s="220"/>
      <c r="BK141" s="220"/>
      <c r="BL141" s="220"/>
      <c r="BM141" s="220"/>
      <c r="BN141" s="220"/>
      <c r="BO141" s="220"/>
      <c r="BP141" s="220"/>
      <c r="BQ141" s="220"/>
      <c r="BR141" s="220"/>
      <c r="BS141" s="220"/>
      <c r="BT141" s="220"/>
      <c r="BU141" s="220"/>
      <c r="BV141" s="220"/>
      <c r="BW141" s="220"/>
      <c r="BX141" s="220"/>
      <c r="BY141" s="220"/>
      <c r="BZ141" s="220"/>
      <c r="CA141" s="220"/>
      <c r="CB141" s="220"/>
      <c r="CC141" s="220"/>
      <c r="CD141" s="220"/>
      <c r="CE141" s="220"/>
      <c r="CF141" s="220"/>
      <c r="CG141" s="220"/>
      <c r="CH141" s="220"/>
      <c r="CI141" s="220"/>
      <c r="CJ141" s="220"/>
      <c r="CK141" s="220"/>
      <c r="CL141" s="220"/>
      <c r="CM141" s="220"/>
      <c r="CN141" s="220"/>
      <c r="CO141" s="220"/>
      <c r="CP141" s="220"/>
      <c r="CQ141" s="220"/>
      <c r="CR141" s="220"/>
      <c r="CS141" s="220"/>
      <c r="CT141" s="220"/>
      <c r="CU141" s="220"/>
      <c r="CV141" s="220"/>
      <c r="CW141" s="220"/>
      <c r="CX141" s="220"/>
      <c r="CY141" s="220"/>
      <c r="CZ141" s="220"/>
      <c r="DA141" s="220"/>
      <c r="DB141" s="220"/>
      <c r="DC141" s="220"/>
      <c r="DD141" s="220"/>
      <c r="DE141" s="220"/>
      <c r="DF141" s="220"/>
      <c r="DG141" s="220"/>
      <c r="DH141" s="220"/>
      <c r="DI141" s="220"/>
      <c r="DJ141" s="220"/>
      <c r="DK141" s="220"/>
      <c r="DL141" s="220"/>
      <c r="DM141" s="220"/>
      <c r="DN141" s="220"/>
      <c r="DO141" s="220"/>
      <c r="DP141" s="220"/>
      <c r="DQ141" s="220"/>
    </row>
    <row r="142" spans="14:121" x14ac:dyDescent="0.25">
      <c r="N142" s="220"/>
      <c r="O142" s="220"/>
      <c r="P142" s="220"/>
      <c r="Q142" s="220"/>
      <c r="R142" s="220"/>
      <c r="S142" s="220"/>
      <c r="T142" s="220"/>
      <c r="U142" s="220"/>
      <c r="V142" s="220"/>
      <c r="W142" s="220"/>
      <c r="X142" s="220"/>
      <c r="Y142" s="220"/>
      <c r="Z142" s="220"/>
      <c r="AA142" s="220"/>
      <c r="AB142" s="220"/>
      <c r="AC142" s="220"/>
      <c r="AD142" s="220"/>
      <c r="AE142" s="220"/>
      <c r="AF142" s="220"/>
      <c r="AG142" s="220"/>
      <c r="AH142" s="220"/>
      <c r="AI142" s="220"/>
      <c r="AJ142" s="220"/>
      <c r="AK142" s="220"/>
      <c r="AL142" s="220"/>
      <c r="AM142" s="220"/>
      <c r="AN142" s="220"/>
      <c r="AO142" s="220"/>
      <c r="AP142" s="220"/>
      <c r="AQ142" s="220"/>
      <c r="AR142" s="220"/>
      <c r="AS142" s="220"/>
      <c r="AT142" s="220"/>
      <c r="AU142" s="220"/>
      <c r="AV142" s="220"/>
      <c r="AW142" s="220"/>
      <c r="AX142" s="220"/>
      <c r="AY142" s="220"/>
      <c r="AZ142" s="220"/>
      <c r="BA142" s="220"/>
      <c r="BB142" s="220"/>
      <c r="BC142" s="220"/>
      <c r="BD142" s="220"/>
      <c r="BE142" s="220"/>
      <c r="BF142" s="220"/>
      <c r="BG142" s="220"/>
      <c r="BH142" s="220"/>
      <c r="BI142" s="220"/>
      <c r="BJ142" s="220"/>
      <c r="BK142" s="220"/>
      <c r="BL142" s="220"/>
      <c r="BM142" s="220"/>
      <c r="BN142" s="220"/>
      <c r="BO142" s="220"/>
      <c r="BP142" s="220"/>
      <c r="BQ142" s="220"/>
      <c r="BR142" s="220"/>
      <c r="BS142" s="220"/>
      <c r="BT142" s="220"/>
      <c r="BU142" s="220"/>
      <c r="BV142" s="220"/>
      <c r="BW142" s="220"/>
      <c r="BX142" s="220"/>
      <c r="BY142" s="220"/>
      <c r="BZ142" s="220"/>
      <c r="CA142" s="220"/>
      <c r="CB142" s="220"/>
      <c r="CC142" s="220"/>
      <c r="CD142" s="220"/>
      <c r="CE142" s="220"/>
      <c r="CF142" s="220"/>
      <c r="CG142" s="220"/>
      <c r="CH142" s="220"/>
      <c r="CI142" s="220"/>
      <c r="CJ142" s="220"/>
      <c r="CK142" s="220"/>
      <c r="CL142" s="220"/>
      <c r="CM142" s="220"/>
      <c r="CN142" s="220"/>
      <c r="CO142" s="220"/>
      <c r="CP142" s="220"/>
      <c r="CQ142" s="220"/>
      <c r="CR142" s="220"/>
      <c r="CS142" s="220"/>
      <c r="CT142" s="220"/>
      <c r="CU142" s="220"/>
      <c r="CV142" s="220"/>
      <c r="CW142" s="220"/>
      <c r="CX142" s="220"/>
      <c r="CY142" s="220"/>
      <c r="CZ142" s="220"/>
      <c r="DA142" s="220"/>
      <c r="DB142" s="220"/>
      <c r="DC142" s="220"/>
      <c r="DD142" s="220"/>
      <c r="DE142" s="220"/>
      <c r="DF142" s="220"/>
      <c r="DG142" s="220"/>
      <c r="DH142" s="220"/>
      <c r="DI142" s="220"/>
      <c r="DJ142" s="220"/>
      <c r="DK142" s="220"/>
      <c r="DL142" s="220"/>
      <c r="DM142" s="220"/>
      <c r="DN142" s="220"/>
      <c r="DO142" s="220"/>
      <c r="DP142" s="220"/>
      <c r="DQ142" s="220"/>
    </row>
    <row r="143" spans="14:121" x14ac:dyDescent="0.25">
      <c r="N143" s="220"/>
      <c r="O143" s="220"/>
      <c r="P143" s="220"/>
      <c r="Q143" s="220"/>
      <c r="R143" s="220"/>
      <c r="S143" s="220"/>
      <c r="T143" s="220"/>
      <c r="U143" s="220"/>
      <c r="V143" s="220"/>
      <c r="W143" s="220"/>
      <c r="X143" s="220"/>
      <c r="Y143" s="220"/>
      <c r="Z143" s="220"/>
      <c r="AA143" s="220"/>
      <c r="AB143" s="220"/>
      <c r="AC143" s="220"/>
      <c r="AD143" s="220"/>
      <c r="AE143" s="220"/>
      <c r="AF143" s="220"/>
      <c r="AG143" s="220"/>
      <c r="AH143" s="220"/>
      <c r="AI143" s="220"/>
      <c r="AJ143" s="220"/>
      <c r="AK143" s="220"/>
      <c r="AL143" s="220"/>
      <c r="AM143" s="220"/>
      <c r="AN143" s="220"/>
      <c r="AO143" s="220"/>
      <c r="AP143" s="220"/>
      <c r="AQ143" s="220"/>
      <c r="AR143" s="220"/>
      <c r="AS143" s="220"/>
      <c r="AT143" s="220"/>
      <c r="AU143" s="220"/>
      <c r="AV143" s="220"/>
      <c r="AW143" s="220"/>
      <c r="AX143" s="220"/>
      <c r="AY143" s="220"/>
      <c r="AZ143" s="220"/>
      <c r="BA143" s="220"/>
      <c r="BB143" s="220"/>
      <c r="BC143" s="220"/>
      <c r="BD143" s="220"/>
      <c r="BE143" s="220"/>
      <c r="BF143" s="220"/>
      <c r="BG143" s="220"/>
      <c r="BH143" s="220"/>
      <c r="BI143" s="220"/>
      <c r="BJ143" s="220"/>
      <c r="BK143" s="220"/>
      <c r="BL143" s="220"/>
      <c r="BM143" s="220"/>
      <c r="BN143" s="220"/>
      <c r="BO143" s="220"/>
      <c r="BP143" s="220"/>
      <c r="BQ143" s="220"/>
      <c r="BR143" s="220"/>
      <c r="BS143" s="220"/>
      <c r="BT143" s="220"/>
      <c r="BU143" s="220"/>
      <c r="BV143" s="220"/>
      <c r="BW143" s="220"/>
      <c r="BX143" s="220"/>
      <c r="BY143" s="220"/>
      <c r="BZ143" s="220"/>
      <c r="CA143" s="220"/>
      <c r="CB143" s="220"/>
      <c r="CC143" s="220"/>
      <c r="CD143" s="220"/>
      <c r="CE143" s="220"/>
      <c r="CF143" s="220"/>
      <c r="CG143" s="220"/>
      <c r="CH143" s="220"/>
      <c r="CI143" s="220"/>
      <c r="CJ143" s="220"/>
      <c r="CK143" s="220"/>
      <c r="CL143" s="220"/>
      <c r="CM143" s="220"/>
      <c r="CN143" s="220"/>
      <c r="CO143" s="220"/>
      <c r="CP143" s="220"/>
      <c r="CQ143" s="220"/>
      <c r="CR143" s="220"/>
      <c r="CS143" s="220"/>
      <c r="CT143" s="220"/>
      <c r="CU143" s="220"/>
      <c r="CV143" s="220"/>
      <c r="CW143" s="220"/>
      <c r="CX143" s="220"/>
      <c r="CY143" s="220"/>
      <c r="CZ143" s="220"/>
      <c r="DA143" s="220"/>
      <c r="DB143" s="220"/>
      <c r="DC143" s="220"/>
      <c r="DD143" s="220"/>
      <c r="DE143" s="220"/>
      <c r="DF143" s="220"/>
      <c r="DG143" s="220"/>
      <c r="DH143" s="220"/>
      <c r="DI143" s="220"/>
      <c r="DJ143" s="220"/>
      <c r="DK143" s="220"/>
      <c r="DL143" s="220"/>
      <c r="DM143" s="220"/>
      <c r="DN143" s="220"/>
      <c r="DO143" s="220"/>
      <c r="DP143" s="220"/>
      <c r="DQ143" s="220"/>
    </row>
    <row r="144" spans="14:121" x14ac:dyDescent="0.25">
      <c r="N144" s="220"/>
      <c r="O144" s="220"/>
      <c r="P144" s="220"/>
      <c r="Q144" s="220"/>
      <c r="R144" s="220"/>
      <c r="S144" s="220"/>
      <c r="T144" s="220"/>
      <c r="U144" s="220"/>
      <c r="V144" s="220"/>
      <c r="W144" s="220"/>
      <c r="X144" s="220"/>
      <c r="Y144" s="220"/>
      <c r="Z144" s="220"/>
      <c r="AA144" s="220"/>
      <c r="AB144" s="220"/>
      <c r="AC144" s="220"/>
      <c r="AD144" s="220"/>
      <c r="AE144" s="220"/>
      <c r="AF144" s="220"/>
      <c r="AG144" s="220"/>
      <c r="AH144" s="220"/>
      <c r="AI144" s="220"/>
      <c r="AJ144" s="220"/>
      <c r="AK144" s="220"/>
      <c r="AL144" s="220"/>
      <c r="AM144" s="220"/>
      <c r="AN144" s="220"/>
      <c r="AO144" s="220"/>
      <c r="AP144" s="220"/>
      <c r="AQ144" s="220"/>
      <c r="AR144" s="220"/>
      <c r="AS144" s="220"/>
      <c r="AT144" s="220"/>
      <c r="AU144" s="220"/>
      <c r="AV144" s="220"/>
      <c r="AW144" s="220"/>
      <c r="AX144" s="220"/>
      <c r="AY144" s="220"/>
      <c r="AZ144" s="220"/>
      <c r="BA144" s="220"/>
      <c r="BB144" s="220"/>
      <c r="BC144" s="220"/>
      <c r="BD144" s="220"/>
      <c r="BE144" s="220"/>
      <c r="BF144" s="220"/>
      <c r="BG144" s="220"/>
      <c r="BH144" s="220"/>
      <c r="BI144" s="220"/>
      <c r="BJ144" s="220"/>
      <c r="BK144" s="220"/>
      <c r="BL144" s="220"/>
      <c r="BM144" s="220"/>
      <c r="BN144" s="220"/>
      <c r="BO144" s="220"/>
      <c r="BP144" s="220"/>
      <c r="BQ144" s="220"/>
      <c r="BR144" s="220"/>
      <c r="BS144" s="220"/>
      <c r="BT144" s="220"/>
      <c r="BU144" s="220"/>
      <c r="BV144" s="220"/>
      <c r="BW144" s="220"/>
      <c r="BX144" s="220"/>
      <c r="BY144" s="220"/>
      <c r="BZ144" s="220"/>
      <c r="CA144" s="220"/>
      <c r="CB144" s="220"/>
      <c r="CC144" s="220"/>
      <c r="CD144" s="220"/>
      <c r="CE144" s="220"/>
      <c r="CF144" s="220"/>
      <c r="CG144" s="220"/>
      <c r="CH144" s="220"/>
      <c r="CI144" s="220"/>
      <c r="CJ144" s="220"/>
      <c r="CK144" s="220"/>
      <c r="CL144" s="220"/>
      <c r="CM144" s="220"/>
      <c r="CN144" s="220"/>
      <c r="CO144" s="220"/>
      <c r="CP144" s="220"/>
      <c r="CQ144" s="220"/>
      <c r="CR144" s="220"/>
      <c r="CS144" s="220"/>
      <c r="CT144" s="220"/>
      <c r="CU144" s="220"/>
      <c r="CV144" s="220"/>
      <c r="CW144" s="220"/>
      <c r="CX144" s="220"/>
      <c r="CY144" s="220"/>
      <c r="CZ144" s="220"/>
      <c r="DA144" s="220"/>
      <c r="DB144" s="220"/>
      <c r="DC144" s="220"/>
      <c r="DD144" s="220"/>
      <c r="DE144" s="220"/>
      <c r="DF144" s="220"/>
      <c r="DG144" s="220"/>
      <c r="DH144" s="220"/>
      <c r="DI144" s="220"/>
      <c r="DJ144" s="220"/>
      <c r="DK144" s="220"/>
      <c r="DL144" s="220"/>
      <c r="DM144" s="220"/>
      <c r="DN144" s="220"/>
      <c r="DO144" s="220"/>
      <c r="DP144" s="220"/>
      <c r="DQ144" s="220"/>
    </row>
    <row r="145" spans="14:121" x14ac:dyDescent="0.25">
      <c r="N145" s="220"/>
      <c r="O145" s="220"/>
      <c r="P145" s="220"/>
      <c r="Q145" s="220"/>
      <c r="R145" s="220"/>
      <c r="S145" s="220"/>
      <c r="T145" s="220"/>
      <c r="U145" s="220"/>
      <c r="V145" s="220"/>
      <c r="W145" s="220"/>
      <c r="X145" s="220"/>
      <c r="Y145" s="220"/>
      <c r="Z145" s="220"/>
      <c r="AA145" s="220"/>
      <c r="AB145" s="220"/>
      <c r="AC145" s="220"/>
      <c r="AD145" s="220"/>
      <c r="AE145" s="220"/>
      <c r="AF145" s="220"/>
      <c r="AG145" s="220"/>
      <c r="AH145" s="220"/>
      <c r="AI145" s="220"/>
      <c r="AJ145" s="220"/>
      <c r="AK145" s="220"/>
      <c r="AL145" s="220"/>
      <c r="AM145" s="220"/>
      <c r="AN145" s="220"/>
      <c r="AO145" s="220"/>
      <c r="AP145" s="220"/>
      <c r="AQ145" s="220"/>
      <c r="AR145" s="220"/>
      <c r="AS145" s="220"/>
      <c r="AT145" s="220"/>
      <c r="AU145" s="220"/>
      <c r="AV145" s="220"/>
      <c r="AW145" s="220"/>
      <c r="AX145" s="220"/>
      <c r="AY145" s="220"/>
      <c r="AZ145" s="220"/>
      <c r="BA145" s="220"/>
      <c r="BB145" s="220"/>
      <c r="BC145" s="220"/>
      <c r="BD145" s="220"/>
      <c r="BE145" s="220"/>
      <c r="BF145" s="220"/>
      <c r="BG145" s="220"/>
      <c r="BH145" s="220"/>
      <c r="BI145" s="220"/>
      <c r="BJ145" s="220"/>
      <c r="BK145" s="220"/>
      <c r="BL145" s="220"/>
      <c r="BM145" s="220"/>
      <c r="BN145" s="220"/>
      <c r="BO145" s="220"/>
      <c r="BP145" s="220"/>
      <c r="BQ145" s="220"/>
      <c r="BR145" s="220"/>
      <c r="BS145" s="220"/>
      <c r="BT145" s="220"/>
      <c r="BU145" s="220"/>
      <c r="BV145" s="220"/>
      <c r="BW145" s="220"/>
      <c r="BX145" s="220"/>
      <c r="BY145" s="220"/>
      <c r="BZ145" s="220"/>
      <c r="CA145" s="220"/>
      <c r="CB145" s="220"/>
      <c r="CC145" s="220"/>
      <c r="CD145" s="220"/>
      <c r="CE145" s="220"/>
      <c r="CF145" s="220"/>
      <c r="CG145" s="220"/>
      <c r="CH145" s="220"/>
      <c r="CI145" s="220"/>
      <c r="CJ145" s="220"/>
      <c r="CK145" s="220"/>
      <c r="CL145" s="220"/>
      <c r="CM145" s="220"/>
      <c r="CN145" s="220"/>
      <c r="CO145" s="220"/>
      <c r="CP145" s="220"/>
      <c r="CQ145" s="220"/>
      <c r="CR145" s="220"/>
      <c r="CS145" s="220"/>
      <c r="CT145" s="220"/>
      <c r="CU145" s="220"/>
      <c r="CV145" s="220"/>
      <c r="CW145" s="220"/>
      <c r="CX145" s="220"/>
      <c r="CY145" s="220"/>
      <c r="CZ145" s="220"/>
      <c r="DA145" s="220"/>
      <c r="DB145" s="220"/>
      <c r="DC145" s="220"/>
      <c r="DD145" s="220"/>
      <c r="DE145" s="220"/>
      <c r="DF145" s="220"/>
      <c r="DG145" s="220"/>
      <c r="DH145" s="220"/>
      <c r="DI145" s="220"/>
      <c r="DJ145" s="220"/>
      <c r="DK145" s="220"/>
      <c r="DL145" s="220"/>
      <c r="DM145" s="220"/>
      <c r="DN145" s="220"/>
      <c r="DO145" s="220"/>
      <c r="DP145" s="220"/>
      <c r="DQ145" s="220"/>
    </row>
    <row r="146" spans="14:121" x14ac:dyDescent="0.25">
      <c r="N146" s="220"/>
      <c r="O146" s="220"/>
      <c r="P146" s="220"/>
      <c r="Q146" s="220"/>
      <c r="R146" s="220"/>
      <c r="S146" s="220"/>
      <c r="T146" s="220"/>
      <c r="U146" s="220"/>
      <c r="V146" s="220"/>
      <c r="W146" s="220"/>
      <c r="X146" s="220"/>
      <c r="Y146" s="220"/>
      <c r="Z146" s="220"/>
      <c r="AA146" s="220"/>
      <c r="AB146" s="220"/>
      <c r="AC146" s="220"/>
      <c r="AD146" s="220"/>
      <c r="AE146" s="220"/>
      <c r="AF146" s="220"/>
      <c r="AG146" s="220"/>
      <c r="AH146" s="220"/>
      <c r="AI146" s="220"/>
      <c r="AJ146" s="220"/>
      <c r="AK146" s="220"/>
      <c r="AL146" s="220"/>
      <c r="AM146" s="220"/>
      <c r="AN146" s="220"/>
      <c r="AO146" s="220"/>
      <c r="AP146" s="220"/>
      <c r="AQ146" s="220"/>
      <c r="AR146" s="220"/>
      <c r="AS146" s="220"/>
      <c r="AT146" s="220"/>
      <c r="AU146" s="220"/>
      <c r="AV146" s="220"/>
      <c r="AW146" s="220"/>
      <c r="AX146" s="220"/>
      <c r="AY146" s="220"/>
      <c r="AZ146" s="220"/>
      <c r="BA146" s="220"/>
      <c r="BB146" s="220"/>
      <c r="BC146" s="220"/>
      <c r="BD146" s="220"/>
      <c r="BE146" s="220"/>
      <c r="BF146" s="220"/>
      <c r="BG146" s="220"/>
      <c r="BH146" s="220"/>
      <c r="BI146" s="220"/>
      <c r="BJ146" s="220"/>
      <c r="BK146" s="220"/>
      <c r="BL146" s="220"/>
      <c r="BM146" s="220"/>
      <c r="BN146" s="220"/>
      <c r="BO146" s="220"/>
      <c r="BP146" s="220"/>
      <c r="BQ146" s="220"/>
      <c r="BR146" s="220"/>
      <c r="BS146" s="220"/>
      <c r="BT146" s="220"/>
      <c r="BU146" s="220"/>
      <c r="BV146" s="220"/>
      <c r="BW146" s="220"/>
      <c r="BX146" s="220"/>
      <c r="BY146" s="220"/>
      <c r="BZ146" s="220"/>
      <c r="CA146" s="220"/>
      <c r="CB146" s="220"/>
      <c r="CC146" s="220"/>
      <c r="CD146" s="220"/>
      <c r="CE146" s="220"/>
      <c r="CF146" s="220"/>
      <c r="CG146" s="220"/>
      <c r="CH146" s="220"/>
      <c r="CI146" s="220"/>
      <c r="CJ146" s="220"/>
      <c r="CK146" s="220"/>
      <c r="CL146" s="220"/>
      <c r="CM146" s="220"/>
      <c r="CN146" s="220"/>
      <c r="CO146" s="220"/>
      <c r="CP146" s="220"/>
      <c r="CQ146" s="220"/>
      <c r="CR146" s="220"/>
      <c r="CS146" s="220"/>
      <c r="CT146" s="220"/>
      <c r="CU146" s="220"/>
      <c r="CV146" s="220"/>
      <c r="CW146" s="220"/>
      <c r="CX146" s="220"/>
      <c r="CY146" s="220"/>
      <c r="CZ146" s="220"/>
      <c r="DA146" s="220"/>
      <c r="DB146" s="220"/>
      <c r="DC146" s="220"/>
      <c r="DD146" s="220"/>
      <c r="DE146" s="220"/>
      <c r="DF146" s="220"/>
      <c r="DG146" s="220"/>
      <c r="DH146" s="220"/>
      <c r="DI146" s="220"/>
      <c r="DJ146" s="220"/>
      <c r="DK146" s="220"/>
      <c r="DL146" s="220"/>
      <c r="DM146" s="220"/>
      <c r="DN146" s="220"/>
      <c r="DO146" s="220"/>
      <c r="DP146" s="220"/>
      <c r="DQ146" s="220"/>
    </row>
    <row r="147" spans="14:121" x14ac:dyDescent="0.25">
      <c r="N147" s="220"/>
      <c r="O147" s="220"/>
      <c r="P147" s="220"/>
      <c r="Q147" s="220"/>
      <c r="R147" s="220"/>
      <c r="S147" s="220"/>
      <c r="T147" s="220"/>
      <c r="U147" s="220"/>
      <c r="V147" s="220"/>
      <c r="W147" s="220"/>
      <c r="X147" s="220"/>
      <c r="Y147" s="220"/>
      <c r="Z147" s="220"/>
      <c r="AA147" s="220"/>
      <c r="AB147" s="220"/>
      <c r="AC147" s="220"/>
      <c r="AD147" s="220"/>
      <c r="AE147" s="220"/>
      <c r="AF147" s="220"/>
      <c r="AG147" s="220"/>
      <c r="AH147" s="220"/>
      <c r="AI147" s="220"/>
      <c r="AJ147" s="220"/>
      <c r="AK147" s="220"/>
      <c r="AL147" s="220"/>
      <c r="AM147" s="220"/>
      <c r="AN147" s="220"/>
      <c r="AO147" s="220"/>
      <c r="AP147" s="220"/>
      <c r="AQ147" s="220"/>
      <c r="AR147" s="220"/>
      <c r="AS147" s="220"/>
      <c r="AT147" s="220"/>
      <c r="AU147" s="220"/>
      <c r="AV147" s="220"/>
      <c r="AW147" s="220"/>
      <c r="AX147" s="220"/>
      <c r="AY147" s="220"/>
      <c r="AZ147" s="220"/>
      <c r="BA147" s="220"/>
      <c r="BB147" s="220"/>
      <c r="BC147" s="220"/>
      <c r="BD147" s="220"/>
      <c r="BE147" s="220"/>
      <c r="BF147" s="220"/>
      <c r="BG147" s="220"/>
      <c r="BH147" s="220"/>
      <c r="BI147" s="220"/>
      <c r="BJ147" s="220"/>
      <c r="BK147" s="220"/>
      <c r="BL147" s="220"/>
      <c r="BM147" s="220"/>
      <c r="BN147" s="220"/>
      <c r="BO147" s="220"/>
      <c r="BP147" s="220"/>
      <c r="BQ147" s="220"/>
      <c r="BR147" s="220"/>
      <c r="BS147" s="220"/>
      <c r="BT147" s="220"/>
      <c r="BU147" s="220"/>
      <c r="BV147" s="220"/>
      <c r="BW147" s="220"/>
      <c r="BX147" s="220"/>
      <c r="BY147" s="220"/>
      <c r="BZ147" s="220"/>
      <c r="CA147" s="220"/>
      <c r="CB147" s="220"/>
      <c r="CC147" s="220"/>
      <c r="CD147" s="220"/>
      <c r="CE147" s="220"/>
      <c r="CF147" s="220"/>
      <c r="CG147" s="220"/>
      <c r="CH147" s="220"/>
      <c r="CI147" s="220"/>
      <c r="CJ147" s="220"/>
      <c r="CK147" s="220"/>
      <c r="CL147" s="220"/>
      <c r="CM147" s="220"/>
      <c r="CN147" s="220"/>
      <c r="CO147" s="220"/>
      <c r="CP147" s="220"/>
      <c r="CQ147" s="220"/>
      <c r="CR147" s="220"/>
      <c r="CS147" s="220"/>
      <c r="CT147" s="220"/>
      <c r="CU147" s="220"/>
      <c r="CV147" s="220"/>
      <c r="CW147" s="220"/>
      <c r="CX147" s="220"/>
      <c r="CY147" s="220"/>
      <c r="CZ147" s="220"/>
      <c r="DA147" s="220"/>
      <c r="DB147" s="220"/>
      <c r="DC147" s="220"/>
      <c r="DD147" s="220"/>
      <c r="DE147" s="220"/>
      <c r="DF147" s="220"/>
      <c r="DG147" s="220"/>
      <c r="DH147" s="220"/>
      <c r="DI147" s="220"/>
      <c r="DJ147" s="220"/>
      <c r="DK147" s="220"/>
      <c r="DL147" s="220"/>
      <c r="DM147" s="220"/>
      <c r="DN147" s="220"/>
      <c r="DO147" s="220"/>
      <c r="DP147" s="220"/>
      <c r="DQ147" s="220"/>
    </row>
    <row r="148" spans="14:121" x14ac:dyDescent="0.25">
      <c r="N148" s="220"/>
      <c r="O148" s="220"/>
      <c r="P148" s="220"/>
      <c r="Q148" s="220"/>
      <c r="R148" s="220"/>
      <c r="S148" s="220"/>
      <c r="T148" s="220"/>
      <c r="U148" s="220"/>
      <c r="V148" s="220"/>
      <c r="W148" s="220"/>
      <c r="X148" s="220"/>
      <c r="Y148" s="220"/>
      <c r="Z148" s="220"/>
      <c r="AA148" s="220"/>
      <c r="AB148" s="220"/>
      <c r="AC148" s="220"/>
      <c r="AD148" s="220"/>
      <c r="AE148" s="220"/>
      <c r="AF148" s="220"/>
      <c r="AG148" s="220"/>
      <c r="AH148" s="220"/>
      <c r="AI148" s="220"/>
      <c r="AJ148" s="220"/>
      <c r="AK148" s="220"/>
      <c r="AL148" s="220"/>
      <c r="AM148" s="220"/>
      <c r="AN148" s="220"/>
      <c r="AO148" s="220"/>
      <c r="AP148" s="220"/>
      <c r="AQ148" s="220"/>
      <c r="AR148" s="220"/>
      <c r="AS148" s="220"/>
      <c r="AT148" s="220"/>
      <c r="AU148" s="220"/>
      <c r="AV148" s="220"/>
      <c r="AW148" s="220"/>
      <c r="AX148" s="220"/>
      <c r="AY148" s="220"/>
      <c r="AZ148" s="220"/>
      <c r="BA148" s="220"/>
      <c r="BB148" s="220"/>
      <c r="BC148" s="220"/>
      <c r="BD148" s="220"/>
      <c r="BE148" s="220"/>
      <c r="BF148" s="220"/>
      <c r="BG148" s="220"/>
      <c r="BH148" s="220"/>
      <c r="BI148" s="220"/>
      <c r="BJ148" s="220"/>
      <c r="BK148" s="220"/>
      <c r="BL148" s="220"/>
      <c r="BM148" s="220"/>
      <c r="BN148" s="220"/>
      <c r="BO148" s="220"/>
      <c r="BP148" s="220"/>
      <c r="BQ148" s="220"/>
      <c r="BR148" s="220"/>
      <c r="BS148" s="220"/>
      <c r="BT148" s="220"/>
      <c r="BU148" s="220"/>
      <c r="BV148" s="220"/>
      <c r="BW148" s="220"/>
      <c r="BX148" s="220"/>
      <c r="BY148" s="220"/>
      <c r="BZ148" s="220"/>
      <c r="CA148" s="220"/>
      <c r="CB148" s="220"/>
      <c r="CC148" s="220"/>
      <c r="CD148" s="220"/>
      <c r="CE148" s="220"/>
      <c r="CF148" s="220"/>
      <c r="CG148" s="220"/>
      <c r="CH148" s="220"/>
      <c r="CI148" s="220"/>
      <c r="CJ148" s="220"/>
      <c r="CK148" s="220"/>
      <c r="CL148" s="220"/>
      <c r="CM148" s="220"/>
      <c r="CN148" s="220"/>
      <c r="CO148" s="220"/>
      <c r="CP148" s="220"/>
      <c r="CQ148" s="220"/>
      <c r="CR148" s="220"/>
      <c r="CS148" s="220"/>
      <c r="CT148" s="220"/>
      <c r="CU148" s="220"/>
      <c r="CV148" s="220"/>
      <c r="CW148" s="220"/>
      <c r="CX148" s="220"/>
      <c r="CY148" s="220"/>
      <c r="CZ148" s="220"/>
      <c r="DA148" s="220"/>
      <c r="DB148" s="220"/>
      <c r="DC148" s="220"/>
      <c r="DD148" s="220"/>
      <c r="DE148" s="220"/>
      <c r="DF148" s="220"/>
      <c r="DG148" s="220"/>
      <c r="DH148" s="220"/>
      <c r="DI148" s="220"/>
      <c r="DJ148" s="220"/>
      <c r="DK148" s="220"/>
      <c r="DL148" s="220"/>
      <c r="DM148" s="220"/>
      <c r="DN148" s="220"/>
      <c r="DO148" s="220"/>
      <c r="DP148" s="220"/>
      <c r="DQ148" s="220"/>
    </row>
    <row r="149" spans="14:121" x14ac:dyDescent="0.25">
      <c r="N149" s="220"/>
      <c r="O149" s="220"/>
      <c r="P149" s="220"/>
      <c r="Q149" s="220"/>
      <c r="R149" s="220"/>
      <c r="S149" s="220"/>
      <c r="T149" s="220"/>
      <c r="U149" s="220"/>
      <c r="V149" s="220"/>
      <c r="W149" s="220"/>
      <c r="X149" s="220"/>
      <c r="Y149" s="220"/>
      <c r="Z149" s="220"/>
      <c r="AA149" s="220"/>
      <c r="AB149" s="220"/>
      <c r="AC149" s="220"/>
      <c r="AD149" s="220"/>
      <c r="AE149" s="220"/>
      <c r="AF149" s="220"/>
      <c r="AG149" s="220"/>
      <c r="AH149" s="220"/>
      <c r="AI149" s="220"/>
      <c r="AJ149" s="220"/>
      <c r="AK149" s="220"/>
      <c r="AL149" s="220"/>
      <c r="AM149" s="220"/>
      <c r="AN149" s="220"/>
      <c r="AO149" s="220"/>
      <c r="AP149" s="220"/>
      <c r="AQ149" s="220"/>
      <c r="AR149" s="220"/>
      <c r="AS149" s="220"/>
      <c r="AT149" s="220"/>
      <c r="AU149" s="220"/>
      <c r="AV149" s="220"/>
      <c r="AW149" s="220"/>
      <c r="AX149" s="220"/>
      <c r="AY149" s="220"/>
      <c r="AZ149" s="220"/>
      <c r="BA149" s="220"/>
      <c r="BB149" s="220"/>
      <c r="BC149" s="220"/>
      <c r="BD149" s="220"/>
      <c r="BE149" s="220"/>
      <c r="BF149" s="220"/>
      <c r="BG149" s="220"/>
      <c r="BH149" s="220"/>
      <c r="BI149" s="220"/>
      <c r="BJ149" s="220"/>
      <c r="BK149" s="220"/>
      <c r="BL149" s="220"/>
      <c r="BM149" s="220"/>
      <c r="BN149" s="220"/>
      <c r="BO149" s="220"/>
      <c r="BP149" s="220"/>
      <c r="BQ149" s="220"/>
      <c r="BR149" s="220"/>
      <c r="BS149" s="220"/>
      <c r="BT149" s="220"/>
      <c r="BU149" s="220"/>
      <c r="BV149" s="220"/>
      <c r="BW149" s="220"/>
      <c r="BX149" s="220"/>
      <c r="BY149" s="220"/>
      <c r="BZ149" s="220"/>
      <c r="CA149" s="220"/>
      <c r="CB149" s="220"/>
      <c r="CC149" s="220"/>
      <c r="CD149" s="220"/>
      <c r="CE149" s="220"/>
      <c r="CF149" s="220"/>
      <c r="CG149" s="220"/>
      <c r="CH149" s="220"/>
      <c r="CI149" s="220"/>
      <c r="CJ149" s="220"/>
      <c r="CK149" s="220"/>
      <c r="CL149" s="220"/>
      <c r="CM149" s="220"/>
      <c r="CN149" s="220"/>
      <c r="CO149" s="220"/>
      <c r="CP149" s="220"/>
      <c r="CQ149" s="220"/>
      <c r="CR149" s="220"/>
      <c r="CS149" s="220"/>
      <c r="CT149" s="220"/>
      <c r="CU149" s="220"/>
      <c r="CV149" s="220"/>
      <c r="CW149" s="220"/>
      <c r="CX149" s="220"/>
      <c r="CY149" s="220"/>
      <c r="CZ149" s="220"/>
      <c r="DA149" s="220"/>
      <c r="DB149" s="220"/>
      <c r="DC149" s="220"/>
      <c r="DD149" s="220"/>
      <c r="DE149" s="220"/>
      <c r="DF149" s="220"/>
      <c r="DG149" s="220"/>
      <c r="DH149" s="220"/>
      <c r="DI149" s="220"/>
      <c r="DJ149" s="220"/>
      <c r="DK149" s="220"/>
      <c r="DL149" s="220"/>
      <c r="DM149" s="220"/>
      <c r="DN149" s="220"/>
      <c r="DO149" s="220"/>
      <c r="DP149" s="220"/>
      <c r="DQ149" s="220"/>
    </row>
    <row r="150" spans="14:121" x14ac:dyDescent="0.25">
      <c r="N150" s="220"/>
      <c r="O150" s="220"/>
      <c r="P150" s="220"/>
      <c r="Q150" s="220"/>
      <c r="R150" s="220"/>
      <c r="S150" s="220"/>
      <c r="T150" s="220"/>
      <c r="U150" s="220"/>
      <c r="V150" s="220"/>
      <c r="W150" s="220"/>
      <c r="X150" s="220"/>
      <c r="Y150" s="220"/>
      <c r="Z150" s="220"/>
      <c r="AA150" s="220"/>
      <c r="AB150" s="220"/>
      <c r="AC150" s="220"/>
      <c r="AD150" s="220"/>
      <c r="AE150" s="220"/>
      <c r="AF150" s="220"/>
      <c r="AG150" s="220"/>
      <c r="AH150" s="220"/>
      <c r="AI150" s="220"/>
      <c r="AJ150" s="220"/>
      <c r="AK150" s="220"/>
      <c r="AL150" s="220"/>
      <c r="AM150" s="220"/>
      <c r="AN150" s="220"/>
      <c r="AO150" s="220"/>
      <c r="AP150" s="220"/>
      <c r="AQ150" s="220"/>
      <c r="AR150" s="220"/>
      <c r="AS150" s="220"/>
      <c r="AT150" s="220"/>
      <c r="AU150" s="220"/>
      <c r="AV150" s="220"/>
      <c r="AW150" s="220"/>
      <c r="AX150" s="220"/>
      <c r="AY150" s="220"/>
      <c r="AZ150" s="220"/>
      <c r="BA150" s="220"/>
      <c r="BB150" s="220"/>
      <c r="BC150" s="220"/>
      <c r="BD150" s="220"/>
      <c r="BE150" s="220"/>
      <c r="BF150" s="220"/>
      <c r="BG150" s="220"/>
      <c r="BH150" s="220"/>
      <c r="BI150" s="220"/>
      <c r="BJ150" s="220"/>
      <c r="BK150" s="220"/>
      <c r="BL150" s="220"/>
      <c r="BM150" s="220"/>
      <c r="BN150" s="220"/>
      <c r="BO150" s="220"/>
      <c r="BP150" s="220"/>
      <c r="BQ150" s="220"/>
      <c r="BR150" s="220"/>
      <c r="BS150" s="220"/>
      <c r="BT150" s="220"/>
      <c r="BU150" s="220"/>
      <c r="BV150" s="220"/>
      <c r="BW150" s="220"/>
      <c r="BX150" s="220"/>
      <c r="BY150" s="220"/>
      <c r="BZ150" s="220"/>
      <c r="CA150" s="220"/>
      <c r="CB150" s="220"/>
      <c r="CC150" s="220"/>
      <c r="CD150" s="220"/>
      <c r="CE150" s="220"/>
      <c r="CF150" s="220"/>
      <c r="CG150" s="220"/>
      <c r="CH150" s="220"/>
      <c r="CI150" s="220"/>
      <c r="CJ150" s="220"/>
      <c r="CK150" s="220"/>
      <c r="CL150" s="220"/>
      <c r="CM150" s="220"/>
      <c r="CN150" s="220"/>
      <c r="CO150" s="220"/>
      <c r="CP150" s="220"/>
      <c r="CQ150" s="220"/>
      <c r="CR150" s="220"/>
      <c r="CS150" s="220"/>
      <c r="CT150" s="220"/>
      <c r="CU150" s="220"/>
      <c r="CV150" s="220"/>
      <c r="CW150" s="220"/>
      <c r="CX150" s="220"/>
      <c r="CY150" s="220"/>
      <c r="CZ150" s="220"/>
      <c r="DA150" s="220"/>
      <c r="DB150" s="220"/>
      <c r="DC150" s="220"/>
      <c r="DD150" s="220"/>
      <c r="DE150" s="220"/>
      <c r="DF150" s="220"/>
      <c r="DG150" s="220"/>
      <c r="DH150" s="220"/>
      <c r="DI150" s="220"/>
      <c r="DJ150" s="220"/>
      <c r="DK150" s="220"/>
      <c r="DL150" s="220"/>
      <c r="DM150" s="220"/>
      <c r="DN150" s="220"/>
      <c r="DO150" s="220"/>
      <c r="DP150" s="220"/>
      <c r="DQ150" s="220"/>
    </row>
    <row r="151" spans="14:121" x14ac:dyDescent="0.25">
      <c r="N151" s="220"/>
      <c r="O151" s="220"/>
      <c r="P151" s="220"/>
      <c r="Q151" s="220"/>
      <c r="R151" s="220"/>
      <c r="S151" s="220"/>
      <c r="T151" s="220"/>
      <c r="U151" s="220"/>
      <c r="V151" s="220"/>
      <c r="W151" s="220"/>
      <c r="X151" s="220"/>
      <c r="Y151" s="220"/>
      <c r="Z151" s="220"/>
      <c r="AA151" s="220"/>
      <c r="AB151" s="220"/>
      <c r="AC151" s="220"/>
      <c r="AD151" s="220"/>
      <c r="AE151" s="220"/>
      <c r="AF151" s="220"/>
      <c r="AG151" s="220"/>
      <c r="AH151" s="220"/>
      <c r="AI151" s="220"/>
      <c r="AJ151" s="220"/>
      <c r="AK151" s="220"/>
      <c r="AL151" s="220"/>
      <c r="AM151" s="220"/>
      <c r="AN151" s="220"/>
      <c r="AO151" s="220"/>
      <c r="AP151" s="220"/>
      <c r="AQ151" s="220"/>
      <c r="AR151" s="220"/>
      <c r="AS151" s="220"/>
      <c r="AT151" s="220"/>
      <c r="AU151" s="220"/>
      <c r="AV151" s="220"/>
      <c r="AW151" s="220"/>
      <c r="AX151" s="220"/>
      <c r="AY151" s="220"/>
      <c r="AZ151" s="220"/>
      <c r="BA151" s="220"/>
      <c r="BB151" s="220"/>
      <c r="BC151" s="220"/>
      <c r="BD151" s="220"/>
      <c r="BE151" s="220"/>
      <c r="BF151" s="220"/>
      <c r="BG151" s="220"/>
      <c r="BH151" s="220"/>
      <c r="BI151" s="220"/>
      <c r="BJ151" s="220"/>
      <c r="BK151" s="220"/>
      <c r="BL151" s="220"/>
      <c r="BM151" s="220"/>
      <c r="BN151" s="220"/>
      <c r="BO151" s="220"/>
      <c r="BP151" s="220"/>
      <c r="BQ151" s="220"/>
      <c r="BR151" s="220"/>
      <c r="BS151" s="220"/>
      <c r="BT151" s="220"/>
      <c r="BU151" s="220"/>
      <c r="BV151" s="220"/>
      <c r="BW151" s="220"/>
      <c r="BX151" s="220"/>
      <c r="BY151" s="220"/>
      <c r="BZ151" s="220"/>
      <c r="CA151" s="220"/>
      <c r="CB151" s="220"/>
      <c r="CC151" s="220"/>
      <c r="CD151" s="220"/>
      <c r="CE151" s="220"/>
      <c r="CF151" s="220"/>
      <c r="CG151" s="220"/>
      <c r="CH151" s="220"/>
      <c r="CI151" s="220"/>
      <c r="CJ151" s="220"/>
      <c r="CK151" s="220"/>
      <c r="CL151" s="220"/>
      <c r="CM151" s="220"/>
      <c r="CN151" s="220"/>
      <c r="CO151" s="220"/>
      <c r="CP151" s="220"/>
      <c r="CQ151" s="220"/>
      <c r="CR151" s="220"/>
      <c r="CS151" s="220"/>
      <c r="CT151" s="220"/>
      <c r="CU151" s="220"/>
      <c r="CV151" s="220"/>
      <c r="CW151" s="220"/>
      <c r="CX151" s="220"/>
      <c r="CY151" s="220"/>
      <c r="CZ151" s="220"/>
      <c r="DA151" s="220"/>
      <c r="DB151" s="220"/>
      <c r="DC151" s="220"/>
      <c r="DD151" s="220"/>
      <c r="DE151" s="220"/>
      <c r="DF151" s="220"/>
      <c r="DG151" s="220"/>
      <c r="DH151" s="220"/>
      <c r="DI151" s="220"/>
      <c r="DJ151" s="220"/>
      <c r="DK151" s="220"/>
      <c r="DL151" s="220"/>
      <c r="DM151" s="220"/>
      <c r="DN151" s="220"/>
      <c r="DO151" s="220"/>
      <c r="DP151" s="220"/>
      <c r="DQ151" s="220"/>
    </row>
    <row r="152" spans="14:121" x14ac:dyDescent="0.25">
      <c r="N152" s="220"/>
      <c r="O152" s="220"/>
      <c r="P152" s="220"/>
      <c r="Q152" s="220"/>
      <c r="R152" s="220"/>
      <c r="S152" s="220"/>
      <c r="T152" s="220"/>
      <c r="U152" s="220"/>
      <c r="V152" s="220"/>
      <c r="W152" s="220"/>
      <c r="X152" s="220"/>
      <c r="Y152" s="220"/>
      <c r="Z152" s="220"/>
      <c r="AA152" s="220"/>
      <c r="AB152" s="220"/>
      <c r="AC152" s="220"/>
      <c r="AD152" s="220"/>
      <c r="AE152" s="220"/>
      <c r="AF152" s="220"/>
      <c r="AG152" s="220"/>
      <c r="AH152" s="220"/>
      <c r="AI152" s="220"/>
      <c r="AJ152" s="220"/>
      <c r="AK152" s="220"/>
      <c r="AL152" s="220"/>
      <c r="AM152" s="220"/>
      <c r="AN152" s="220"/>
      <c r="AO152" s="220"/>
      <c r="AP152" s="220"/>
      <c r="AQ152" s="220"/>
      <c r="AR152" s="220"/>
      <c r="AS152" s="220"/>
      <c r="AT152" s="220"/>
      <c r="AU152" s="220"/>
      <c r="AV152" s="220"/>
      <c r="AW152" s="220"/>
      <c r="AX152" s="220"/>
      <c r="AY152" s="220"/>
      <c r="AZ152" s="220"/>
      <c r="BA152" s="220"/>
      <c r="BB152" s="220"/>
      <c r="BC152" s="220"/>
      <c r="BD152" s="220"/>
      <c r="BE152" s="220"/>
      <c r="BF152" s="220"/>
      <c r="BG152" s="220"/>
      <c r="BH152" s="220"/>
      <c r="BI152" s="220"/>
      <c r="BJ152" s="220"/>
      <c r="BK152" s="220"/>
      <c r="BL152" s="220"/>
      <c r="BM152" s="220"/>
      <c r="BN152" s="220"/>
      <c r="BO152" s="220"/>
      <c r="BP152" s="220"/>
      <c r="BQ152" s="220"/>
      <c r="BR152" s="220"/>
      <c r="BS152" s="220"/>
      <c r="BT152" s="220"/>
      <c r="BU152" s="220"/>
      <c r="BV152" s="220"/>
      <c r="BW152" s="220"/>
      <c r="BX152" s="220"/>
      <c r="BY152" s="220"/>
      <c r="BZ152" s="220"/>
      <c r="CA152" s="220"/>
      <c r="CB152" s="220"/>
      <c r="CC152" s="220"/>
      <c r="CD152" s="220"/>
      <c r="CE152" s="220"/>
      <c r="CF152" s="220"/>
      <c r="CG152" s="220"/>
      <c r="CH152" s="220"/>
      <c r="CI152" s="220"/>
      <c r="CJ152" s="220"/>
      <c r="CK152" s="220"/>
      <c r="CL152" s="220"/>
      <c r="CM152" s="220"/>
      <c r="CN152" s="220"/>
      <c r="CO152" s="220"/>
      <c r="CP152" s="220"/>
      <c r="CQ152" s="220"/>
      <c r="CR152" s="220"/>
      <c r="CS152" s="220"/>
      <c r="CT152" s="220"/>
      <c r="CU152" s="220"/>
      <c r="CV152" s="220"/>
      <c r="CW152" s="220"/>
      <c r="CX152" s="220"/>
      <c r="CY152" s="220"/>
      <c r="CZ152" s="220"/>
      <c r="DA152" s="220"/>
      <c r="DB152" s="220"/>
      <c r="DC152" s="220"/>
      <c r="DD152" s="220"/>
      <c r="DE152" s="220"/>
      <c r="DF152" s="220"/>
      <c r="DG152" s="220"/>
      <c r="DH152" s="220"/>
      <c r="DI152" s="220"/>
      <c r="DJ152" s="220"/>
      <c r="DK152" s="220"/>
      <c r="DL152" s="220"/>
      <c r="DM152" s="220"/>
      <c r="DN152" s="220"/>
      <c r="DO152" s="220"/>
      <c r="DP152" s="220"/>
      <c r="DQ152" s="220"/>
    </row>
    <row r="153" spans="14:121" x14ac:dyDescent="0.25">
      <c r="N153" s="220"/>
      <c r="O153" s="220"/>
      <c r="P153" s="220"/>
      <c r="Q153" s="220"/>
      <c r="R153" s="220"/>
      <c r="S153" s="220"/>
      <c r="T153" s="220"/>
      <c r="U153" s="220"/>
      <c r="V153" s="220"/>
      <c r="W153" s="220"/>
      <c r="X153" s="220"/>
      <c r="Y153" s="220"/>
      <c r="Z153" s="220"/>
      <c r="AA153" s="220"/>
      <c r="AB153" s="220"/>
      <c r="AC153" s="220"/>
      <c r="AD153" s="220"/>
      <c r="AE153" s="220"/>
      <c r="AF153" s="220"/>
      <c r="AG153" s="220"/>
      <c r="AH153" s="220"/>
      <c r="AI153" s="220"/>
      <c r="AJ153" s="220"/>
      <c r="AK153" s="220"/>
      <c r="AL153" s="220"/>
      <c r="AM153" s="220"/>
      <c r="AN153" s="220"/>
      <c r="AO153" s="220"/>
      <c r="AP153" s="220"/>
      <c r="AQ153" s="220"/>
      <c r="AR153" s="220"/>
      <c r="AS153" s="220"/>
      <c r="AT153" s="220"/>
      <c r="AU153" s="220"/>
      <c r="AV153" s="220"/>
      <c r="AW153" s="220"/>
      <c r="AX153" s="220"/>
      <c r="AY153" s="220"/>
      <c r="AZ153" s="220"/>
      <c r="BA153" s="220"/>
      <c r="BB153" s="220"/>
      <c r="BC153" s="220"/>
      <c r="BD153" s="220"/>
      <c r="BE153" s="220"/>
      <c r="BF153" s="220"/>
      <c r="BG153" s="220"/>
      <c r="BH153" s="220"/>
      <c r="BI153" s="220"/>
      <c r="BJ153" s="220"/>
      <c r="BK153" s="220"/>
      <c r="BL153" s="220"/>
      <c r="BM153" s="220"/>
      <c r="BN153" s="220"/>
      <c r="BO153" s="220"/>
      <c r="BP153" s="220"/>
      <c r="BQ153" s="220"/>
      <c r="BR153" s="220"/>
      <c r="BS153" s="220"/>
      <c r="BT153" s="220"/>
      <c r="BU153" s="220"/>
      <c r="BV153" s="220"/>
      <c r="BW153" s="220"/>
      <c r="BX153" s="220"/>
      <c r="BY153" s="220"/>
      <c r="BZ153" s="220"/>
      <c r="CA153" s="220"/>
      <c r="CB153" s="220"/>
      <c r="CC153" s="220"/>
      <c r="CD153" s="220"/>
      <c r="CE153" s="220"/>
      <c r="CF153" s="220"/>
      <c r="CG153" s="220"/>
      <c r="CH153" s="220"/>
      <c r="CI153" s="220"/>
      <c r="CJ153" s="220"/>
      <c r="CK153" s="220"/>
      <c r="CL153" s="220"/>
      <c r="CM153" s="220"/>
      <c r="CN153" s="220"/>
      <c r="CO153" s="220"/>
      <c r="CP153" s="220"/>
      <c r="CQ153" s="220"/>
      <c r="CR153" s="220"/>
      <c r="CS153" s="220"/>
      <c r="CT153" s="220"/>
      <c r="CU153" s="220"/>
      <c r="CV153" s="220"/>
      <c r="CW153" s="220"/>
      <c r="CX153" s="220"/>
      <c r="CY153" s="220"/>
      <c r="CZ153" s="220"/>
      <c r="DA153" s="220"/>
      <c r="DB153" s="220"/>
      <c r="DC153" s="220"/>
      <c r="DD153" s="220"/>
      <c r="DE153" s="220"/>
      <c r="DF153" s="220"/>
      <c r="DG153" s="220"/>
      <c r="DH153" s="220"/>
      <c r="DI153" s="220"/>
      <c r="DJ153" s="220"/>
      <c r="DK153" s="220"/>
      <c r="DL153" s="220"/>
      <c r="DM153" s="220"/>
      <c r="DN153" s="220"/>
      <c r="DO153" s="220"/>
      <c r="DP153" s="220"/>
      <c r="DQ153" s="220"/>
    </row>
    <row r="154" spans="14:121" x14ac:dyDescent="0.25">
      <c r="N154" s="220"/>
      <c r="O154" s="220"/>
      <c r="P154" s="220"/>
      <c r="Q154" s="220"/>
      <c r="R154" s="220"/>
      <c r="S154" s="220"/>
      <c r="T154" s="220"/>
      <c r="U154" s="220"/>
      <c r="V154" s="220"/>
      <c r="W154" s="220"/>
      <c r="X154" s="220"/>
      <c r="Y154" s="220"/>
      <c r="Z154" s="220"/>
      <c r="AA154" s="220"/>
      <c r="AB154" s="220"/>
      <c r="AC154" s="220"/>
      <c r="AD154" s="220"/>
      <c r="AE154" s="220"/>
      <c r="AF154" s="220"/>
      <c r="AG154" s="220"/>
      <c r="AH154" s="220"/>
      <c r="AI154" s="220"/>
      <c r="AJ154" s="220"/>
      <c r="AK154" s="220"/>
      <c r="AL154" s="220"/>
      <c r="AM154" s="220"/>
      <c r="AN154" s="220"/>
      <c r="AO154" s="220"/>
      <c r="AP154" s="220"/>
      <c r="AQ154" s="220"/>
      <c r="AR154" s="220"/>
      <c r="AS154" s="220"/>
      <c r="AT154" s="220"/>
      <c r="AU154" s="220"/>
      <c r="AV154" s="220"/>
      <c r="AW154" s="220"/>
      <c r="AX154" s="220"/>
      <c r="AY154" s="220"/>
      <c r="AZ154" s="220"/>
      <c r="BA154" s="220"/>
      <c r="BB154" s="220"/>
      <c r="BC154" s="220"/>
      <c r="BD154" s="220"/>
      <c r="BE154" s="220"/>
      <c r="BF154" s="220"/>
      <c r="BG154" s="220"/>
      <c r="BH154" s="220"/>
      <c r="BI154" s="220"/>
      <c r="BJ154" s="220"/>
      <c r="BK154" s="220"/>
      <c r="BL154" s="220"/>
      <c r="BM154" s="220"/>
      <c r="BN154" s="220"/>
      <c r="BO154" s="220"/>
      <c r="BP154" s="220"/>
      <c r="BQ154" s="220"/>
      <c r="BR154" s="220"/>
      <c r="BS154" s="220"/>
      <c r="BT154" s="220"/>
      <c r="BU154" s="220"/>
      <c r="BV154" s="220"/>
      <c r="BW154" s="220"/>
      <c r="BX154" s="220"/>
      <c r="BY154" s="220"/>
      <c r="BZ154" s="220"/>
      <c r="CA154" s="220"/>
      <c r="CB154" s="220"/>
      <c r="CC154" s="220"/>
      <c r="CD154" s="220"/>
      <c r="CE154" s="220"/>
      <c r="CF154" s="220"/>
      <c r="CG154" s="220"/>
      <c r="CH154" s="220"/>
      <c r="CI154" s="220"/>
      <c r="CJ154" s="220"/>
      <c r="CK154" s="220"/>
      <c r="CL154" s="220"/>
      <c r="CM154" s="220"/>
      <c r="CN154" s="220"/>
      <c r="CO154" s="220"/>
      <c r="CP154" s="220"/>
      <c r="CQ154" s="220"/>
      <c r="CR154" s="220"/>
      <c r="CS154" s="220"/>
      <c r="CT154" s="220"/>
      <c r="CU154" s="220"/>
      <c r="CV154" s="220"/>
      <c r="CW154" s="220"/>
      <c r="CX154" s="220"/>
      <c r="CY154" s="220"/>
      <c r="CZ154" s="220"/>
      <c r="DA154" s="220"/>
      <c r="DB154" s="220"/>
      <c r="DC154" s="220"/>
      <c r="DD154" s="220"/>
      <c r="DE154" s="220"/>
      <c r="DF154" s="220"/>
      <c r="DG154" s="220"/>
      <c r="DH154" s="220"/>
      <c r="DI154" s="220"/>
      <c r="DJ154" s="220"/>
      <c r="DK154" s="220"/>
      <c r="DL154" s="220"/>
      <c r="DM154" s="220"/>
      <c r="DN154" s="220"/>
      <c r="DO154" s="220"/>
      <c r="DP154" s="220"/>
      <c r="DQ154" s="220"/>
    </row>
    <row r="155" spans="14:121" x14ac:dyDescent="0.25">
      <c r="N155" s="220"/>
      <c r="O155" s="220"/>
      <c r="P155" s="220"/>
      <c r="Q155" s="220"/>
      <c r="R155" s="220"/>
      <c r="S155" s="220"/>
      <c r="T155" s="220"/>
      <c r="U155" s="220"/>
      <c r="V155" s="220"/>
      <c r="W155" s="220"/>
      <c r="X155" s="220"/>
      <c r="Y155" s="220"/>
      <c r="Z155" s="220"/>
      <c r="AA155" s="220"/>
      <c r="AB155" s="220"/>
      <c r="AC155" s="220"/>
      <c r="AD155" s="220"/>
      <c r="AE155" s="220"/>
      <c r="AF155" s="220"/>
      <c r="AG155" s="220"/>
      <c r="AH155" s="220"/>
      <c r="AI155" s="220"/>
      <c r="AJ155" s="220"/>
      <c r="AK155" s="220"/>
      <c r="AL155" s="220"/>
      <c r="AM155" s="220"/>
      <c r="AN155" s="220"/>
      <c r="AO155" s="220"/>
      <c r="AP155" s="220"/>
      <c r="AQ155" s="220"/>
      <c r="AR155" s="220"/>
      <c r="AS155" s="220"/>
      <c r="AT155" s="220"/>
      <c r="AU155" s="220"/>
      <c r="AV155" s="220"/>
      <c r="AW155" s="220"/>
      <c r="AX155" s="220"/>
      <c r="AY155" s="220"/>
      <c r="AZ155" s="220"/>
      <c r="BA155" s="220"/>
      <c r="BB155" s="220"/>
      <c r="BC155" s="220"/>
      <c r="BD155" s="220"/>
      <c r="BE155" s="220"/>
      <c r="BF155" s="220"/>
      <c r="BG155" s="220"/>
      <c r="BH155" s="220"/>
      <c r="BI155" s="220"/>
      <c r="BJ155" s="220"/>
      <c r="BK155" s="220"/>
      <c r="BL155" s="220"/>
      <c r="BM155" s="220"/>
      <c r="BN155" s="220"/>
      <c r="BO155" s="220"/>
      <c r="BP155" s="220"/>
      <c r="BQ155" s="220"/>
      <c r="BR155" s="220"/>
      <c r="BS155" s="220"/>
      <c r="BT155" s="220"/>
      <c r="BU155" s="220"/>
      <c r="BV155" s="220"/>
      <c r="BW155" s="220"/>
      <c r="BX155" s="220"/>
      <c r="BY155" s="220"/>
      <c r="BZ155" s="220"/>
      <c r="CA155" s="220"/>
      <c r="CB155" s="220"/>
      <c r="CC155" s="220"/>
      <c r="CD155" s="220"/>
      <c r="CE155" s="220"/>
      <c r="CF155" s="220"/>
      <c r="CG155" s="220"/>
      <c r="CH155" s="220"/>
      <c r="CI155" s="220"/>
      <c r="CJ155" s="220"/>
      <c r="CK155" s="220"/>
      <c r="CL155" s="220"/>
      <c r="CM155" s="220"/>
      <c r="CN155" s="220"/>
      <c r="CO155" s="220"/>
      <c r="CP155" s="220"/>
      <c r="CQ155" s="220"/>
      <c r="CR155" s="220"/>
      <c r="CS155" s="220"/>
      <c r="CT155" s="220"/>
      <c r="CU155" s="220"/>
      <c r="CV155" s="220"/>
      <c r="CW155" s="220"/>
      <c r="CX155" s="220"/>
      <c r="CY155" s="220"/>
      <c r="CZ155" s="220"/>
      <c r="DA155" s="220"/>
      <c r="DB155" s="220"/>
      <c r="DC155" s="220"/>
      <c r="DD155" s="220"/>
      <c r="DE155" s="220"/>
      <c r="DF155" s="220"/>
      <c r="DG155" s="220"/>
      <c r="DH155" s="220"/>
      <c r="DI155" s="220"/>
      <c r="DJ155" s="220"/>
      <c r="DK155" s="220"/>
      <c r="DL155" s="220"/>
      <c r="DM155" s="220"/>
      <c r="DN155" s="220"/>
      <c r="DO155" s="220"/>
      <c r="DP155" s="220"/>
      <c r="DQ155" s="220"/>
    </row>
    <row r="156" spans="14:121" x14ac:dyDescent="0.25">
      <c r="N156" s="220"/>
      <c r="O156" s="220"/>
      <c r="P156" s="220"/>
      <c r="Q156" s="220"/>
      <c r="R156" s="220"/>
      <c r="S156" s="220"/>
      <c r="T156" s="220"/>
      <c r="U156" s="220"/>
      <c r="V156" s="220"/>
      <c r="W156" s="220"/>
      <c r="X156" s="220"/>
      <c r="Y156" s="220"/>
      <c r="Z156" s="220"/>
      <c r="AA156" s="220"/>
      <c r="AB156" s="220"/>
      <c r="AC156" s="220"/>
      <c r="AD156" s="220"/>
      <c r="AE156" s="220"/>
      <c r="AF156" s="220"/>
      <c r="AG156" s="220"/>
      <c r="AH156" s="220"/>
      <c r="AI156" s="220"/>
      <c r="AJ156" s="220"/>
      <c r="AK156" s="220"/>
      <c r="AL156" s="220"/>
      <c r="AM156" s="220"/>
      <c r="AN156" s="220"/>
      <c r="AO156" s="220"/>
      <c r="AP156" s="220"/>
      <c r="AQ156" s="220"/>
      <c r="AR156" s="220"/>
      <c r="AS156" s="220"/>
      <c r="AT156" s="220"/>
      <c r="AU156" s="220"/>
      <c r="AV156" s="220"/>
      <c r="AW156" s="220"/>
      <c r="AX156" s="220"/>
      <c r="AY156" s="220"/>
      <c r="AZ156" s="220"/>
      <c r="BA156" s="220"/>
      <c r="BB156" s="220"/>
      <c r="BC156" s="220"/>
      <c r="BD156" s="220"/>
      <c r="BE156" s="220"/>
      <c r="BF156" s="220"/>
      <c r="BG156" s="220"/>
      <c r="BH156" s="220"/>
      <c r="BI156" s="220"/>
      <c r="BJ156" s="220"/>
      <c r="BK156" s="220"/>
      <c r="BL156" s="220"/>
      <c r="BM156" s="220"/>
      <c r="BN156" s="220"/>
      <c r="BO156" s="220"/>
      <c r="BP156" s="220"/>
      <c r="BQ156" s="220"/>
      <c r="BR156" s="220"/>
      <c r="BS156" s="220"/>
      <c r="BT156" s="220"/>
      <c r="BU156" s="220"/>
      <c r="BV156" s="220"/>
      <c r="BW156" s="220"/>
      <c r="BX156" s="220"/>
      <c r="BY156" s="220"/>
      <c r="BZ156" s="220"/>
      <c r="CA156" s="220"/>
      <c r="CB156" s="220"/>
      <c r="CC156" s="220"/>
      <c r="CD156" s="220"/>
      <c r="CE156" s="220"/>
      <c r="CF156" s="220"/>
      <c r="CG156" s="220"/>
      <c r="CH156" s="220"/>
      <c r="CI156" s="220"/>
      <c r="CJ156" s="220"/>
      <c r="CK156" s="220"/>
      <c r="CL156" s="220"/>
      <c r="CM156" s="220"/>
      <c r="CN156" s="220"/>
      <c r="CO156" s="220"/>
      <c r="CP156" s="220"/>
      <c r="CQ156" s="220"/>
      <c r="CR156" s="220"/>
      <c r="CS156" s="220"/>
      <c r="CT156" s="220"/>
      <c r="CU156" s="220"/>
      <c r="CV156" s="220"/>
      <c r="CW156" s="220"/>
      <c r="CX156" s="220"/>
      <c r="CY156" s="220"/>
      <c r="CZ156" s="220"/>
      <c r="DA156" s="220"/>
      <c r="DB156" s="220"/>
      <c r="DC156" s="220"/>
      <c r="DD156" s="220"/>
      <c r="DE156" s="220"/>
      <c r="DF156" s="220"/>
      <c r="DG156" s="220"/>
      <c r="DH156" s="220"/>
      <c r="DI156" s="220"/>
      <c r="DJ156" s="220"/>
      <c r="DK156" s="220"/>
      <c r="DL156" s="220"/>
      <c r="DM156" s="220"/>
      <c r="DN156" s="220"/>
      <c r="DO156" s="220"/>
      <c r="DP156" s="220"/>
      <c r="DQ156" s="220"/>
    </row>
    <row r="157" spans="14:121" x14ac:dyDescent="0.25">
      <c r="N157" s="220"/>
      <c r="O157" s="220"/>
      <c r="P157" s="220"/>
      <c r="Q157" s="220"/>
      <c r="R157" s="220"/>
      <c r="S157" s="220"/>
      <c r="T157" s="220"/>
      <c r="U157" s="220"/>
      <c r="V157" s="220"/>
      <c r="W157" s="220"/>
      <c r="X157" s="220"/>
      <c r="Y157" s="220"/>
      <c r="Z157" s="220"/>
      <c r="AA157" s="220"/>
      <c r="AB157" s="220"/>
      <c r="AC157" s="220"/>
      <c r="AD157" s="220"/>
      <c r="AE157" s="220"/>
      <c r="AF157" s="220"/>
      <c r="AG157" s="220"/>
      <c r="AH157" s="220"/>
      <c r="AI157" s="220"/>
      <c r="AJ157" s="220"/>
      <c r="AK157" s="220"/>
      <c r="AL157" s="220"/>
      <c r="AM157" s="220"/>
      <c r="AN157" s="220"/>
      <c r="AO157" s="220"/>
      <c r="AP157" s="220"/>
      <c r="AQ157" s="220"/>
      <c r="AR157" s="220"/>
      <c r="AS157" s="220"/>
      <c r="AT157" s="220"/>
      <c r="AU157" s="220"/>
      <c r="AV157" s="220"/>
      <c r="AW157" s="220"/>
      <c r="AX157" s="220"/>
      <c r="AY157" s="220"/>
      <c r="AZ157" s="220"/>
      <c r="BA157" s="220"/>
      <c r="BB157" s="220"/>
      <c r="BC157" s="220"/>
      <c r="BD157" s="220"/>
      <c r="BE157" s="220"/>
      <c r="BF157" s="220"/>
      <c r="BG157" s="220"/>
      <c r="BH157" s="220"/>
      <c r="BI157" s="220"/>
      <c r="BJ157" s="220"/>
      <c r="BK157" s="220"/>
      <c r="BL157" s="220"/>
      <c r="BM157" s="220"/>
      <c r="BN157" s="220"/>
      <c r="BO157" s="220"/>
      <c r="BP157" s="220"/>
      <c r="BQ157" s="220"/>
      <c r="BR157" s="220"/>
      <c r="BS157" s="220"/>
      <c r="BT157" s="220"/>
      <c r="BU157" s="220"/>
      <c r="BV157" s="220"/>
      <c r="BW157" s="220"/>
      <c r="BX157" s="220"/>
      <c r="BY157" s="220"/>
      <c r="BZ157" s="220"/>
      <c r="CA157" s="220"/>
      <c r="CB157" s="220"/>
      <c r="CC157" s="220"/>
      <c r="CD157" s="220"/>
      <c r="CE157" s="220"/>
      <c r="CF157" s="220"/>
      <c r="CG157" s="220"/>
      <c r="CH157" s="220"/>
      <c r="CI157" s="220"/>
      <c r="CJ157" s="220"/>
      <c r="CK157" s="220"/>
      <c r="CL157" s="220"/>
      <c r="CM157" s="220"/>
      <c r="CN157" s="220"/>
      <c r="CO157" s="220"/>
      <c r="CP157" s="220"/>
      <c r="CQ157" s="220"/>
      <c r="CR157" s="220"/>
      <c r="CS157" s="220"/>
      <c r="CT157" s="220"/>
      <c r="CU157" s="220"/>
      <c r="CV157" s="220"/>
      <c r="CW157" s="220"/>
      <c r="CX157" s="220"/>
      <c r="CY157" s="220"/>
      <c r="CZ157" s="220"/>
      <c r="DA157" s="220"/>
      <c r="DB157" s="220"/>
      <c r="DC157" s="220"/>
      <c r="DD157" s="220"/>
      <c r="DE157" s="220"/>
      <c r="DF157" s="220"/>
      <c r="DG157" s="220"/>
      <c r="DH157" s="220"/>
      <c r="DI157" s="220"/>
      <c r="DJ157" s="220"/>
      <c r="DK157" s="220"/>
      <c r="DL157" s="220"/>
      <c r="DM157" s="220"/>
      <c r="DN157" s="220"/>
      <c r="DO157" s="220"/>
      <c r="DP157" s="220"/>
      <c r="DQ157" s="220"/>
    </row>
    <row r="158" spans="14:121" x14ac:dyDescent="0.25">
      <c r="N158" s="220"/>
      <c r="O158" s="220"/>
      <c r="P158" s="220"/>
      <c r="Q158" s="220"/>
      <c r="R158" s="220"/>
      <c r="S158" s="220"/>
      <c r="T158" s="220"/>
      <c r="U158" s="220"/>
      <c r="V158" s="220"/>
      <c r="W158" s="220"/>
      <c r="X158" s="220"/>
      <c r="Y158" s="220"/>
      <c r="Z158" s="220"/>
      <c r="AA158" s="220"/>
      <c r="AB158" s="220"/>
      <c r="AC158" s="220"/>
      <c r="AD158" s="220"/>
      <c r="AE158" s="220"/>
      <c r="AF158" s="220"/>
      <c r="AG158" s="220"/>
      <c r="AH158" s="220"/>
      <c r="AI158" s="220"/>
      <c r="AJ158" s="220"/>
      <c r="AK158" s="220"/>
      <c r="AL158" s="220"/>
      <c r="AM158" s="220"/>
      <c r="AN158" s="220"/>
      <c r="AO158" s="220"/>
      <c r="AP158" s="220"/>
      <c r="AQ158" s="220"/>
      <c r="AR158" s="220"/>
      <c r="AS158" s="220"/>
      <c r="AT158" s="220"/>
      <c r="AU158" s="220"/>
      <c r="AV158" s="220"/>
      <c r="AW158" s="220"/>
      <c r="AX158" s="220"/>
      <c r="AY158" s="220"/>
      <c r="AZ158" s="220"/>
      <c r="BA158" s="220"/>
      <c r="BB158" s="220"/>
      <c r="BC158" s="220"/>
      <c r="BD158" s="220"/>
      <c r="BE158" s="220"/>
      <c r="BF158" s="220"/>
      <c r="BG158" s="220"/>
      <c r="BH158" s="220"/>
      <c r="BI158" s="220"/>
      <c r="BJ158" s="220"/>
      <c r="BK158" s="220"/>
      <c r="BL158" s="220"/>
      <c r="BM158" s="220"/>
      <c r="BN158" s="220"/>
      <c r="BO158" s="220"/>
      <c r="BP158" s="220"/>
      <c r="BQ158" s="220"/>
      <c r="BR158" s="220"/>
      <c r="BS158" s="220"/>
      <c r="BT158" s="220"/>
      <c r="BU158" s="220"/>
      <c r="BV158" s="220"/>
      <c r="BW158" s="220"/>
      <c r="BX158" s="220"/>
      <c r="BY158" s="220"/>
      <c r="BZ158" s="220"/>
      <c r="CA158" s="220"/>
      <c r="CB158" s="220"/>
      <c r="CC158" s="220"/>
      <c r="CD158" s="220"/>
      <c r="CE158" s="220"/>
      <c r="CF158" s="220"/>
      <c r="CG158" s="220"/>
      <c r="CH158" s="220"/>
      <c r="CI158" s="220"/>
      <c r="CJ158" s="220"/>
      <c r="CK158" s="220"/>
      <c r="CL158" s="220"/>
      <c r="CM158" s="220"/>
      <c r="CN158" s="220"/>
      <c r="CO158" s="220"/>
      <c r="CP158" s="220"/>
      <c r="CQ158" s="220"/>
      <c r="CR158" s="220"/>
      <c r="CS158" s="220"/>
      <c r="CT158" s="220"/>
      <c r="CU158" s="220"/>
      <c r="CV158" s="220"/>
      <c r="CW158" s="220"/>
      <c r="CX158" s="220"/>
      <c r="CY158" s="220"/>
      <c r="CZ158" s="220"/>
      <c r="DA158" s="220"/>
      <c r="DB158" s="220"/>
      <c r="DC158" s="220"/>
      <c r="DD158" s="220"/>
      <c r="DE158" s="220"/>
      <c r="DF158" s="220"/>
      <c r="DG158" s="220"/>
      <c r="DH158" s="220"/>
      <c r="DI158" s="220"/>
      <c r="DJ158" s="220"/>
      <c r="DK158" s="220"/>
      <c r="DL158" s="220"/>
      <c r="DM158" s="220"/>
      <c r="DN158" s="220"/>
      <c r="DO158" s="220"/>
      <c r="DP158" s="220"/>
      <c r="DQ158" s="220"/>
    </row>
    <row r="159" spans="14:121" x14ac:dyDescent="0.25">
      <c r="N159" s="220"/>
      <c r="O159" s="220"/>
      <c r="P159" s="220"/>
      <c r="Q159" s="220"/>
      <c r="R159" s="220"/>
      <c r="S159" s="220"/>
      <c r="T159" s="220"/>
      <c r="U159" s="220"/>
      <c r="V159" s="220"/>
      <c r="W159" s="220"/>
      <c r="X159" s="220"/>
      <c r="Y159" s="220"/>
      <c r="Z159" s="220"/>
      <c r="AA159" s="220"/>
      <c r="AB159" s="220"/>
      <c r="AC159" s="220"/>
      <c r="AD159" s="220"/>
      <c r="AE159" s="220"/>
      <c r="AF159" s="220"/>
      <c r="AG159" s="220"/>
      <c r="AH159" s="220"/>
      <c r="AI159" s="220"/>
      <c r="AJ159" s="220"/>
      <c r="AK159" s="220"/>
      <c r="AL159" s="220"/>
      <c r="AM159" s="220"/>
      <c r="AN159" s="220"/>
      <c r="AO159" s="220"/>
      <c r="AP159" s="220"/>
      <c r="AQ159" s="220"/>
      <c r="AR159" s="220"/>
      <c r="AS159" s="220"/>
      <c r="AT159" s="220"/>
      <c r="AU159" s="220"/>
      <c r="AV159" s="220"/>
      <c r="AW159" s="220"/>
      <c r="AX159" s="220"/>
      <c r="AY159" s="220"/>
      <c r="AZ159" s="220"/>
      <c r="BA159" s="220"/>
      <c r="BB159" s="220"/>
      <c r="BC159" s="220"/>
      <c r="BD159" s="220"/>
      <c r="BE159" s="220"/>
      <c r="BF159" s="220"/>
      <c r="BG159" s="220"/>
      <c r="BH159" s="220"/>
      <c r="BI159" s="220"/>
      <c r="BJ159" s="220"/>
      <c r="BK159" s="220"/>
      <c r="BL159" s="220"/>
      <c r="BM159" s="220"/>
      <c r="BN159" s="220"/>
      <c r="BO159" s="220"/>
      <c r="BP159" s="220"/>
      <c r="BQ159" s="220"/>
      <c r="BR159" s="220"/>
      <c r="BS159" s="220"/>
      <c r="BT159" s="220"/>
      <c r="BU159" s="220"/>
      <c r="BV159" s="220"/>
      <c r="BW159" s="220"/>
      <c r="BX159" s="220"/>
      <c r="BY159" s="220"/>
      <c r="BZ159" s="220"/>
      <c r="CA159" s="220"/>
      <c r="CB159" s="220"/>
      <c r="CC159" s="220"/>
      <c r="CD159" s="220"/>
      <c r="CE159" s="220"/>
      <c r="CF159" s="220"/>
      <c r="CG159" s="220"/>
      <c r="CH159" s="220"/>
      <c r="CI159" s="220"/>
      <c r="CJ159" s="220"/>
      <c r="CK159" s="220"/>
      <c r="CL159" s="220"/>
      <c r="CM159" s="220"/>
      <c r="CN159" s="220"/>
      <c r="CO159" s="220"/>
      <c r="CP159" s="220"/>
      <c r="CQ159" s="220"/>
      <c r="CR159" s="220"/>
      <c r="CS159" s="220"/>
      <c r="CT159" s="220"/>
      <c r="CU159" s="220"/>
      <c r="CV159" s="220"/>
      <c r="CW159" s="220"/>
      <c r="CX159" s="220"/>
      <c r="CY159" s="220"/>
      <c r="CZ159" s="220"/>
      <c r="DA159" s="220"/>
      <c r="DB159" s="220"/>
      <c r="DC159" s="220"/>
      <c r="DD159" s="220"/>
      <c r="DE159" s="220"/>
      <c r="DF159" s="220"/>
      <c r="DG159" s="220"/>
      <c r="DH159" s="220"/>
      <c r="DI159" s="220"/>
      <c r="DJ159" s="220"/>
      <c r="DK159" s="220"/>
      <c r="DL159" s="220"/>
      <c r="DM159" s="220"/>
      <c r="DN159" s="220"/>
      <c r="DO159" s="220"/>
      <c r="DP159" s="220"/>
      <c r="DQ159" s="220"/>
    </row>
    <row r="160" spans="14:121" x14ac:dyDescent="0.25">
      <c r="N160" s="220"/>
      <c r="O160" s="220"/>
      <c r="P160" s="220"/>
      <c r="Q160" s="220"/>
      <c r="R160" s="220"/>
      <c r="S160" s="220"/>
      <c r="T160" s="220"/>
      <c r="U160" s="220"/>
      <c r="V160" s="220"/>
      <c r="W160" s="220"/>
      <c r="X160" s="220"/>
      <c r="Y160" s="220"/>
      <c r="Z160" s="220"/>
      <c r="AA160" s="220"/>
      <c r="AB160" s="220"/>
      <c r="AC160" s="220"/>
      <c r="AD160" s="220"/>
      <c r="AE160" s="220"/>
      <c r="AF160" s="220"/>
      <c r="AG160" s="220"/>
      <c r="AH160" s="220"/>
      <c r="AI160" s="220"/>
      <c r="AJ160" s="220"/>
      <c r="AK160" s="220"/>
      <c r="AL160" s="220"/>
      <c r="AM160" s="220"/>
      <c r="AN160" s="220"/>
      <c r="AO160" s="220"/>
      <c r="AP160" s="220"/>
      <c r="AQ160" s="220"/>
      <c r="AR160" s="220"/>
      <c r="AS160" s="220"/>
      <c r="AT160" s="220"/>
      <c r="AU160" s="220"/>
      <c r="AV160" s="220"/>
      <c r="AW160" s="220"/>
      <c r="AX160" s="220"/>
      <c r="AY160" s="220"/>
      <c r="AZ160" s="220"/>
      <c r="BA160" s="220"/>
      <c r="BB160" s="220"/>
      <c r="BC160" s="220"/>
      <c r="BD160" s="220"/>
      <c r="BE160" s="220"/>
      <c r="BF160" s="220"/>
      <c r="BG160" s="220"/>
      <c r="BH160" s="220"/>
      <c r="BI160" s="220"/>
      <c r="BJ160" s="220"/>
      <c r="BK160" s="220"/>
      <c r="BL160" s="220"/>
      <c r="BM160" s="220"/>
      <c r="BN160" s="220"/>
      <c r="BO160" s="220"/>
      <c r="BP160" s="220"/>
      <c r="BQ160" s="220"/>
      <c r="BR160" s="220"/>
      <c r="BS160" s="220"/>
      <c r="BT160" s="220"/>
      <c r="BU160" s="220"/>
      <c r="BV160" s="220"/>
      <c r="BW160" s="220"/>
      <c r="BX160" s="220"/>
      <c r="BY160" s="220"/>
      <c r="BZ160" s="220"/>
      <c r="CA160" s="220"/>
      <c r="CB160" s="220"/>
      <c r="CC160" s="220"/>
      <c r="CD160" s="220"/>
      <c r="CE160" s="220"/>
      <c r="CF160" s="220"/>
      <c r="CG160" s="220"/>
      <c r="CH160" s="220"/>
      <c r="CI160" s="220"/>
      <c r="CJ160" s="220"/>
      <c r="CK160" s="220"/>
      <c r="CL160" s="220"/>
      <c r="CM160" s="220"/>
      <c r="CN160" s="220"/>
      <c r="CO160" s="220"/>
      <c r="CP160" s="220"/>
      <c r="CQ160" s="220"/>
      <c r="CR160" s="220"/>
      <c r="CS160" s="220"/>
      <c r="CT160" s="220"/>
      <c r="CU160" s="220"/>
      <c r="CV160" s="220"/>
      <c r="CW160" s="220"/>
      <c r="CX160" s="220"/>
      <c r="CY160" s="220"/>
      <c r="CZ160" s="220"/>
      <c r="DA160" s="220"/>
      <c r="DB160" s="220"/>
      <c r="DC160" s="220"/>
      <c r="DD160" s="220"/>
      <c r="DE160" s="220"/>
      <c r="DF160" s="220"/>
      <c r="DG160" s="220"/>
      <c r="DH160" s="220"/>
      <c r="DI160" s="220"/>
      <c r="DJ160" s="220"/>
      <c r="DK160" s="220"/>
      <c r="DL160" s="220"/>
      <c r="DM160" s="220"/>
      <c r="DN160" s="220"/>
      <c r="DO160" s="220"/>
      <c r="DP160" s="220"/>
      <c r="DQ160" s="220"/>
    </row>
    <row r="161" spans="14:121" x14ac:dyDescent="0.25">
      <c r="N161" s="220"/>
      <c r="O161" s="220"/>
      <c r="P161" s="220"/>
      <c r="Q161" s="220"/>
      <c r="R161" s="220"/>
      <c r="S161" s="220"/>
      <c r="T161" s="220"/>
      <c r="U161" s="220"/>
      <c r="V161" s="220"/>
      <c r="W161" s="220"/>
      <c r="X161" s="220"/>
      <c r="Y161" s="220"/>
      <c r="Z161" s="220"/>
      <c r="AA161" s="220"/>
      <c r="AB161" s="220"/>
      <c r="AC161" s="220"/>
      <c r="AD161" s="220"/>
      <c r="AE161" s="220"/>
      <c r="AF161" s="220"/>
      <c r="AG161" s="220"/>
      <c r="AH161" s="220"/>
      <c r="AI161" s="220"/>
      <c r="AJ161" s="220"/>
      <c r="AK161" s="220"/>
      <c r="AL161" s="220"/>
      <c r="AM161" s="220"/>
      <c r="AN161" s="220"/>
      <c r="AO161" s="220"/>
      <c r="AP161" s="220"/>
      <c r="AQ161" s="220"/>
      <c r="AR161" s="220"/>
      <c r="AS161" s="220"/>
      <c r="AT161" s="220"/>
      <c r="AU161" s="220"/>
      <c r="AV161" s="220"/>
      <c r="AW161" s="220"/>
      <c r="AX161" s="220"/>
      <c r="AY161" s="220"/>
      <c r="AZ161" s="220"/>
      <c r="BA161" s="220"/>
      <c r="BB161" s="220"/>
      <c r="BC161" s="220"/>
      <c r="BD161" s="220"/>
      <c r="BE161" s="220"/>
      <c r="BF161" s="220"/>
      <c r="BG161" s="220"/>
      <c r="BH161" s="220"/>
      <c r="BI161" s="220"/>
      <c r="BJ161" s="220"/>
      <c r="BK161" s="220"/>
      <c r="BL161" s="220"/>
      <c r="BM161" s="220"/>
      <c r="BN161" s="220"/>
      <c r="BO161" s="220"/>
      <c r="BP161" s="220"/>
      <c r="BQ161" s="220"/>
      <c r="BR161" s="220"/>
      <c r="BS161" s="220"/>
      <c r="BT161" s="220"/>
      <c r="BU161" s="220"/>
      <c r="BV161" s="220"/>
      <c r="BW161" s="220"/>
      <c r="BX161" s="220"/>
      <c r="BY161" s="220"/>
      <c r="BZ161" s="220"/>
      <c r="CA161" s="220"/>
      <c r="CB161" s="220"/>
      <c r="CC161" s="220"/>
      <c r="CD161" s="220"/>
      <c r="CE161" s="220"/>
      <c r="CF161" s="220"/>
      <c r="CG161" s="220"/>
      <c r="CH161" s="220"/>
      <c r="CI161" s="220"/>
      <c r="CJ161" s="220"/>
      <c r="CK161" s="220"/>
      <c r="CL161" s="220"/>
      <c r="CM161" s="220"/>
      <c r="CN161" s="220"/>
      <c r="CO161" s="220"/>
      <c r="CP161" s="220"/>
      <c r="CQ161" s="220"/>
      <c r="CR161" s="220"/>
      <c r="CS161" s="220"/>
      <c r="CT161" s="220"/>
      <c r="CU161" s="220"/>
      <c r="CV161" s="220"/>
      <c r="CW161" s="220"/>
      <c r="CX161" s="220"/>
      <c r="CY161" s="220"/>
      <c r="CZ161" s="220"/>
      <c r="DA161" s="220"/>
      <c r="DB161" s="220"/>
      <c r="DC161" s="220"/>
      <c r="DD161" s="220"/>
      <c r="DE161" s="220"/>
      <c r="DF161" s="220"/>
      <c r="DG161" s="220"/>
      <c r="DH161" s="220"/>
      <c r="DI161" s="220"/>
      <c r="DJ161" s="220"/>
      <c r="DK161" s="220"/>
      <c r="DL161" s="220"/>
      <c r="DM161" s="220"/>
      <c r="DN161" s="220"/>
      <c r="DO161" s="220"/>
      <c r="DP161" s="220"/>
      <c r="DQ161" s="220"/>
    </row>
    <row r="162" spans="14:121" x14ac:dyDescent="0.25">
      <c r="N162" s="220"/>
      <c r="O162" s="220"/>
      <c r="P162" s="220"/>
      <c r="Q162" s="220"/>
      <c r="R162" s="220"/>
      <c r="S162" s="220"/>
      <c r="T162" s="220"/>
      <c r="U162" s="220"/>
      <c r="V162" s="220"/>
      <c r="W162" s="220"/>
      <c r="X162" s="220"/>
      <c r="Y162" s="220"/>
      <c r="Z162" s="220"/>
      <c r="AA162" s="220"/>
      <c r="AB162" s="220"/>
      <c r="AC162" s="220"/>
      <c r="AD162" s="220"/>
      <c r="AE162" s="220"/>
      <c r="AF162" s="220"/>
      <c r="AG162" s="220"/>
      <c r="AH162" s="220"/>
      <c r="AI162" s="220"/>
      <c r="AJ162" s="220"/>
      <c r="AK162" s="220"/>
      <c r="AL162" s="220"/>
      <c r="AM162" s="220"/>
      <c r="AN162" s="220"/>
      <c r="AO162" s="220"/>
      <c r="AP162" s="220"/>
      <c r="AQ162" s="220"/>
      <c r="AR162" s="220"/>
      <c r="AS162" s="220"/>
      <c r="AT162" s="220"/>
      <c r="AU162" s="220"/>
      <c r="AV162" s="220"/>
      <c r="AW162" s="220"/>
      <c r="AX162" s="220"/>
      <c r="AY162" s="220"/>
      <c r="AZ162" s="220"/>
      <c r="BA162" s="220"/>
      <c r="BB162" s="220"/>
      <c r="BC162" s="220"/>
      <c r="BD162" s="220"/>
      <c r="BE162" s="220"/>
      <c r="BF162" s="220"/>
      <c r="BG162" s="220"/>
      <c r="BH162" s="220"/>
      <c r="BI162" s="220"/>
      <c r="BJ162" s="220"/>
      <c r="BK162" s="220"/>
      <c r="BL162" s="220"/>
      <c r="BM162" s="220"/>
      <c r="BN162" s="220"/>
      <c r="BO162" s="220"/>
      <c r="BP162" s="220"/>
      <c r="BQ162" s="220"/>
      <c r="BR162" s="220"/>
      <c r="BS162" s="220"/>
      <c r="BT162" s="220"/>
      <c r="BU162" s="220"/>
      <c r="BV162" s="220"/>
      <c r="BW162" s="220"/>
      <c r="BX162" s="220"/>
      <c r="BY162" s="220"/>
      <c r="BZ162" s="220"/>
      <c r="CA162" s="220"/>
      <c r="CB162" s="220"/>
      <c r="CC162" s="220"/>
      <c r="CD162" s="220"/>
      <c r="CE162" s="220"/>
      <c r="CF162" s="220"/>
      <c r="CG162" s="220"/>
      <c r="CH162" s="220"/>
      <c r="CI162" s="220"/>
      <c r="CJ162" s="220"/>
      <c r="CK162" s="220"/>
      <c r="CL162" s="220"/>
      <c r="CM162" s="220"/>
      <c r="CN162" s="220"/>
      <c r="CO162" s="220"/>
      <c r="CP162" s="220"/>
      <c r="CQ162" s="220"/>
      <c r="CR162" s="220"/>
      <c r="CS162" s="220"/>
      <c r="CT162" s="220"/>
      <c r="CU162" s="220"/>
      <c r="CV162" s="220"/>
      <c r="CW162" s="220"/>
      <c r="CX162" s="220"/>
      <c r="CY162" s="220"/>
      <c r="CZ162" s="220"/>
      <c r="DA162" s="220"/>
      <c r="DB162" s="220"/>
      <c r="DC162" s="220"/>
      <c r="DD162" s="220"/>
      <c r="DE162" s="220"/>
      <c r="DF162" s="220"/>
      <c r="DG162" s="220"/>
      <c r="DH162" s="220"/>
      <c r="DI162" s="220"/>
      <c r="DJ162" s="220"/>
      <c r="DK162" s="220"/>
      <c r="DL162" s="220"/>
      <c r="DM162" s="220"/>
      <c r="DN162" s="220"/>
      <c r="DO162" s="220"/>
      <c r="DP162" s="220"/>
      <c r="DQ162" s="220"/>
    </row>
    <row r="163" spans="14:121" x14ac:dyDescent="0.25">
      <c r="N163" s="220"/>
      <c r="O163" s="220"/>
      <c r="P163" s="220"/>
      <c r="Q163" s="220"/>
      <c r="R163" s="220"/>
      <c r="S163" s="220"/>
      <c r="T163" s="220"/>
      <c r="U163" s="220"/>
      <c r="V163" s="220"/>
      <c r="W163" s="220"/>
      <c r="X163" s="220"/>
      <c r="Y163" s="220"/>
      <c r="Z163" s="220"/>
      <c r="AA163" s="220"/>
      <c r="AB163" s="220"/>
      <c r="AC163" s="220"/>
      <c r="AD163" s="220"/>
      <c r="AE163" s="220"/>
      <c r="AF163" s="220"/>
      <c r="AG163" s="220"/>
      <c r="AH163" s="220"/>
      <c r="AI163" s="220"/>
      <c r="AJ163" s="220"/>
      <c r="AK163" s="220"/>
      <c r="AL163" s="220"/>
      <c r="AM163" s="220"/>
      <c r="AN163" s="220"/>
      <c r="AO163" s="220"/>
      <c r="AP163" s="220"/>
      <c r="AQ163" s="220"/>
      <c r="AR163" s="220"/>
      <c r="AS163" s="220"/>
      <c r="AT163" s="220"/>
      <c r="AU163" s="220"/>
      <c r="AV163" s="220"/>
      <c r="AW163" s="220"/>
      <c r="AX163" s="220"/>
      <c r="AY163" s="220"/>
      <c r="AZ163" s="220"/>
      <c r="BA163" s="220"/>
      <c r="BB163" s="220"/>
      <c r="BC163" s="220"/>
      <c r="BD163" s="220"/>
      <c r="BE163" s="220"/>
      <c r="BF163" s="220"/>
      <c r="BG163" s="220"/>
      <c r="BH163" s="220"/>
      <c r="BI163" s="220"/>
      <c r="BJ163" s="220"/>
      <c r="BK163" s="220"/>
      <c r="BL163" s="220"/>
      <c r="BM163" s="220"/>
      <c r="BN163" s="220"/>
      <c r="BO163" s="220"/>
      <c r="BP163" s="220"/>
      <c r="BQ163" s="220"/>
      <c r="BR163" s="220"/>
      <c r="BS163" s="220"/>
      <c r="BT163" s="220"/>
      <c r="BU163" s="220"/>
      <c r="BV163" s="220"/>
      <c r="BW163" s="220"/>
      <c r="BX163" s="220"/>
      <c r="BY163" s="220"/>
      <c r="BZ163" s="220"/>
      <c r="CA163" s="220"/>
      <c r="CB163" s="220"/>
      <c r="CC163" s="220"/>
      <c r="CD163" s="220"/>
      <c r="CE163" s="220"/>
      <c r="CF163" s="220"/>
      <c r="CG163" s="220"/>
      <c r="CH163" s="220"/>
      <c r="CI163" s="220"/>
      <c r="CJ163" s="220"/>
      <c r="CK163" s="220"/>
      <c r="CL163" s="220"/>
      <c r="CM163" s="220"/>
      <c r="CN163" s="220"/>
      <c r="CO163" s="220"/>
      <c r="CP163" s="220"/>
      <c r="CQ163" s="220"/>
      <c r="CR163" s="220"/>
      <c r="CS163" s="220"/>
      <c r="CT163" s="220"/>
      <c r="CU163" s="220"/>
      <c r="CV163" s="220"/>
      <c r="CW163" s="220"/>
      <c r="CX163" s="220"/>
      <c r="CY163" s="220"/>
      <c r="CZ163" s="220"/>
      <c r="DA163" s="220"/>
      <c r="DB163" s="220"/>
      <c r="DC163" s="220"/>
      <c r="DD163" s="220"/>
      <c r="DE163" s="220"/>
      <c r="DF163" s="220"/>
      <c r="DG163" s="220"/>
      <c r="DH163" s="220"/>
      <c r="DI163" s="220"/>
      <c r="DJ163" s="220"/>
      <c r="DK163" s="220"/>
      <c r="DL163" s="220"/>
      <c r="DM163" s="220"/>
      <c r="DN163" s="220"/>
      <c r="DO163" s="220"/>
      <c r="DP163" s="220"/>
      <c r="DQ163" s="220"/>
    </row>
    <row r="164" spans="14:121" x14ac:dyDescent="0.25">
      <c r="N164" s="220"/>
      <c r="O164" s="220"/>
      <c r="P164" s="220"/>
      <c r="Q164" s="220"/>
      <c r="R164" s="220"/>
      <c r="S164" s="220"/>
      <c r="T164" s="220"/>
      <c r="U164" s="220"/>
      <c r="V164" s="220"/>
      <c r="W164" s="220"/>
      <c r="X164" s="220"/>
      <c r="Y164" s="220"/>
      <c r="Z164" s="220"/>
      <c r="AA164" s="220"/>
      <c r="AB164" s="220"/>
      <c r="AC164" s="220"/>
      <c r="AD164" s="220"/>
      <c r="AE164" s="220"/>
      <c r="AF164" s="220"/>
      <c r="AG164" s="220"/>
      <c r="AH164" s="220"/>
      <c r="AI164" s="220"/>
      <c r="AJ164" s="220"/>
      <c r="AK164" s="220"/>
      <c r="AL164" s="220"/>
      <c r="AM164" s="220"/>
      <c r="AN164" s="220"/>
      <c r="AO164" s="220"/>
      <c r="AP164" s="220"/>
      <c r="AQ164" s="220"/>
      <c r="AR164" s="220"/>
      <c r="AS164" s="220"/>
      <c r="AT164" s="220"/>
      <c r="AU164" s="220"/>
      <c r="AV164" s="220"/>
      <c r="AW164" s="220"/>
      <c r="AX164" s="220"/>
      <c r="AY164" s="220"/>
      <c r="AZ164" s="220"/>
      <c r="BA164" s="220"/>
      <c r="BB164" s="220"/>
      <c r="BC164" s="220"/>
      <c r="BD164" s="220"/>
      <c r="BE164" s="220"/>
      <c r="BF164" s="220"/>
      <c r="BG164" s="220"/>
      <c r="BH164" s="220"/>
      <c r="BI164" s="220"/>
      <c r="BJ164" s="220"/>
      <c r="BK164" s="220"/>
      <c r="BL164" s="220"/>
      <c r="BM164" s="220"/>
      <c r="BN164" s="220"/>
      <c r="BO164" s="220"/>
      <c r="BP164" s="220"/>
      <c r="BQ164" s="220"/>
      <c r="BR164" s="220"/>
      <c r="BS164" s="220"/>
      <c r="BT164" s="220"/>
      <c r="BU164" s="220"/>
      <c r="BV164" s="220"/>
      <c r="BW164" s="220"/>
      <c r="BX164" s="220"/>
      <c r="BY164" s="220"/>
      <c r="BZ164" s="220"/>
      <c r="CA164" s="220"/>
      <c r="CB164" s="220"/>
      <c r="CC164" s="220"/>
      <c r="CD164" s="220"/>
      <c r="CE164" s="220"/>
      <c r="CF164" s="220"/>
      <c r="CG164" s="220"/>
      <c r="CH164" s="220"/>
      <c r="CI164" s="220"/>
      <c r="CJ164" s="220"/>
      <c r="CK164" s="220"/>
      <c r="CL164" s="220"/>
      <c r="CM164" s="220"/>
      <c r="CN164" s="220"/>
      <c r="CO164" s="220"/>
      <c r="CP164" s="220"/>
      <c r="CQ164" s="220"/>
      <c r="CR164" s="220"/>
      <c r="CS164" s="220"/>
      <c r="CT164" s="220"/>
      <c r="CU164" s="220"/>
      <c r="CV164" s="220"/>
      <c r="CW164" s="220"/>
      <c r="CX164" s="220"/>
      <c r="CY164" s="220"/>
      <c r="CZ164" s="220"/>
      <c r="DA164" s="220"/>
      <c r="DB164" s="220"/>
      <c r="DC164" s="220"/>
      <c r="DD164" s="220"/>
      <c r="DE164" s="220"/>
      <c r="DF164" s="220"/>
      <c r="DG164" s="220"/>
      <c r="DH164" s="220"/>
      <c r="DI164" s="220"/>
      <c r="DJ164" s="220"/>
      <c r="DK164" s="220"/>
      <c r="DL164" s="220"/>
      <c r="DM164" s="220"/>
      <c r="DN164" s="220"/>
      <c r="DO164" s="220"/>
      <c r="DP164" s="220"/>
      <c r="DQ164" s="220"/>
    </row>
    <row r="165" spans="14:121" x14ac:dyDescent="0.25">
      <c r="N165" s="220"/>
      <c r="O165" s="220"/>
      <c r="P165" s="220"/>
      <c r="Q165" s="220"/>
      <c r="R165" s="220"/>
      <c r="S165" s="220"/>
      <c r="T165" s="220"/>
      <c r="U165" s="220"/>
      <c r="V165" s="220"/>
      <c r="W165" s="220"/>
      <c r="X165" s="220"/>
      <c r="Y165" s="220"/>
      <c r="Z165" s="220"/>
      <c r="AA165" s="220"/>
      <c r="AB165" s="220"/>
      <c r="AC165" s="220"/>
      <c r="AD165" s="220"/>
      <c r="AE165" s="220"/>
      <c r="AF165" s="220"/>
      <c r="AG165" s="220"/>
      <c r="AH165" s="220"/>
      <c r="AI165" s="220"/>
      <c r="AJ165" s="220"/>
      <c r="AK165" s="220"/>
      <c r="AL165" s="220"/>
      <c r="AM165" s="220"/>
      <c r="AN165" s="220"/>
      <c r="AO165" s="220"/>
      <c r="AP165" s="220"/>
      <c r="AQ165" s="220"/>
      <c r="AR165" s="220"/>
      <c r="AS165" s="220"/>
      <c r="AT165" s="220"/>
      <c r="AU165" s="220"/>
      <c r="AV165" s="220"/>
      <c r="AW165" s="220"/>
      <c r="AX165" s="220"/>
      <c r="AY165" s="220"/>
      <c r="AZ165" s="220"/>
      <c r="BA165" s="220"/>
      <c r="BB165" s="220"/>
      <c r="BC165" s="220"/>
      <c r="BD165" s="220"/>
      <c r="BE165" s="220"/>
      <c r="BF165" s="220"/>
      <c r="BG165" s="220"/>
      <c r="BH165" s="220"/>
      <c r="BI165" s="220"/>
      <c r="BJ165" s="220"/>
      <c r="BK165" s="220"/>
      <c r="BL165" s="220"/>
      <c r="BM165" s="220"/>
      <c r="BN165" s="220"/>
      <c r="BO165" s="220"/>
      <c r="BP165" s="220"/>
      <c r="BQ165" s="220"/>
      <c r="BR165" s="220"/>
      <c r="BS165" s="220"/>
      <c r="BT165" s="220"/>
      <c r="BU165" s="220"/>
      <c r="BV165" s="220"/>
      <c r="BW165" s="220"/>
      <c r="BX165" s="220"/>
      <c r="BY165" s="220"/>
      <c r="BZ165" s="220"/>
      <c r="CA165" s="220"/>
      <c r="CB165" s="220"/>
      <c r="CC165" s="220"/>
      <c r="CD165" s="220"/>
      <c r="CE165" s="220"/>
      <c r="CF165" s="220"/>
      <c r="CG165" s="220"/>
      <c r="CH165" s="220"/>
      <c r="CI165" s="220"/>
      <c r="CJ165" s="220"/>
      <c r="CK165" s="220"/>
      <c r="CL165" s="220"/>
      <c r="CM165" s="220"/>
      <c r="CN165" s="220"/>
      <c r="CO165" s="220"/>
      <c r="CP165" s="220"/>
      <c r="CQ165" s="220"/>
      <c r="CR165" s="220"/>
      <c r="CS165" s="220"/>
      <c r="CT165" s="220"/>
      <c r="CU165" s="220"/>
      <c r="CV165" s="220"/>
      <c r="CW165" s="220"/>
      <c r="CX165" s="220"/>
      <c r="CY165" s="220"/>
      <c r="CZ165" s="220"/>
      <c r="DA165" s="220"/>
      <c r="DB165" s="220"/>
      <c r="DC165" s="220"/>
      <c r="DD165" s="220"/>
      <c r="DE165" s="220"/>
      <c r="DF165" s="220"/>
      <c r="DG165" s="220"/>
      <c r="DH165" s="220"/>
      <c r="DI165" s="220"/>
      <c r="DJ165" s="220"/>
      <c r="DK165" s="220"/>
      <c r="DL165" s="220"/>
      <c r="DM165" s="220"/>
      <c r="DN165" s="220"/>
      <c r="DO165" s="220"/>
      <c r="DP165" s="220"/>
      <c r="DQ165" s="220"/>
    </row>
    <row r="166" spans="14:121" x14ac:dyDescent="0.25">
      <c r="N166" s="220"/>
      <c r="O166" s="220"/>
      <c r="P166" s="220"/>
      <c r="Q166" s="220"/>
      <c r="R166" s="220"/>
      <c r="S166" s="220"/>
      <c r="T166" s="220"/>
      <c r="U166" s="220"/>
      <c r="V166" s="220"/>
      <c r="W166" s="220"/>
      <c r="X166" s="220"/>
      <c r="Y166" s="220"/>
      <c r="Z166" s="220"/>
      <c r="AA166" s="220"/>
      <c r="AB166" s="220"/>
      <c r="AC166" s="220"/>
      <c r="AD166" s="220"/>
      <c r="AE166" s="220"/>
      <c r="AF166" s="220"/>
      <c r="AG166" s="220"/>
      <c r="AH166" s="220"/>
      <c r="AI166" s="220"/>
      <c r="AJ166" s="220"/>
      <c r="AK166" s="220"/>
      <c r="AL166" s="220"/>
      <c r="AM166" s="220"/>
      <c r="AN166" s="220"/>
      <c r="AO166" s="220"/>
      <c r="AP166" s="220"/>
      <c r="AQ166" s="220"/>
      <c r="AR166" s="220"/>
      <c r="AS166" s="220"/>
      <c r="AT166" s="220"/>
      <c r="AU166" s="220"/>
      <c r="AV166" s="220"/>
      <c r="AW166" s="220"/>
      <c r="AX166" s="220"/>
      <c r="AY166" s="220"/>
      <c r="AZ166" s="220"/>
      <c r="BA166" s="220"/>
      <c r="BB166" s="220"/>
      <c r="BC166" s="220"/>
      <c r="BD166" s="220"/>
      <c r="BE166" s="220"/>
      <c r="BF166" s="220"/>
      <c r="BG166" s="220"/>
      <c r="BH166" s="220"/>
      <c r="BI166" s="220"/>
      <c r="BJ166" s="220"/>
      <c r="BK166" s="220"/>
      <c r="BL166" s="220"/>
      <c r="BM166" s="220"/>
      <c r="BN166" s="220"/>
      <c r="BO166" s="220"/>
      <c r="BP166" s="220"/>
      <c r="BQ166" s="220"/>
      <c r="BR166" s="220"/>
      <c r="BS166" s="220"/>
      <c r="BT166" s="220"/>
      <c r="BU166" s="220"/>
      <c r="BV166" s="220"/>
      <c r="BW166" s="220"/>
      <c r="BX166" s="220"/>
      <c r="BY166" s="220"/>
      <c r="BZ166" s="220"/>
      <c r="CA166" s="220"/>
      <c r="CB166" s="220"/>
      <c r="CC166" s="220"/>
      <c r="CD166" s="220"/>
      <c r="CE166" s="220"/>
      <c r="CF166" s="220"/>
      <c r="CG166" s="220"/>
      <c r="CH166" s="220"/>
      <c r="CI166" s="220"/>
      <c r="CJ166" s="220"/>
      <c r="CK166" s="220"/>
      <c r="CL166" s="220"/>
      <c r="CM166" s="220"/>
      <c r="CN166" s="220"/>
      <c r="CO166" s="220"/>
      <c r="CP166" s="220"/>
      <c r="CQ166" s="220"/>
      <c r="CR166" s="220"/>
      <c r="CS166" s="220"/>
      <c r="CT166" s="220"/>
      <c r="CU166" s="220"/>
      <c r="CV166" s="220"/>
      <c r="CW166" s="220"/>
      <c r="CX166" s="220"/>
      <c r="CY166" s="220"/>
      <c r="CZ166" s="220"/>
      <c r="DA166" s="220"/>
      <c r="DB166" s="220"/>
      <c r="DC166" s="220"/>
      <c r="DD166" s="220"/>
      <c r="DE166" s="220"/>
      <c r="DF166" s="220"/>
      <c r="DG166" s="220"/>
      <c r="DH166" s="220"/>
      <c r="DI166" s="220"/>
      <c r="DJ166" s="220"/>
      <c r="DK166" s="220"/>
      <c r="DL166" s="220"/>
      <c r="DM166" s="220"/>
      <c r="DN166" s="220"/>
      <c r="DO166" s="220"/>
      <c r="DP166" s="220"/>
      <c r="DQ166" s="220"/>
    </row>
    <row r="167" spans="14:121" x14ac:dyDescent="0.25">
      <c r="N167" s="220"/>
      <c r="O167" s="220"/>
      <c r="P167" s="220"/>
      <c r="Q167" s="220"/>
      <c r="R167" s="220"/>
      <c r="S167" s="220"/>
      <c r="T167" s="220"/>
      <c r="U167" s="220"/>
      <c r="V167" s="220"/>
      <c r="W167" s="220"/>
      <c r="X167" s="220"/>
      <c r="Y167" s="220"/>
      <c r="Z167" s="220"/>
      <c r="AA167" s="220"/>
      <c r="AB167" s="220"/>
      <c r="AC167" s="220"/>
      <c r="AD167" s="220"/>
      <c r="AE167" s="220"/>
      <c r="AF167" s="220"/>
      <c r="AG167" s="220"/>
      <c r="AH167" s="220"/>
      <c r="AI167" s="220"/>
      <c r="AJ167" s="220"/>
      <c r="AK167" s="220"/>
      <c r="AL167" s="220"/>
      <c r="AM167" s="220"/>
      <c r="AN167" s="220"/>
      <c r="AO167" s="220"/>
      <c r="AP167" s="220"/>
      <c r="AQ167" s="220"/>
      <c r="AR167" s="220"/>
      <c r="AS167" s="220"/>
      <c r="AT167" s="220"/>
      <c r="AU167" s="220"/>
      <c r="AV167" s="220"/>
      <c r="AW167" s="220"/>
      <c r="AX167" s="220"/>
      <c r="AY167" s="220"/>
      <c r="AZ167" s="220"/>
      <c r="BA167" s="220"/>
      <c r="BB167" s="220"/>
      <c r="BC167" s="220"/>
      <c r="BD167" s="220"/>
      <c r="BE167" s="220"/>
      <c r="BF167" s="220"/>
      <c r="BG167" s="220"/>
      <c r="BH167" s="220"/>
      <c r="BI167" s="220"/>
      <c r="BJ167" s="220"/>
      <c r="BK167" s="220"/>
      <c r="BL167" s="220"/>
      <c r="BM167" s="220"/>
      <c r="BN167" s="220"/>
      <c r="BO167" s="220"/>
      <c r="BP167" s="220"/>
      <c r="BQ167" s="220"/>
      <c r="BR167" s="220"/>
      <c r="BS167" s="220"/>
      <c r="BT167" s="220"/>
      <c r="BU167" s="220"/>
      <c r="BV167" s="220"/>
      <c r="BW167" s="220"/>
      <c r="BX167" s="220"/>
      <c r="BY167" s="220"/>
      <c r="BZ167" s="220"/>
      <c r="CA167" s="220"/>
      <c r="CB167" s="220"/>
      <c r="CC167" s="220"/>
      <c r="CD167" s="220"/>
      <c r="CE167" s="220"/>
      <c r="CF167" s="220"/>
      <c r="CG167" s="220"/>
      <c r="CH167" s="220"/>
      <c r="CI167" s="220"/>
      <c r="CJ167" s="220"/>
      <c r="CK167" s="220"/>
      <c r="CL167" s="220"/>
      <c r="CM167" s="220"/>
      <c r="CN167" s="220"/>
      <c r="CO167" s="220"/>
      <c r="CP167" s="220"/>
      <c r="CQ167" s="220"/>
      <c r="CR167" s="220"/>
      <c r="CS167" s="220"/>
      <c r="CT167" s="220"/>
      <c r="CU167" s="220"/>
      <c r="CV167" s="220"/>
      <c r="CW167" s="220"/>
      <c r="CX167" s="220"/>
      <c r="CY167" s="220"/>
      <c r="CZ167" s="220"/>
      <c r="DA167" s="220"/>
      <c r="DB167" s="220"/>
      <c r="DC167" s="220"/>
      <c r="DD167" s="220"/>
      <c r="DE167" s="220"/>
      <c r="DF167" s="220"/>
      <c r="DG167" s="220"/>
      <c r="DH167" s="220"/>
      <c r="DI167" s="220"/>
      <c r="DJ167" s="220"/>
      <c r="DK167" s="220"/>
      <c r="DL167" s="220"/>
      <c r="DM167" s="220"/>
      <c r="DN167" s="220"/>
      <c r="DO167" s="220"/>
      <c r="DP167" s="220"/>
      <c r="DQ167" s="220"/>
    </row>
    <row r="168" spans="14:121" x14ac:dyDescent="0.25">
      <c r="N168" s="220"/>
      <c r="O168" s="220"/>
      <c r="P168" s="220"/>
      <c r="Q168" s="220"/>
      <c r="R168" s="220"/>
      <c r="S168" s="220"/>
      <c r="T168" s="220"/>
      <c r="U168" s="220"/>
      <c r="V168" s="220"/>
      <c r="W168" s="220"/>
      <c r="X168" s="220"/>
      <c r="Y168" s="220"/>
      <c r="Z168" s="220"/>
      <c r="AA168" s="220"/>
      <c r="AB168" s="220"/>
      <c r="AC168" s="220"/>
      <c r="AD168" s="220"/>
      <c r="AE168" s="220"/>
      <c r="AF168" s="220"/>
      <c r="AG168" s="220"/>
      <c r="AH168" s="220"/>
      <c r="AI168" s="220"/>
      <c r="AJ168" s="220"/>
      <c r="AK168" s="220"/>
      <c r="AL168" s="220"/>
      <c r="AM168" s="220"/>
      <c r="AN168" s="220"/>
      <c r="AO168" s="220"/>
      <c r="AP168" s="220"/>
      <c r="AQ168" s="220"/>
      <c r="AR168" s="220"/>
      <c r="AS168" s="220"/>
      <c r="AT168" s="220"/>
      <c r="AU168" s="220"/>
      <c r="AV168" s="220"/>
      <c r="AW168" s="220"/>
      <c r="AX168" s="220"/>
      <c r="AY168" s="220"/>
      <c r="AZ168" s="220"/>
      <c r="BA168" s="220"/>
      <c r="BB168" s="220"/>
      <c r="BC168" s="220"/>
      <c r="BD168" s="220"/>
      <c r="BE168" s="220"/>
      <c r="BF168" s="220"/>
      <c r="BG168" s="220"/>
      <c r="BH168" s="220"/>
      <c r="BI168" s="220"/>
      <c r="BJ168" s="220"/>
      <c r="BK168" s="220"/>
      <c r="BL168" s="220"/>
      <c r="BM168" s="220"/>
      <c r="BN168" s="220"/>
      <c r="BO168" s="220"/>
      <c r="BP168" s="220"/>
      <c r="BQ168" s="220"/>
      <c r="BR168" s="220"/>
      <c r="BS168" s="220"/>
      <c r="BT168" s="220"/>
      <c r="BU168" s="220"/>
      <c r="BV168" s="220"/>
      <c r="BW168" s="220"/>
      <c r="BX168" s="220"/>
      <c r="BY168" s="220"/>
      <c r="BZ168" s="220"/>
      <c r="CA168" s="220"/>
      <c r="CB168" s="220"/>
      <c r="CC168" s="220"/>
      <c r="CD168" s="220"/>
      <c r="CE168" s="220"/>
      <c r="CF168" s="220"/>
      <c r="CG168" s="220"/>
      <c r="CH168" s="220"/>
      <c r="CI168" s="220"/>
      <c r="CJ168" s="220"/>
      <c r="CK168" s="220"/>
      <c r="CL168" s="220"/>
      <c r="CM168" s="220"/>
      <c r="CN168" s="220"/>
      <c r="CO168" s="220"/>
      <c r="CP168" s="220"/>
      <c r="CQ168" s="220"/>
      <c r="CR168" s="220"/>
      <c r="CS168" s="220"/>
      <c r="CT168" s="220"/>
      <c r="CU168" s="220"/>
      <c r="CV168" s="220"/>
      <c r="CW168" s="220"/>
      <c r="CX168" s="220"/>
      <c r="CY168" s="220"/>
      <c r="CZ168" s="220"/>
      <c r="DA168" s="220"/>
      <c r="DB168" s="220"/>
      <c r="DC168" s="220"/>
      <c r="DD168" s="220"/>
      <c r="DE168" s="220"/>
      <c r="DF168" s="220"/>
      <c r="DG168" s="220"/>
      <c r="DH168" s="220"/>
      <c r="DI168" s="220"/>
      <c r="DJ168" s="220"/>
      <c r="DK168" s="220"/>
      <c r="DL168" s="220"/>
      <c r="DM168" s="220"/>
      <c r="DN168" s="220"/>
      <c r="DO168" s="220"/>
      <c r="DP168" s="220"/>
      <c r="DQ168" s="220"/>
    </row>
    <row r="169" spans="14:121" x14ac:dyDescent="0.25">
      <c r="N169" s="220"/>
      <c r="O169" s="220"/>
      <c r="P169" s="220"/>
      <c r="Q169" s="220"/>
      <c r="R169" s="220"/>
      <c r="S169" s="220"/>
      <c r="T169" s="220"/>
      <c r="U169" s="220"/>
      <c r="V169" s="220"/>
      <c r="W169" s="220"/>
      <c r="X169" s="220"/>
      <c r="Y169" s="220"/>
      <c r="Z169" s="220"/>
      <c r="AA169" s="220"/>
      <c r="AB169" s="220"/>
      <c r="AC169" s="220"/>
      <c r="AD169" s="220"/>
      <c r="AE169" s="220"/>
      <c r="AF169" s="220"/>
      <c r="AG169" s="220"/>
      <c r="AH169" s="220"/>
      <c r="AI169" s="220"/>
      <c r="AJ169" s="220"/>
      <c r="AK169" s="220"/>
      <c r="AL169" s="220"/>
      <c r="AM169" s="220"/>
      <c r="AN169" s="220"/>
      <c r="AO169" s="220"/>
      <c r="AP169" s="220"/>
      <c r="AQ169" s="220"/>
      <c r="AR169" s="220"/>
      <c r="AS169" s="220"/>
      <c r="AT169" s="220"/>
      <c r="AU169" s="220"/>
      <c r="AV169" s="220"/>
      <c r="AW169" s="220"/>
      <c r="AX169" s="220"/>
      <c r="AY169" s="220"/>
      <c r="AZ169" s="220"/>
      <c r="BA169" s="220"/>
      <c r="BB169" s="220"/>
      <c r="BC169" s="220"/>
      <c r="BD169" s="220"/>
      <c r="BE169" s="220"/>
      <c r="BF169" s="220"/>
      <c r="BG169" s="220"/>
      <c r="BH169" s="220"/>
      <c r="BI169" s="220"/>
      <c r="BJ169" s="220"/>
      <c r="BK169" s="220"/>
      <c r="BL169" s="220"/>
      <c r="BM169" s="220"/>
      <c r="BN169" s="220"/>
      <c r="BO169" s="220"/>
      <c r="BP169" s="220"/>
      <c r="BQ169" s="220"/>
      <c r="BR169" s="220"/>
      <c r="BS169" s="220"/>
      <c r="BT169" s="220"/>
      <c r="BU169" s="220"/>
      <c r="BV169" s="220"/>
      <c r="BW169" s="220"/>
      <c r="BX169" s="220"/>
      <c r="BY169" s="220"/>
      <c r="BZ169" s="220"/>
      <c r="CA169" s="220"/>
      <c r="CB169" s="220"/>
      <c r="CC169" s="220"/>
      <c r="CD169" s="220"/>
      <c r="CE169" s="220"/>
      <c r="CF169" s="220"/>
      <c r="CG169" s="220"/>
      <c r="CH169" s="220"/>
      <c r="CI169" s="220"/>
      <c r="CJ169" s="220"/>
      <c r="CK169" s="220"/>
      <c r="CL169" s="220"/>
      <c r="CM169" s="220"/>
      <c r="CN169" s="220"/>
      <c r="CO169" s="220"/>
      <c r="CP169" s="220"/>
      <c r="CQ169" s="220"/>
      <c r="CR169" s="220"/>
      <c r="CS169" s="220"/>
      <c r="CT169" s="220"/>
      <c r="CU169" s="220"/>
      <c r="CV169" s="220"/>
      <c r="CW169" s="220"/>
      <c r="CX169" s="220"/>
      <c r="CY169" s="220"/>
      <c r="CZ169" s="220"/>
      <c r="DA169" s="220"/>
      <c r="DB169" s="220"/>
      <c r="DC169" s="220"/>
      <c r="DD169" s="220"/>
      <c r="DE169" s="220"/>
      <c r="DF169" s="220"/>
      <c r="DG169" s="220"/>
      <c r="DH169" s="220"/>
      <c r="DI169" s="220"/>
      <c r="DJ169" s="220"/>
      <c r="DK169" s="220"/>
      <c r="DL169" s="220"/>
      <c r="DM169" s="220"/>
      <c r="DN169" s="220"/>
      <c r="DO169" s="220"/>
      <c r="DP169" s="220"/>
      <c r="DQ169" s="220"/>
    </row>
    <row r="170" spans="14:121" x14ac:dyDescent="0.25">
      <c r="N170" s="220"/>
      <c r="O170" s="220"/>
      <c r="P170" s="220"/>
      <c r="Q170" s="220"/>
      <c r="R170" s="220"/>
      <c r="S170" s="220"/>
      <c r="T170" s="220"/>
      <c r="U170" s="220"/>
      <c r="V170" s="220"/>
      <c r="W170" s="220"/>
      <c r="X170" s="220"/>
      <c r="Y170" s="220"/>
      <c r="Z170" s="220"/>
      <c r="AA170" s="220"/>
      <c r="AB170" s="220"/>
      <c r="AC170" s="220"/>
      <c r="AD170" s="220"/>
      <c r="AE170" s="220"/>
      <c r="AF170" s="220"/>
      <c r="AG170" s="220"/>
      <c r="AH170" s="220"/>
      <c r="AI170" s="220"/>
      <c r="AJ170" s="220"/>
      <c r="AK170" s="220"/>
      <c r="AL170" s="220"/>
      <c r="AM170" s="220"/>
      <c r="AN170" s="220"/>
      <c r="AO170" s="220"/>
      <c r="AP170" s="220"/>
      <c r="AQ170" s="220"/>
      <c r="AR170" s="220"/>
      <c r="AS170" s="220"/>
      <c r="AT170" s="220"/>
      <c r="AU170" s="220"/>
      <c r="AV170" s="220"/>
      <c r="AW170" s="220"/>
      <c r="AX170" s="220"/>
      <c r="AY170" s="220"/>
      <c r="AZ170" s="220"/>
      <c r="BA170" s="220"/>
      <c r="BB170" s="220"/>
      <c r="BC170" s="220"/>
      <c r="BD170" s="220"/>
      <c r="BE170" s="220"/>
      <c r="BF170" s="220"/>
      <c r="BG170" s="220"/>
      <c r="BH170" s="220"/>
      <c r="BI170" s="220"/>
      <c r="BJ170" s="220"/>
      <c r="BK170" s="220"/>
      <c r="BL170" s="220"/>
      <c r="BM170" s="220"/>
      <c r="BN170" s="220"/>
      <c r="BO170" s="220"/>
      <c r="BP170" s="220"/>
      <c r="BQ170" s="220"/>
      <c r="BR170" s="220"/>
      <c r="BS170" s="220"/>
      <c r="BT170" s="220"/>
      <c r="BU170" s="220"/>
      <c r="BV170" s="220"/>
      <c r="BW170" s="220"/>
      <c r="BX170" s="220"/>
      <c r="BY170" s="220"/>
      <c r="BZ170" s="220"/>
      <c r="CA170" s="220"/>
      <c r="CB170" s="220"/>
      <c r="CC170" s="220"/>
      <c r="CD170" s="220"/>
      <c r="CE170" s="220"/>
      <c r="CF170" s="220"/>
      <c r="CG170" s="220"/>
      <c r="CH170" s="220"/>
      <c r="CI170" s="220"/>
      <c r="CJ170" s="220"/>
      <c r="CK170" s="220"/>
      <c r="CL170" s="220"/>
      <c r="CM170" s="220"/>
      <c r="CN170" s="220"/>
      <c r="CO170" s="220"/>
      <c r="CP170" s="220"/>
      <c r="CQ170" s="220"/>
      <c r="CR170" s="220"/>
      <c r="CS170" s="220"/>
      <c r="CT170" s="220"/>
      <c r="CU170" s="220"/>
      <c r="CV170" s="220"/>
      <c r="CW170" s="220"/>
      <c r="CX170" s="220"/>
      <c r="CY170" s="220"/>
      <c r="CZ170" s="220"/>
      <c r="DA170" s="220"/>
      <c r="DB170" s="220"/>
      <c r="DC170" s="220"/>
      <c r="DD170" s="220"/>
      <c r="DE170" s="220"/>
      <c r="DF170" s="220"/>
      <c r="DG170" s="220"/>
      <c r="DH170" s="220"/>
      <c r="DI170" s="220"/>
      <c r="DJ170" s="220"/>
      <c r="DK170" s="220"/>
      <c r="DL170" s="220"/>
      <c r="DM170" s="220"/>
      <c r="DN170" s="220"/>
      <c r="DO170" s="220"/>
      <c r="DP170" s="220"/>
      <c r="DQ170" s="220"/>
    </row>
    <row r="171" spans="14:121" x14ac:dyDescent="0.25">
      <c r="N171" s="220"/>
      <c r="O171" s="220"/>
      <c r="P171" s="220"/>
      <c r="Q171" s="220"/>
      <c r="R171" s="220"/>
      <c r="S171" s="220"/>
      <c r="T171" s="220"/>
      <c r="U171" s="220"/>
      <c r="V171" s="220"/>
      <c r="W171" s="220"/>
      <c r="X171" s="220"/>
      <c r="Y171" s="220"/>
      <c r="Z171" s="220"/>
      <c r="AA171" s="220"/>
      <c r="AB171" s="220"/>
      <c r="AC171" s="220"/>
      <c r="AD171" s="220"/>
      <c r="AE171" s="220"/>
      <c r="AF171" s="220"/>
      <c r="AG171" s="220"/>
      <c r="AH171" s="220"/>
      <c r="AI171" s="220"/>
      <c r="AJ171" s="220"/>
      <c r="AK171" s="220"/>
      <c r="AL171" s="220"/>
      <c r="AM171" s="220"/>
      <c r="AN171" s="220"/>
      <c r="AO171" s="220"/>
      <c r="AP171" s="220"/>
      <c r="AQ171" s="220"/>
      <c r="AR171" s="220"/>
      <c r="AS171" s="220"/>
      <c r="AT171" s="220"/>
      <c r="AU171" s="220"/>
      <c r="AV171" s="220"/>
      <c r="AW171" s="220"/>
      <c r="AX171" s="220"/>
      <c r="AY171" s="220"/>
      <c r="AZ171" s="220"/>
      <c r="BA171" s="220"/>
      <c r="BB171" s="220"/>
      <c r="BC171" s="220"/>
      <c r="BD171" s="220"/>
      <c r="BE171" s="220"/>
      <c r="BF171" s="220"/>
      <c r="BG171" s="220"/>
      <c r="BH171" s="220"/>
      <c r="BI171" s="220"/>
      <c r="BJ171" s="220"/>
      <c r="BK171" s="220"/>
      <c r="BL171" s="220"/>
      <c r="BM171" s="220"/>
      <c r="BN171" s="220"/>
      <c r="BO171" s="220"/>
      <c r="BP171" s="220"/>
      <c r="BQ171" s="220"/>
      <c r="BR171" s="220"/>
      <c r="BS171" s="220"/>
      <c r="BT171" s="220"/>
      <c r="BU171" s="220"/>
      <c r="BV171" s="220"/>
      <c r="BW171" s="220"/>
      <c r="BX171" s="220"/>
      <c r="BY171" s="220"/>
      <c r="BZ171" s="220"/>
      <c r="CA171" s="220"/>
      <c r="CB171" s="220"/>
      <c r="CC171" s="220"/>
      <c r="CD171" s="220"/>
      <c r="CE171" s="220"/>
      <c r="CF171" s="220"/>
      <c r="CG171" s="220"/>
      <c r="CH171" s="220"/>
      <c r="CI171" s="220"/>
      <c r="CJ171" s="220"/>
      <c r="CK171" s="220"/>
      <c r="CL171" s="220"/>
      <c r="CM171" s="220"/>
      <c r="CN171" s="220"/>
      <c r="CO171" s="220"/>
      <c r="CP171" s="220"/>
      <c r="CQ171" s="220"/>
      <c r="CR171" s="220"/>
      <c r="CS171" s="220"/>
      <c r="CT171" s="220"/>
      <c r="CU171" s="220"/>
      <c r="CV171" s="220"/>
      <c r="CW171" s="220"/>
      <c r="CX171" s="220"/>
      <c r="CY171" s="220"/>
      <c r="CZ171" s="220"/>
      <c r="DA171" s="220"/>
      <c r="DB171" s="220"/>
      <c r="DC171" s="220"/>
      <c r="DD171" s="220"/>
      <c r="DE171" s="220"/>
      <c r="DF171" s="220"/>
      <c r="DG171" s="220"/>
      <c r="DH171" s="220"/>
      <c r="DI171" s="220"/>
      <c r="DJ171" s="220"/>
      <c r="DK171" s="220"/>
      <c r="DL171" s="220"/>
      <c r="DM171" s="220"/>
      <c r="DN171" s="220"/>
      <c r="DO171" s="220"/>
      <c r="DP171" s="220"/>
      <c r="DQ171" s="220"/>
    </row>
    <row r="172" spans="14:121" x14ac:dyDescent="0.25">
      <c r="N172" s="220"/>
      <c r="O172" s="220"/>
      <c r="P172" s="220"/>
      <c r="Q172" s="220"/>
      <c r="R172" s="220"/>
      <c r="S172" s="220"/>
      <c r="T172" s="220"/>
      <c r="U172" s="220"/>
      <c r="V172" s="220"/>
      <c r="W172" s="220"/>
      <c r="X172" s="220"/>
      <c r="Y172" s="220"/>
      <c r="Z172" s="220"/>
      <c r="AA172" s="220"/>
      <c r="AB172" s="220"/>
      <c r="AC172" s="220"/>
      <c r="AD172" s="220"/>
      <c r="AE172" s="220"/>
      <c r="AF172" s="220"/>
      <c r="AG172" s="220"/>
      <c r="AH172" s="220"/>
      <c r="AI172" s="220"/>
      <c r="AJ172" s="220"/>
      <c r="AK172" s="220"/>
      <c r="AL172" s="220"/>
      <c r="AM172" s="220"/>
      <c r="AN172" s="220"/>
      <c r="AO172" s="220"/>
      <c r="AP172" s="220"/>
      <c r="AQ172" s="220"/>
      <c r="AR172" s="220"/>
      <c r="AS172" s="220"/>
      <c r="AT172" s="220"/>
      <c r="AU172" s="220"/>
      <c r="AV172" s="220"/>
      <c r="AW172" s="220"/>
      <c r="AX172" s="220"/>
      <c r="AY172" s="220"/>
      <c r="AZ172" s="220"/>
      <c r="BA172" s="220"/>
      <c r="BB172" s="220"/>
      <c r="BC172" s="220"/>
      <c r="BD172" s="220"/>
      <c r="BE172" s="220"/>
      <c r="BF172" s="220"/>
      <c r="BG172" s="220"/>
      <c r="BH172" s="220"/>
      <c r="BI172" s="220"/>
      <c r="BJ172" s="220"/>
      <c r="BK172" s="220"/>
      <c r="BL172" s="220"/>
      <c r="BM172" s="220"/>
      <c r="BN172" s="220"/>
      <c r="BO172" s="220"/>
      <c r="BP172" s="220"/>
      <c r="BQ172" s="220"/>
      <c r="BR172" s="220"/>
      <c r="BS172" s="220"/>
      <c r="BT172" s="220"/>
      <c r="BU172" s="220"/>
      <c r="BV172" s="220"/>
      <c r="BW172" s="220"/>
      <c r="BX172" s="220"/>
      <c r="BY172" s="220"/>
      <c r="BZ172" s="220"/>
      <c r="CA172" s="220"/>
      <c r="CB172" s="220"/>
      <c r="CC172" s="220"/>
      <c r="CD172" s="220"/>
      <c r="CE172" s="220"/>
      <c r="CF172" s="220"/>
      <c r="CG172" s="220"/>
      <c r="CH172" s="220"/>
      <c r="CI172" s="220"/>
      <c r="CJ172" s="220"/>
      <c r="CK172" s="220"/>
      <c r="CL172" s="220"/>
      <c r="CM172" s="220"/>
      <c r="CN172" s="220"/>
      <c r="CO172" s="220"/>
      <c r="CP172" s="220"/>
      <c r="CQ172" s="220"/>
      <c r="CR172" s="220"/>
      <c r="CS172" s="220"/>
      <c r="CT172" s="220"/>
      <c r="CU172" s="220"/>
      <c r="CV172" s="220"/>
      <c r="CW172" s="220"/>
      <c r="CX172" s="220"/>
      <c r="CY172" s="220"/>
      <c r="CZ172" s="220"/>
      <c r="DA172" s="220"/>
      <c r="DB172" s="220"/>
      <c r="DC172" s="220"/>
      <c r="DD172" s="220"/>
      <c r="DE172" s="220"/>
      <c r="DF172" s="220"/>
      <c r="DG172" s="220"/>
      <c r="DH172" s="220"/>
      <c r="DI172" s="220"/>
      <c r="DJ172" s="220"/>
      <c r="DK172" s="220"/>
      <c r="DL172" s="220"/>
      <c r="DM172" s="220"/>
      <c r="DN172" s="220"/>
      <c r="DO172" s="220"/>
      <c r="DP172" s="220"/>
      <c r="DQ172" s="220"/>
    </row>
    <row r="173" spans="14:121" x14ac:dyDescent="0.25">
      <c r="N173" s="220"/>
      <c r="O173" s="220"/>
      <c r="P173" s="220"/>
      <c r="Q173" s="220"/>
      <c r="R173" s="220"/>
      <c r="S173" s="220"/>
      <c r="T173" s="220"/>
      <c r="U173" s="220"/>
      <c r="V173" s="220"/>
      <c r="W173" s="220"/>
      <c r="X173" s="220"/>
      <c r="Y173" s="220"/>
      <c r="Z173" s="220"/>
      <c r="AA173" s="220"/>
      <c r="AB173" s="220"/>
      <c r="AC173" s="220"/>
      <c r="AD173" s="220"/>
      <c r="AE173" s="220"/>
      <c r="AF173" s="220"/>
      <c r="AG173" s="220"/>
      <c r="AH173" s="220"/>
      <c r="AI173" s="220"/>
      <c r="AJ173" s="220"/>
      <c r="AK173" s="220"/>
      <c r="AL173" s="220"/>
      <c r="AM173" s="220"/>
      <c r="AN173" s="220"/>
      <c r="AO173" s="220"/>
      <c r="AP173" s="220"/>
      <c r="AQ173" s="220"/>
      <c r="AR173" s="220"/>
      <c r="AS173" s="220"/>
      <c r="AT173" s="220"/>
      <c r="AU173" s="220"/>
      <c r="AV173" s="220"/>
      <c r="AW173" s="220"/>
      <c r="AX173" s="220"/>
      <c r="AY173" s="220"/>
      <c r="AZ173" s="220"/>
      <c r="BA173" s="220"/>
      <c r="BB173" s="220"/>
      <c r="BC173" s="220"/>
      <c r="BD173" s="220"/>
      <c r="BE173" s="220"/>
      <c r="BF173" s="220"/>
      <c r="BG173" s="220"/>
      <c r="BH173" s="220"/>
      <c r="BI173" s="220"/>
      <c r="BJ173" s="220"/>
      <c r="BK173" s="220"/>
      <c r="BL173" s="220"/>
      <c r="BM173" s="220"/>
      <c r="BN173" s="220"/>
      <c r="BO173" s="220"/>
      <c r="BP173" s="220"/>
      <c r="BQ173" s="220"/>
      <c r="BR173" s="220"/>
      <c r="BS173" s="220"/>
      <c r="BT173" s="220"/>
      <c r="BU173" s="220"/>
      <c r="BV173" s="220"/>
      <c r="BW173" s="220"/>
      <c r="BX173" s="220"/>
      <c r="BY173" s="220"/>
      <c r="BZ173" s="220"/>
      <c r="CA173" s="220"/>
      <c r="CB173" s="220"/>
      <c r="CC173" s="220"/>
      <c r="CD173" s="220"/>
      <c r="CE173" s="220"/>
      <c r="CF173" s="220"/>
      <c r="CG173" s="220"/>
      <c r="CH173" s="220"/>
      <c r="CI173" s="220"/>
      <c r="CJ173" s="220"/>
      <c r="CK173" s="220"/>
      <c r="CL173" s="220"/>
      <c r="CM173" s="220"/>
      <c r="CN173" s="220"/>
      <c r="CO173" s="220"/>
      <c r="CP173" s="220"/>
      <c r="CQ173" s="220"/>
      <c r="CR173" s="220"/>
      <c r="CS173" s="220"/>
      <c r="CT173" s="220"/>
      <c r="CU173" s="220"/>
      <c r="CV173" s="220"/>
      <c r="CW173" s="220"/>
      <c r="CX173" s="220"/>
      <c r="CY173" s="220"/>
      <c r="CZ173" s="220"/>
      <c r="DA173" s="220"/>
      <c r="DB173" s="220"/>
      <c r="DC173" s="220"/>
      <c r="DD173" s="220"/>
      <c r="DE173" s="220"/>
      <c r="DF173" s="220"/>
      <c r="DG173" s="220"/>
      <c r="DH173" s="220"/>
      <c r="DI173" s="220"/>
      <c r="DJ173" s="220"/>
      <c r="DK173" s="220"/>
      <c r="DL173" s="220"/>
      <c r="DM173" s="220"/>
      <c r="DN173" s="220"/>
      <c r="DO173" s="220"/>
      <c r="DP173" s="220"/>
      <c r="DQ173" s="220"/>
    </row>
    <row r="174" spans="14:121" x14ac:dyDescent="0.25">
      <c r="N174" s="220"/>
      <c r="O174" s="220"/>
      <c r="P174" s="220"/>
      <c r="Q174" s="220"/>
      <c r="R174" s="220"/>
      <c r="S174" s="220"/>
      <c r="T174" s="220"/>
      <c r="U174" s="220"/>
      <c r="V174" s="220"/>
      <c r="W174" s="220"/>
      <c r="X174" s="220"/>
      <c r="Y174" s="220"/>
      <c r="Z174" s="220"/>
      <c r="AA174" s="220"/>
      <c r="AB174" s="220"/>
      <c r="AC174" s="220"/>
      <c r="AD174" s="220"/>
      <c r="AE174" s="220"/>
      <c r="AF174" s="220"/>
      <c r="AG174" s="220"/>
      <c r="AH174" s="220"/>
      <c r="AI174" s="220"/>
      <c r="AJ174" s="220"/>
      <c r="AK174" s="220"/>
      <c r="AL174" s="220"/>
      <c r="AM174" s="220"/>
      <c r="AN174" s="220"/>
      <c r="AO174" s="220"/>
      <c r="AP174" s="220"/>
      <c r="AQ174" s="220"/>
      <c r="AR174" s="220"/>
      <c r="AS174" s="220"/>
      <c r="AT174" s="220"/>
      <c r="AU174" s="220"/>
      <c r="AV174" s="220"/>
      <c r="AW174" s="220"/>
      <c r="AX174" s="220"/>
      <c r="AY174" s="220"/>
      <c r="AZ174" s="220"/>
      <c r="BA174" s="220"/>
      <c r="BB174" s="220"/>
      <c r="BC174" s="220"/>
      <c r="BD174" s="220"/>
      <c r="BE174" s="220"/>
      <c r="BF174" s="220"/>
      <c r="BG174" s="220"/>
      <c r="BH174" s="220"/>
      <c r="BI174" s="220"/>
      <c r="BJ174" s="220"/>
      <c r="BK174" s="220"/>
      <c r="BL174" s="220"/>
      <c r="BM174" s="220"/>
      <c r="BN174" s="220"/>
      <c r="BO174" s="220"/>
      <c r="BP174" s="220"/>
      <c r="BQ174" s="220"/>
      <c r="BR174" s="220"/>
      <c r="BS174" s="220"/>
      <c r="BT174" s="220"/>
      <c r="BU174" s="220"/>
      <c r="BV174" s="220"/>
      <c r="BW174" s="220"/>
      <c r="BX174" s="220"/>
      <c r="BY174" s="220"/>
      <c r="BZ174" s="220"/>
      <c r="CA174" s="220"/>
      <c r="CB174" s="220"/>
      <c r="CC174" s="220"/>
      <c r="CD174" s="220"/>
      <c r="CE174" s="220"/>
      <c r="CF174" s="220"/>
      <c r="CG174" s="220"/>
      <c r="CH174" s="220"/>
      <c r="CI174" s="220"/>
      <c r="CJ174" s="220"/>
      <c r="CK174" s="220"/>
      <c r="CL174" s="220"/>
      <c r="CM174" s="220"/>
      <c r="CN174" s="220"/>
      <c r="CO174" s="220"/>
      <c r="CP174" s="220"/>
      <c r="CQ174" s="220"/>
      <c r="CR174" s="220"/>
      <c r="CS174" s="220"/>
      <c r="CT174" s="220"/>
      <c r="CU174" s="220"/>
      <c r="CV174" s="220"/>
      <c r="CW174" s="220"/>
      <c r="CX174" s="220"/>
      <c r="CY174" s="220"/>
      <c r="CZ174" s="220"/>
      <c r="DA174" s="220"/>
      <c r="DB174" s="220"/>
      <c r="DC174" s="220"/>
      <c r="DD174" s="220"/>
      <c r="DE174" s="220"/>
      <c r="DF174" s="220"/>
      <c r="DG174" s="220"/>
      <c r="DH174" s="220"/>
      <c r="DI174" s="220"/>
      <c r="DJ174" s="220"/>
      <c r="DK174" s="220"/>
      <c r="DL174" s="220"/>
      <c r="DM174" s="220"/>
      <c r="DN174" s="220"/>
      <c r="DO174" s="220"/>
      <c r="DP174" s="220"/>
      <c r="DQ174" s="220"/>
    </row>
    <row r="175" spans="14:121" x14ac:dyDescent="0.25">
      <c r="N175" s="220"/>
      <c r="O175" s="220"/>
      <c r="P175" s="220"/>
      <c r="Q175" s="220"/>
      <c r="R175" s="220"/>
      <c r="S175" s="220"/>
      <c r="T175" s="220"/>
      <c r="U175" s="220"/>
      <c r="V175" s="220"/>
      <c r="W175" s="220"/>
      <c r="X175" s="220"/>
      <c r="Y175" s="220"/>
      <c r="Z175" s="220"/>
      <c r="AA175" s="220"/>
      <c r="AB175" s="220"/>
      <c r="AC175" s="220"/>
      <c r="AD175" s="220"/>
      <c r="AE175" s="220"/>
      <c r="AF175" s="220"/>
      <c r="AG175" s="220"/>
      <c r="AH175" s="220"/>
      <c r="AI175" s="220"/>
      <c r="AJ175" s="220"/>
      <c r="AK175" s="220"/>
      <c r="AL175" s="220"/>
      <c r="AM175" s="220"/>
      <c r="AN175" s="220"/>
      <c r="AO175" s="220"/>
      <c r="AP175" s="220"/>
      <c r="AQ175" s="220"/>
      <c r="AR175" s="220"/>
      <c r="AS175" s="220"/>
      <c r="AT175" s="220"/>
      <c r="AU175" s="220"/>
      <c r="AV175" s="220"/>
      <c r="AW175" s="220"/>
      <c r="AX175" s="220"/>
      <c r="AY175" s="220"/>
      <c r="AZ175" s="220"/>
      <c r="BA175" s="220"/>
      <c r="BB175" s="220"/>
      <c r="BC175" s="220"/>
      <c r="BD175" s="220"/>
      <c r="BE175" s="220"/>
      <c r="BF175" s="220"/>
      <c r="BG175" s="220"/>
      <c r="BH175" s="220"/>
      <c r="BI175" s="220"/>
      <c r="BJ175" s="220"/>
      <c r="BK175" s="220"/>
      <c r="BL175" s="220"/>
      <c r="BM175" s="220"/>
      <c r="BN175" s="220"/>
      <c r="BO175" s="220"/>
      <c r="BP175" s="220"/>
      <c r="BQ175" s="220"/>
      <c r="BR175" s="220"/>
      <c r="BS175" s="220"/>
      <c r="BT175" s="220"/>
      <c r="BU175" s="220"/>
      <c r="BV175" s="220"/>
      <c r="BW175" s="220"/>
      <c r="BX175" s="220"/>
      <c r="BY175" s="220"/>
      <c r="BZ175" s="220"/>
      <c r="CA175" s="220"/>
      <c r="CB175" s="220"/>
      <c r="CC175" s="220"/>
      <c r="CD175" s="220"/>
      <c r="CE175" s="220"/>
      <c r="CF175" s="220"/>
      <c r="CG175" s="220"/>
      <c r="CH175" s="220"/>
      <c r="CI175" s="220"/>
      <c r="CJ175" s="220"/>
      <c r="CK175" s="220"/>
      <c r="CL175" s="220"/>
      <c r="CM175" s="220"/>
      <c r="CN175" s="220"/>
      <c r="CO175" s="220"/>
      <c r="CP175" s="220"/>
      <c r="CQ175" s="220"/>
      <c r="CR175" s="220"/>
      <c r="CS175" s="220"/>
      <c r="CT175" s="220"/>
      <c r="CU175" s="220"/>
      <c r="CV175" s="220"/>
      <c r="CW175" s="220"/>
      <c r="CX175" s="220"/>
      <c r="CY175" s="220"/>
      <c r="CZ175" s="220"/>
      <c r="DA175" s="220"/>
      <c r="DB175" s="220"/>
      <c r="DC175" s="220"/>
      <c r="DD175" s="220"/>
      <c r="DE175" s="220"/>
      <c r="DF175" s="220"/>
      <c r="DG175" s="220"/>
      <c r="DH175" s="220"/>
      <c r="DI175" s="220"/>
      <c r="DJ175" s="220"/>
      <c r="DK175" s="220"/>
      <c r="DL175" s="220"/>
      <c r="DM175" s="220"/>
      <c r="DN175" s="220"/>
      <c r="DO175" s="220"/>
      <c r="DP175" s="220"/>
      <c r="DQ175" s="220"/>
    </row>
    <row r="176" spans="14:121" x14ac:dyDescent="0.25">
      <c r="N176" s="220"/>
      <c r="O176" s="220"/>
      <c r="P176" s="220"/>
      <c r="Q176" s="220"/>
      <c r="R176" s="220"/>
      <c r="S176" s="220"/>
      <c r="T176" s="220"/>
      <c r="U176" s="220"/>
      <c r="V176" s="220"/>
      <c r="W176" s="220"/>
      <c r="X176" s="220"/>
      <c r="Y176" s="220"/>
      <c r="Z176" s="220"/>
      <c r="AA176" s="220"/>
      <c r="AB176" s="220"/>
      <c r="AC176" s="220"/>
      <c r="AD176" s="220"/>
      <c r="AE176" s="220"/>
      <c r="AF176" s="220"/>
      <c r="AG176" s="220"/>
      <c r="AH176" s="220"/>
      <c r="AI176" s="220"/>
      <c r="AJ176" s="220"/>
      <c r="AK176" s="220"/>
      <c r="AL176" s="220"/>
      <c r="AM176" s="220"/>
      <c r="AN176" s="220"/>
      <c r="AO176" s="220"/>
      <c r="AP176" s="220"/>
      <c r="AQ176" s="220"/>
      <c r="AR176" s="220"/>
      <c r="AS176" s="220"/>
      <c r="AT176" s="220"/>
      <c r="AU176" s="220"/>
      <c r="AV176" s="220"/>
      <c r="AW176" s="220"/>
      <c r="AX176" s="220"/>
      <c r="AY176" s="220"/>
      <c r="AZ176" s="220"/>
      <c r="BA176" s="220"/>
      <c r="BB176" s="220"/>
      <c r="BC176" s="220"/>
      <c r="BD176" s="220"/>
      <c r="BE176" s="220"/>
      <c r="BF176" s="220"/>
      <c r="BG176" s="220"/>
      <c r="BH176" s="220"/>
      <c r="BI176" s="220"/>
      <c r="BJ176" s="220"/>
      <c r="BK176" s="220"/>
      <c r="BL176" s="220"/>
      <c r="BM176" s="220"/>
      <c r="BN176" s="220"/>
      <c r="BO176" s="220"/>
      <c r="BP176" s="220"/>
      <c r="BQ176" s="220"/>
      <c r="BR176" s="220"/>
      <c r="BS176" s="220"/>
      <c r="BT176" s="220"/>
      <c r="BU176" s="220"/>
      <c r="BV176" s="220"/>
      <c r="BW176" s="220"/>
      <c r="BX176" s="220"/>
      <c r="BY176" s="220"/>
      <c r="BZ176" s="220"/>
      <c r="CA176" s="220"/>
      <c r="CB176" s="220"/>
      <c r="CC176" s="220"/>
      <c r="CD176" s="220"/>
      <c r="CE176" s="220"/>
      <c r="CF176" s="220"/>
      <c r="CG176" s="220"/>
      <c r="CH176" s="220"/>
      <c r="CI176" s="220"/>
      <c r="CJ176" s="220"/>
      <c r="CK176" s="220"/>
      <c r="CL176" s="220"/>
      <c r="CM176" s="220"/>
      <c r="CN176" s="220"/>
      <c r="CO176" s="220"/>
      <c r="CP176" s="220"/>
      <c r="CQ176" s="220"/>
      <c r="CR176" s="220"/>
      <c r="CS176" s="220"/>
      <c r="CT176" s="220"/>
      <c r="CU176" s="220"/>
      <c r="CV176" s="220"/>
      <c r="CW176" s="220"/>
      <c r="CX176" s="220"/>
      <c r="CY176" s="220"/>
      <c r="CZ176" s="220"/>
      <c r="DA176" s="220"/>
      <c r="DB176" s="220"/>
      <c r="DC176" s="220"/>
      <c r="DD176" s="220"/>
      <c r="DE176" s="220"/>
      <c r="DF176" s="220"/>
      <c r="DG176" s="220"/>
      <c r="DH176" s="220"/>
      <c r="DI176" s="220"/>
      <c r="DJ176" s="220"/>
      <c r="DK176" s="220"/>
      <c r="DL176" s="220"/>
      <c r="DM176" s="220"/>
      <c r="DN176" s="220"/>
      <c r="DO176" s="220"/>
      <c r="DP176" s="220"/>
      <c r="DQ176" s="220"/>
    </row>
    <row r="177" spans="14:121" x14ac:dyDescent="0.25">
      <c r="N177" s="220"/>
      <c r="O177" s="220"/>
      <c r="P177" s="220"/>
      <c r="Q177" s="220"/>
      <c r="R177" s="220"/>
      <c r="S177" s="220"/>
      <c r="T177" s="220"/>
      <c r="U177" s="220"/>
      <c r="V177" s="220"/>
      <c r="W177" s="220"/>
      <c r="X177" s="220"/>
      <c r="Y177" s="220"/>
      <c r="Z177" s="220"/>
      <c r="AA177" s="220"/>
      <c r="AB177" s="220"/>
      <c r="AC177" s="220"/>
      <c r="AD177" s="220"/>
      <c r="AE177" s="220"/>
      <c r="AF177" s="220"/>
      <c r="AG177" s="220"/>
      <c r="AH177" s="220"/>
      <c r="AI177" s="220"/>
      <c r="AJ177" s="220"/>
      <c r="AK177" s="220"/>
      <c r="AL177" s="220"/>
      <c r="AM177" s="220"/>
      <c r="AN177" s="220"/>
      <c r="AO177" s="220"/>
      <c r="AP177" s="220"/>
      <c r="AQ177" s="220"/>
      <c r="AR177" s="220"/>
      <c r="AS177" s="220"/>
      <c r="AT177" s="220"/>
      <c r="AU177" s="220"/>
      <c r="AV177" s="220"/>
      <c r="AW177" s="220"/>
      <c r="AX177" s="220"/>
      <c r="AY177" s="220"/>
      <c r="AZ177" s="220"/>
      <c r="BA177" s="220"/>
      <c r="BB177" s="220"/>
      <c r="BC177" s="220"/>
      <c r="BD177" s="220"/>
      <c r="BE177" s="220"/>
      <c r="BF177" s="220"/>
      <c r="BG177" s="220"/>
      <c r="BH177" s="220"/>
      <c r="BI177" s="220"/>
      <c r="BJ177" s="220"/>
      <c r="BK177" s="220"/>
      <c r="BL177" s="220"/>
      <c r="BM177" s="220"/>
      <c r="BN177" s="220"/>
      <c r="BO177" s="220"/>
      <c r="BP177" s="220"/>
      <c r="BQ177" s="220"/>
      <c r="BR177" s="220"/>
      <c r="BS177" s="220"/>
      <c r="BT177" s="220"/>
      <c r="BU177" s="220"/>
      <c r="BV177" s="220"/>
      <c r="BW177" s="220"/>
      <c r="BX177" s="220"/>
      <c r="BY177" s="220"/>
      <c r="BZ177" s="220"/>
      <c r="CA177" s="220"/>
      <c r="CB177" s="220"/>
      <c r="CC177" s="220"/>
      <c r="CD177" s="220"/>
      <c r="CE177" s="220"/>
      <c r="CF177" s="220"/>
      <c r="CG177" s="220"/>
      <c r="CH177" s="220"/>
      <c r="CI177" s="220"/>
      <c r="CJ177" s="220"/>
      <c r="CK177" s="220"/>
      <c r="CL177" s="220"/>
      <c r="CM177" s="220"/>
      <c r="CN177" s="220"/>
      <c r="CO177" s="220"/>
      <c r="CP177" s="220"/>
      <c r="CQ177" s="220"/>
      <c r="CR177" s="220"/>
      <c r="CS177" s="220"/>
      <c r="CT177" s="220"/>
      <c r="CU177" s="220"/>
      <c r="CV177" s="220"/>
      <c r="CW177" s="220"/>
      <c r="CX177" s="220"/>
      <c r="CY177" s="220"/>
      <c r="CZ177" s="220"/>
      <c r="DA177" s="220"/>
      <c r="DB177" s="220"/>
      <c r="DC177" s="220"/>
      <c r="DD177" s="220"/>
      <c r="DE177" s="220"/>
      <c r="DF177" s="220"/>
      <c r="DG177" s="220"/>
      <c r="DH177" s="220"/>
      <c r="DI177" s="220"/>
      <c r="DJ177" s="220"/>
      <c r="DK177" s="220"/>
      <c r="DL177" s="220"/>
      <c r="DM177" s="220"/>
      <c r="DN177" s="220"/>
      <c r="DO177" s="220"/>
      <c r="DP177" s="220"/>
      <c r="DQ177" s="220"/>
    </row>
    <row r="178" spans="14:121" x14ac:dyDescent="0.25">
      <c r="N178" s="220"/>
      <c r="O178" s="220"/>
      <c r="P178" s="220"/>
      <c r="Q178" s="220"/>
      <c r="R178" s="220"/>
      <c r="S178" s="220"/>
      <c r="T178" s="220"/>
      <c r="U178" s="220"/>
      <c r="V178" s="220"/>
      <c r="W178" s="220"/>
      <c r="X178" s="220"/>
      <c r="Y178" s="220"/>
      <c r="Z178" s="220"/>
      <c r="AA178" s="220"/>
      <c r="AB178" s="220"/>
      <c r="AC178" s="220"/>
      <c r="AD178" s="220"/>
      <c r="AE178" s="220"/>
      <c r="AF178" s="220"/>
      <c r="AG178" s="220"/>
      <c r="AH178" s="220"/>
      <c r="AI178" s="220"/>
      <c r="AJ178" s="220"/>
      <c r="AK178" s="220"/>
      <c r="AL178" s="220"/>
      <c r="AM178" s="220"/>
      <c r="AN178" s="220"/>
      <c r="AO178" s="220"/>
      <c r="AP178" s="220"/>
      <c r="AQ178" s="220"/>
      <c r="AR178" s="220"/>
      <c r="AS178" s="220"/>
      <c r="AT178" s="220"/>
      <c r="AU178" s="220"/>
      <c r="AV178" s="220"/>
      <c r="AW178" s="220"/>
      <c r="AX178" s="220"/>
      <c r="AY178" s="220"/>
      <c r="AZ178" s="220"/>
      <c r="BA178" s="220"/>
      <c r="BB178" s="220"/>
      <c r="BC178" s="220"/>
      <c r="BD178" s="220"/>
      <c r="BE178" s="220"/>
      <c r="BF178" s="220"/>
      <c r="BG178" s="220"/>
      <c r="BH178" s="220"/>
      <c r="BI178" s="220"/>
      <c r="BJ178" s="220"/>
      <c r="BK178" s="220"/>
      <c r="BL178" s="220"/>
      <c r="BM178" s="220"/>
      <c r="BN178" s="220"/>
      <c r="BO178" s="220"/>
      <c r="BP178" s="220"/>
      <c r="BQ178" s="220"/>
      <c r="BR178" s="220"/>
      <c r="BS178" s="220"/>
      <c r="BT178" s="220"/>
      <c r="BU178" s="220"/>
      <c r="BV178" s="220"/>
      <c r="BW178" s="220"/>
      <c r="BX178" s="220"/>
      <c r="BY178" s="220"/>
      <c r="BZ178" s="220"/>
      <c r="CA178" s="220"/>
      <c r="CB178" s="220"/>
      <c r="CC178" s="220"/>
      <c r="CD178" s="220"/>
      <c r="CE178" s="220"/>
      <c r="CF178" s="220"/>
      <c r="CG178" s="220"/>
      <c r="CH178" s="220"/>
      <c r="CI178" s="220"/>
      <c r="CJ178" s="220"/>
      <c r="CK178" s="220"/>
      <c r="CL178" s="220"/>
      <c r="CM178" s="220"/>
      <c r="CN178" s="220"/>
      <c r="CO178" s="220"/>
      <c r="CP178" s="220"/>
      <c r="CQ178" s="220"/>
      <c r="CR178" s="220"/>
      <c r="CS178" s="220"/>
      <c r="CT178" s="220"/>
      <c r="CU178" s="220"/>
      <c r="CV178" s="220"/>
      <c r="CW178" s="220"/>
      <c r="CX178" s="220"/>
      <c r="CY178" s="220"/>
      <c r="CZ178" s="220"/>
      <c r="DA178" s="220"/>
      <c r="DB178" s="220"/>
      <c r="DC178" s="220"/>
      <c r="DD178" s="220"/>
      <c r="DE178" s="220"/>
      <c r="DF178" s="220"/>
      <c r="DG178" s="220"/>
      <c r="DH178" s="220"/>
      <c r="DI178" s="220"/>
      <c r="DJ178" s="220"/>
      <c r="DK178" s="220"/>
      <c r="DL178" s="220"/>
      <c r="DM178" s="220"/>
      <c r="DN178" s="220"/>
      <c r="DO178" s="220"/>
      <c r="DP178" s="220"/>
      <c r="DQ178" s="220"/>
    </row>
    <row r="179" spans="14:121" x14ac:dyDescent="0.25">
      <c r="N179" s="220"/>
      <c r="O179" s="220"/>
      <c r="P179" s="220"/>
      <c r="Q179" s="220"/>
      <c r="R179" s="220"/>
      <c r="S179" s="220"/>
      <c r="T179" s="220"/>
      <c r="U179" s="220"/>
      <c r="V179" s="220"/>
      <c r="W179" s="220"/>
      <c r="X179" s="220"/>
      <c r="Y179" s="220"/>
      <c r="Z179" s="220"/>
      <c r="AA179" s="220"/>
      <c r="AB179" s="220"/>
      <c r="AC179" s="220"/>
      <c r="AD179" s="220"/>
      <c r="AE179" s="220"/>
      <c r="AF179" s="220"/>
      <c r="AG179" s="220"/>
      <c r="AH179" s="220"/>
      <c r="AI179" s="220"/>
      <c r="AJ179" s="220"/>
      <c r="AK179" s="220"/>
      <c r="AL179" s="220"/>
      <c r="AM179" s="220"/>
      <c r="AN179" s="220"/>
      <c r="AO179" s="220"/>
      <c r="AP179" s="220"/>
      <c r="AQ179" s="220"/>
      <c r="AR179" s="220"/>
      <c r="AS179" s="220"/>
      <c r="AT179" s="220"/>
      <c r="AU179" s="220"/>
      <c r="AV179" s="220"/>
      <c r="AW179" s="220"/>
      <c r="AX179" s="220"/>
      <c r="AY179" s="220"/>
      <c r="AZ179" s="220"/>
      <c r="BA179" s="220"/>
      <c r="BB179" s="220"/>
      <c r="BC179" s="220"/>
      <c r="BD179" s="220"/>
      <c r="BE179" s="220"/>
      <c r="BF179" s="220"/>
      <c r="BG179" s="220"/>
      <c r="BH179" s="220"/>
      <c r="BI179" s="220"/>
      <c r="BJ179" s="220"/>
      <c r="BK179" s="220"/>
      <c r="BL179" s="220"/>
      <c r="BM179" s="220"/>
      <c r="BN179" s="220"/>
      <c r="BO179" s="220"/>
      <c r="BP179" s="220"/>
      <c r="BQ179" s="220"/>
      <c r="BR179" s="220"/>
      <c r="BS179" s="220"/>
      <c r="BT179" s="220"/>
      <c r="BU179" s="220"/>
      <c r="BV179" s="220"/>
      <c r="BW179" s="220"/>
      <c r="BX179" s="220"/>
      <c r="BY179" s="220"/>
      <c r="BZ179" s="220"/>
      <c r="CA179" s="220"/>
      <c r="CB179" s="220"/>
      <c r="CC179" s="220"/>
      <c r="CD179" s="220"/>
      <c r="CE179" s="220"/>
      <c r="CF179" s="220"/>
      <c r="CG179" s="220"/>
      <c r="CH179" s="220"/>
      <c r="CI179" s="220"/>
      <c r="CJ179" s="220"/>
      <c r="CK179" s="220"/>
      <c r="CL179" s="220"/>
      <c r="CM179" s="220"/>
      <c r="CN179" s="220"/>
      <c r="CO179" s="220"/>
      <c r="CP179" s="220"/>
      <c r="CQ179" s="220"/>
      <c r="CR179" s="220"/>
      <c r="CS179" s="220"/>
      <c r="CT179" s="220"/>
      <c r="CU179" s="220"/>
      <c r="CV179" s="220"/>
      <c r="CW179" s="220"/>
      <c r="CX179" s="220"/>
      <c r="CY179" s="220"/>
      <c r="CZ179" s="220"/>
      <c r="DA179" s="220"/>
      <c r="DB179" s="220"/>
      <c r="DC179" s="220"/>
      <c r="DD179" s="220"/>
      <c r="DE179" s="220"/>
      <c r="DF179" s="220"/>
      <c r="DG179" s="220"/>
      <c r="DH179" s="220"/>
      <c r="DI179" s="220"/>
      <c r="DJ179" s="220"/>
      <c r="DK179" s="220"/>
      <c r="DL179" s="220"/>
      <c r="DM179" s="220"/>
      <c r="DN179" s="220"/>
      <c r="DO179" s="220"/>
      <c r="DP179" s="220"/>
      <c r="DQ179" s="220"/>
    </row>
    <row r="180" spans="14:121" x14ac:dyDescent="0.25">
      <c r="N180" s="220"/>
      <c r="O180" s="220"/>
      <c r="P180" s="220"/>
      <c r="Q180" s="220"/>
      <c r="R180" s="220"/>
      <c r="S180" s="220"/>
      <c r="T180" s="220"/>
      <c r="U180" s="220"/>
      <c r="V180" s="220"/>
      <c r="W180" s="220"/>
      <c r="X180" s="220"/>
      <c r="Y180" s="220"/>
      <c r="Z180" s="220"/>
      <c r="AA180" s="220"/>
      <c r="AB180" s="220"/>
      <c r="AC180" s="220"/>
      <c r="AD180" s="220"/>
      <c r="AE180" s="220"/>
      <c r="AF180" s="220"/>
      <c r="AG180" s="220"/>
      <c r="AH180" s="220"/>
      <c r="AI180" s="220"/>
      <c r="AJ180" s="220"/>
      <c r="AK180" s="220"/>
      <c r="AL180" s="220"/>
      <c r="AM180" s="220"/>
      <c r="AN180" s="220"/>
      <c r="AO180" s="220"/>
      <c r="AP180" s="220"/>
      <c r="AQ180" s="220"/>
      <c r="AR180" s="220"/>
      <c r="AS180" s="220"/>
      <c r="AT180" s="220"/>
      <c r="AU180" s="220"/>
      <c r="AV180" s="220"/>
      <c r="AW180" s="220"/>
      <c r="AX180" s="220"/>
      <c r="AY180" s="220"/>
      <c r="AZ180" s="220"/>
      <c r="BA180" s="220"/>
      <c r="BB180" s="220"/>
      <c r="BC180" s="220"/>
      <c r="BD180" s="220"/>
      <c r="BE180" s="220"/>
      <c r="BF180" s="220"/>
      <c r="BG180" s="220"/>
      <c r="BH180" s="220"/>
      <c r="BI180" s="220"/>
      <c r="BJ180" s="220"/>
      <c r="BK180" s="220"/>
      <c r="BL180" s="220"/>
      <c r="BM180" s="220"/>
      <c r="BN180" s="220"/>
      <c r="BO180" s="220"/>
      <c r="BP180" s="220"/>
      <c r="BQ180" s="220"/>
      <c r="BR180" s="220"/>
      <c r="BS180" s="220"/>
      <c r="BT180" s="220"/>
      <c r="BU180" s="220"/>
      <c r="BV180" s="220"/>
      <c r="BW180" s="220"/>
      <c r="BX180" s="220"/>
      <c r="BY180" s="220"/>
      <c r="BZ180" s="220"/>
      <c r="CA180" s="220"/>
      <c r="CB180" s="220"/>
      <c r="CC180" s="220"/>
      <c r="CD180" s="220"/>
      <c r="CE180" s="220"/>
      <c r="CF180" s="220"/>
      <c r="CG180" s="220"/>
      <c r="CH180" s="220"/>
      <c r="CI180" s="220"/>
      <c r="CJ180" s="220"/>
      <c r="CK180" s="220"/>
      <c r="CL180" s="220"/>
      <c r="CM180" s="220"/>
      <c r="CN180" s="220"/>
      <c r="CO180" s="220"/>
      <c r="CP180" s="220"/>
      <c r="CQ180" s="220"/>
      <c r="CR180" s="220"/>
      <c r="CS180" s="220"/>
      <c r="CT180" s="220"/>
      <c r="CU180" s="220"/>
      <c r="CV180" s="220"/>
      <c r="CW180" s="220"/>
      <c r="CX180" s="220"/>
      <c r="CY180" s="220"/>
      <c r="CZ180" s="220"/>
      <c r="DA180" s="220"/>
      <c r="DB180" s="220"/>
      <c r="DC180" s="220"/>
      <c r="DD180" s="220"/>
      <c r="DE180" s="220"/>
      <c r="DF180" s="220"/>
      <c r="DG180" s="220"/>
      <c r="DH180" s="220"/>
      <c r="DI180" s="220"/>
      <c r="DJ180" s="220"/>
      <c r="DK180" s="220"/>
      <c r="DL180" s="220"/>
      <c r="DM180" s="220"/>
      <c r="DN180" s="220"/>
      <c r="DO180" s="220"/>
      <c r="DP180" s="220"/>
      <c r="DQ180" s="220"/>
    </row>
    <row r="181" spans="14:121" x14ac:dyDescent="0.25">
      <c r="N181" s="220"/>
      <c r="O181" s="220"/>
      <c r="P181" s="220"/>
      <c r="Q181" s="220"/>
      <c r="R181" s="220"/>
      <c r="S181" s="220"/>
      <c r="T181" s="220"/>
      <c r="U181" s="220"/>
      <c r="V181" s="220"/>
      <c r="W181" s="220"/>
      <c r="X181" s="220"/>
      <c r="Y181" s="220"/>
      <c r="Z181" s="220"/>
      <c r="AA181" s="220"/>
      <c r="AB181" s="220"/>
      <c r="AC181" s="220"/>
      <c r="AD181" s="220"/>
      <c r="AE181" s="220"/>
      <c r="AF181" s="220"/>
      <c r="AG181" s="220"/>
      <c r="AH181" s="220"/>
      <c r="AI181" s="220"/>
      <c r="AJ181" s="220"/>
      <c r="AK181" s="220"/>
      <c r="AL181" s="220"/>
      <c r="AM181" s="220"/>
      <c r="AN181" s="220"/>
      <c r="AO181" s="220"/>
      <c r="AP181" s="220"/>
      <c r="AQ181" s="220"/>
      <c r="AR181" s="220"/>
      <c r="AS181" s="220"/>
      <c r="AT181" s="220"/>
      <c r="AU181" s="220"/>
      <c r="AV181" s="220"/>
      <c r="AW181" s="220"/>
      <c r="AX181" s="220"/>
      <c r="AY181" s="220"/>
      <c r="AZ181" s="220"/>
      <c r="BA181" s="220"/>
      <c r="BB181" s="220"/>
      <c r="BC181" s="220"/>
      <c r="BD181" s="220"/>
      <c r="BE181" s="220"/>
      <c r="BF181" s="220"/>
      <c r="BG181" s="220"/>
      <c r="BH181" s="220"/>
      <c r="BI181" s="220"/>
      <c r="BJ181" s="220"/>
      <c r="BK181" s="220"/>
      <c r="BL181" s="220"/>
      <c r="BM181" s="220"/>
      <c r="BN181" s="220"/>
      <c r="BO181" s="220"/>
      <c r="BP181" s="220"/>
      <c r="BQ181" s="220"/>
      <c r="BR181" s="220"/>
      <c r="BS181" s="220"/>
      <c r="BT181" s="220"/>
      <c r="BU181" s="220"/>
      <c r="BV181" s="220"/>
      <c r="BW181" s="220"/>
      <c r="BX181" s="220"/>
      <c r="BY181" s="220"/>
      <c r="BZ181" s="220"/>
      <c r="CA181" s="220"/>
      <c r="CB181" s="220"/>
      <c r="CC181" s="220"/>
      <c r="CD181" s="220"/>
      <c r="CE181" s="220"/>
      <c r="CF181" s="220"/>
      <c r="CG181" s="220"/>
      <c r="CH181" s="220"/>
      <c r="CI181" s="220"/>
      <c r="CJ181" s="220"/>
      <c r="CK181" s="220"/>
      <c r="CL181" s="220"/>
      <c r="CM181" s="220"/>
      <c r="CN181" s="220"/>
      <c r="CO181" s="220"/>
      <c r="CP181" s="220"/>
      <c r="CQ181" s="220"/>
      <c r="CR181" s="220"/>
      <c r="CS181" s="220"/>
      <c r="CT181" s="220"/>
      <c r="CU181" s="220"/>
      <c r="CV181" s="220"/>
      <c r="CW181" s="220"/>
      <c r="CX181" s="220"/>
      <c r="CY181" s="220"/>
      <c r="CZ181" s="220"/>
      <c r="DA181" s="220"/>
      <c r="DB181" s="220"/>
      <c r="DC181" s="220"/>
      <c r="DD181" s="220"/>
      <c r="DE181" s="220"/>
      <c r="DF181" s="220"/>
      <c r="DG181" s="220"/>
      <c r="DH181" s="220"/>
      <c r="DI181" s="220"/>
      <c r="DJ181" s="220"/>
      <c r="DK181" s="220"/>
      <c r="DL181" s="220"/>
      <c r="DM181" s="220"/>
      <c r="DN181" s="220"/>
      <c r="DO181" s="220"/>
      <c r="DP181" s="220"/>
      <c r="DQ181" s="220"/>
    </row>
    <row r="182" spans="14:121" x14ac:dyDescent="0.25">
      <c r="N182" s="220"/>
      <c r="O182" s="220"/>
      <c r="P182" s="220"/>
      <c r="Q182" s="220"/>
      <c r="R182" s="220"/>
      <c r="S182" s="220"/>
      <c r="T182" s="220"/>
      <c r="U182" s="220"/>
      <c r="V182" s="220"/>
      <c r="W182" s="220"/>
      <c r="X182" s="220"/>
      <c r="Y182" s="220"/>
      <c r="Z182" s="220"/>
      <c r="AA182" s="220"/>
      <c r="AB182" s="220"/>
      <c r="AC182" s="220"/>
      <c r="AD182" s="220"/>
      <c r="AE182" s="220"/>
      <c r="AF182" s="220"/>
      <c r="AG182" s="220"/>
      <c r="AH182" s="220"/>
      <c r="AI182" s="220"/>
      <c r="AJ182" s="220"/>
      <c r="AK182" s="220"/>
      <c r="AL182" s="220"/>
      <c r="AM182" s="220"/>
      <c r="AN182" s="220"/>
      <c r="AO182" s="220"/>
      <c r="AP182" s="220"/>
      <c r="AQ182" s="220"/>
      <c r="AR182" s="220"/>
      <c r="AS182" s="220"/>
      <c r="AT182" s="220"/>
      <c r="AU182" s="220"/>
      <c r="AV182" s="220"/>
      <c r="AW182" s="220"/>
      <c r="AX182" s="220"/>
      <c r="AY182" s="220"/>
      <c r="AZ182" s="220"/>
      <c r="BA182" s="220"/>
      <c r="BB182" s="220"/>
      <c r="BC182" s="220"/>
      <c r="BD182" s="220"/>
      <c r="BE182" s="220"/>
      <c r="BF182" s="220"/>
      <c r="BG182" s="220"/>
      <c r="BH182" s="220"/>
      <c r="BI182" s="220"/>
      <c r="BJ182" s="220"/>
      <c r="BK182" s="220"/>
      <c r="BL182" s="220"/>
      <c r="BM182" s="220"/>
      <c r="BN182" s="220"/>
      <c r="BO182" s="220"/>
      <c r="BP182" s="220"/>
      <c r="BQ182" s="220"/>
      <c r="BR182" s="220"/>
      <c r="BS182" s="220"/>
      <c r="BT182" s="220"/>
      <c r="BU182" s="220"/>
      <c r="BV182" s="220"/>
      <c r="BW182" s="220"/>
      <c r="BX182" s="220"/>
      <c r="BY182" s="220"/>
      <c r="BZ182" s="220"/>
      <c r="CA182" s="220"/>
      <c r="CB182" s="220"/>
      <c r="CC182" s="220"/>
      <c r="CD182" s="220"/>
      <c r="CE182" s="220"/>
      <c r="CF182" s="220"/>
      <c r="CG182" s="220"/>
      <c r="CH182" s="220"/>
      <c r="CI182" s="220"/>
      <c r="CJ182" s="220"/>
      <c r="CK182" s="220"/>
      <c r="CL182" s="220"/>
      <c r="CM182" s="220"/>
      <c r="CN182" s="220"/>
      <c r="CO182" s="220"/>
      <c r="CP182" s="220"/>
      <c r="CQ182" s="220"/>
      <c r="CR182" s="220"/>
      <c r="CS182" s="220"/>
      <c r="CT182" s="220"/>
      <c r="CU182" s="220"/>
      <c r="CV182" s="220"/>
      <c r="CW182" s="220"/>
      <c r="CX182" s="220"/>
      <c r="CY182" s="220"/>
      <c r="CZ182" s="220"/>
      <c r="DA182" s="220"/>
      <c r="DB182" s="220"/>
      <c r="DC182" s="220"/>
      <c r="DD182" s="220"/>
      <c r="DE182" s="220"/>
      <c r="DF182" s="220"/>
      <c r="DG182" s="220"/>
      <c r="DH182" s="220"/>
      <c r="DI182" s="220"/>
      <c r="DJ182" s="220"/>
      <c r="DK182" s="220"/>
      <c r="DL182" s="220"/>
      <c r="DM182" s="220"/>
      <c r="DN182" s="220"/>
      <c r="DO182" s="220"/>
      <c r="DP182" s="220"/>
      <c r="DQ182" s="220"/>
    </row>
    <row r="183" spans="14:121" x14ac:dyDescent="0.25">
      <c r="N183" s="220"/>
      <c r="O183" s="220"/>
      <c r="P183" s="220"/>
      <c r="Q183" s="220"/>
      <c r="R183" s="220"/>
      <c r="S183" s="220"/>
      <c r="T183" s="220"/>
      <c r="U183" s="220"/>
      <c r="V183" s="220"/>
      <c r="W183" s="220"/>
      <c r="X183" s="220"/>
      <c r="Y183" s="220"/>
      <c r="Z183" s="220"/>
      <c r="AA183" s="220"/>
      <c r="AB183" s="220"/>
      <c r="AC183" s="220"/>
      <c r="AD183" s="220"/>
      <c r="AE183" s="220"/>
      <c r="AF183" s="220"/>
      <c r="AG183" s="220"/>
      <c r="AH183" s="220"/>
      <c r="AI183" s="220"/>
      <c r="AJ183" s="220"/>
      <c r="AK183" s="220"/>
      <c r="AL183" s="220"/>
      <c r="AM183" s="220"/>
      <c r="AN183" s="220"/>
      <c r="AO183" s="220"/>
      <c r="AP183" s="220"/>
      <c r="AQ183" s="220"/>
      <c r="AR183" s="220"/>
      <c r="AS183" s="220"/>
      <c r="AT183" s="220"/>
      <c r="AU183" s="220"/>
      <c r="AV183" s="220"/>
      <c r="AW183" s="220"/>
      <c r="AX183" s="220"/>
      <c r="AY183" s="220"/>
      <c r="AZ183" s="220"/>
      <c r="BA183" s="220"/>
      <c r="BB183" s="220"/>
      <c r="BC183" s="220"/>
      <c r="BD183" s="220"/>
      <c r="BE183" s="220"/>
      <c r="BF183" s="220"/>
      <c r="BG183" s="220"/>
      <c r="BH183" s="220"/>
      <c r="BI183" s="220"/>
      <c r="BJ183" s="220"/>
      <c r="BK183" s="220"/>
      <c r="BL183" s="220"/>
      <c r="BM183" s="220"/>
      <c r="BN183" s="220"/>
      <c r="BO183" s="220"/>
      <c r="BP183" s="220"/>
      <c r="BQ183" s="220"/>
      <c r="BR183" s="220"/>
      <c r="BS183" s="220"/>
      <c r="BT183" s="220"/>
      <c r="BU183" s="220"/>
      <c r="BV183" s="220"/>
      <c r="BW183" s="220"/>
      <c r="BX183" s="220"/>
      <c r="BY183" s="220"/>
      <c r="BZ183" s="220"/>
      <c r="CA183" s="220"/>
      <c r="CB183" s="220"/>
      <c r="CC183" s="220"/>
      <c r="CD183" s="220"/>
      <c r="CE183" s="220"/>
      <c r="CF183" s="220"/>
      <c r="CG183" s="220"/>
      <c r="CH183" s="220"/>
      <c r="CI183" s="220"/>
      <c r="CJ183" s="220"/>
      <c r="CK183" s="220"/>
      <c r="CL183" s="220"/>
      <c r="CM183" s="220"/>
      <c r="CN183" s="220"/>
      <c r="CO183" s="220"/>
      <c r="CP183" s="220"/>
      <c r="CQ183" s="220"/>
      <c r="CR183" s="220"/>
      <c r="CS183" s="220"/>
      <c r="CT183" s="220"/>
      <c r="CU183" s="220"/>
      <c r="CV183" s="220"/>
      <c r="CW183" s="220"/>
      <c r="CX183" s="220"/>
      <c r="CY183" s="220"/>
      <c r="CZ183" s="220"/>
      <c r="DA183" s="220"/>
      <c r="DB183" s="220"/>
      <c r="DC183" s="220"/>
      <c r="DD183" s="220"/>
      <c r="DE183" s="220"/>
      <c r="DF183" s="220"/>
      <c r="DG183" s="220"/>
      <c r="DH183" s="220"/>
      <c r="DI183" s="220"/>
      <c r="DJ183" s="220"/>
      <c r="DK183" s="220"/>
      <c r="DL183" s="220"/>
      <c r="DM183" s="220"/>
      <c r="DN183" s="220"/>
      <c r="DO183" s="220"/>
      <c r="DP183" s="220"/>
      <c r="DQ183" s="220"/>
    </row>
    <row r="184" spans="14:121" x14ac:dyDescent="0.25">
      <c r="N184" s="220"/>
      <c r="O184" s="220"/>
      <c r="P184" s="220"/>
      <c r="Q184" s="220"/>
      <c r="R184" s="220"/>
      <c r="S184" s="220"/>
      <c r="T184" s="220"/>
      <c r="U184" s="220"/>
      <c r="V184" s="220"/>
      <c r="W184" s="220"/>
      <c r="X184" s="220"/>
      <c r="Y184" s="220"/>
      <c r="Z184" s="220"/>
      <c r="AA184" s="220"/>
      <c r="AB184" s="220"/>
      <c r="AC184" s="220"/>
      <c r="AD184" s="220"/>
      <c r="AE184" s="220"/>
      <c r="AF184" s="220"/>
      <c r="AG184" s="220"/>
      <c r="AH184" s="220"/>
      <c r="AI184" s="220"/>
      <c r="AJ184" s="220"/>
      <c r="AK184" s="220"/>
      <c r="AL184" s="220"/>
      <c r="AM184" s="220"/>
      <c r="AN184" s="220"/>
      <c r="AO184" s="220"/>
      <c r="AP184" s="220"/>
      <c r="AQ184" s="220"/>
      <c r="AR184" s="220"/>
      <c r="AS184" s="220"/>
      <c r="AT184" s="220"/>
      <c r="AU184" s="220"/>
      <c r="AV184" s="220"/>
      <c r="AW184" s="220"/>
      <c r="AX184" s="220"/>
      <c r="AY184" s="220"/>
      <c r="AZ184" s="220"/>
      <c r="BA184" s="220"/>
      <c r="BB184" s="220"/>
      <c r="BC184" s="220"/>
      <c r="BD184" s="220"/>
      <c r="BE184" s="220"/>
      <c r="BF184" s="220"/>
      <c r="BG184" s="220"/>
      <c r="BH184" s="220"/>
      <c r="BI184" s="220"/>
      <c r="BJ184" s="220"/>
      <c r="BK184" s="220"/>
      <c r="BL184" s="220"/>
      <c r="BM184" s="220"/>
      <c r="BN184" s="220"/>
      <c r="BO184" s="220"/>
      <c r="BP184" s="220"/>
      <c r="BQ184" s="220"/>
      <c r="BR184" s="220"/>
      <c r="BS184" s="220"/>
      <c r="BT184" s="220"/>
      <c r="BU184" s="220"/>
      <c r="BV184" s="220"/>
      <c r="BW184" s="220"/>
      <c r="BX184" s="220"/>
      <c r="BY184" s="220"/>
      <c r="BZ184" s="220"/>
      <c r="CA184" s="220"/>
      <c r="CB184" s="220"/>
      <c r="CC184" s="220"/>
      <c r="CD184" s="220"/>
      <c r="CE184" s="220"/>
      <c r="CF184" s="220"/>
      <c r="CG184" s="220"/>
      <c r="CH184" s="220"/>
      <c r="CI184" s="220"/>
      <c r="CJ184" s="220"/>
      <c r="CK184" s="220"/>
      <c r="CL184" s="220"/>
      <c r="CM184" s="220"/>
      <c r="CN184" s="220"/>
      <c r="CO184" s="220"/>
      <c r="CP184" s="220"/>
      <c r="CQ184" s="220"/>
      <c r="CR184" s="220"/>
      <c r="CS184" s="220"/>
      <c r="CT184" s="220"/>
      <c r="CU184" s="220"/>
      <c r="CV184" s="220"/>
      <c r="CW184" s="220"/>
      <c r="CX184" s="220"/>
      <c r="CY184" s="220"/>
      <c r="CZ184" s="220"/>
      <c r="DA184" s="220"/>
      <c r="DB184" s="220"/>
      <c r="DC184" s="220"/>
      <c r="DD184" s="220"/>
      <c r="DE184" s="220"/>
      <c r="DF184" s="220"/>
      <c r="DG184" s="220"/>
      <c r="DH184" s="220"/>
      <c r="DI184" s="220"/>
      <c r="DJ184" s="220"/>
      <c r="DK184" s="220"/>
      <c r="DL184" s="220"/>
      <c r="DM184" s="220"/>
      <c r="DN184" s="220"/>
      <c r="DO184" s="220"/>
      <c r="DP184" s="220"/>
      <c r="DQ184" s="220"/>
    </row>
    <row r="185" spans="14:121" x14ac:dyDescent="0.25">
      <c r="N185" s="220"/>
      <c r="O185" s="220"/>
      <c r="P185" s="220"/>
      <c r="Q185" s="220"/>
      <c r="R185" s="220"/>
      <c r="S185" s="220"/>
      <c r="T185" s="220"/>
      <c r="U185" s="220"/>
      <c r="V185" s="220"/>
      <c r="W185" s="220"/>
      <c r="X185" s="220"/>
      <c r="Y185" s="220"/>
      <c r="Z185" s="220"/>
      <c r="AA185" s="220"/>
      <c r="AB185" s="220"/>
      <c r="AC185" s="220"/>
      <c r="AD185" s="220"/>
      <c r="AE185" s="220"/>
      <c r="AF185" s="220"/>
      <c r="AG185" s="220"/>
      <c r="AH185" s="220"/>
      <c r="AI185" s="220"/>
      <c r="AJ185" s="220"/>
      <c r="AK185" s="220"/>
      <c r="AL185" s="220"/>
      <c r="AM185" s="220"/>
      <c r="AN185" s="220"/>
      <c r="AO185" s="220"/>
      <c r="AP185" s="220"/>
      <c r="AQ185" s="220"/>
      <c r="AR185" s="220"/>
      <c r="AS185" s="220"/>
      <c r="AT185" s="220"/>
      <c r="AU185" s="220"/>
      <c r="AV185" s="220"/>
      <c r="AW185" s="220"/>
      <c r="AX185" s="220"/>
      <c r="AY185" s="220"/>
      <c r="AZ185" s="220"/>
      <c r="BA185" s="220"/>
      <c r="BB185" s="220"/>
      <c r="BC185" s="220"/>
      <c r="BD185" s="220"/>
      <c r="BE185" s="220"/>
      <c r="BF185" s="220"/>
      <c r="BG185" s="220"/>
      <c r="BH185" s="220"/>
      <c r="BI185" s="220"/>
      <c r="BJ185" s="220"/>
      <c r="BK185" s="220"/>
      <c r="BL185" s="220"/>
      <c r="BM185" s="220"/>
      <c r="BN185" s="220"/>
      <c r="BO185" s="220"/>
      <c r="BP185" s="220"/>
      <c r="BQ185" s="220"/>
      <c r="BR185" s="220"/>
      <c r="BS185" s="220"/>
      <c r="BT185" s="220"/>
      <c r="BU185" s="220"/>
      <c r="BV185" s="220"/>
      <c r="BW185" s="220"/>
      <c r="BX185" s="220"/>
      <c r="BY185" s="220"/>
      <c r="BZ185" s="220"/>
      <c r="CA185" s="220"/>
      <c r="CB185" s="220"/>
      <c r="CC185" s="220"/>
      <c r="CD185" s="220"/>
      <c r="CE185" s="220"/>
      <c r="CF185" s="220"/>
      <c r="CG185" s="220"/>
      <c r="CH185" s="220"/>
      <c r="CI185" s="220"/>
      <c r="CJ185" s="220"/>
      <c r="CK185" s="220"/>
      <c r="CL185" s="220"/>
      <c r="CM185" s="220"/>
      <c r="CN185" s="220"/>
      <c r="CO185" s="220"/>
      <c r="CP185" s="220"/>
      <c r="CQ185" s="220"/>
      <c r="CR185" s="220"/>
      <c r="CS185" s="220"/>
      <c r="CT185" s="220"/>
      <c r="CU185" s="220"/>
      <c r="CV185" s="220"/>
      <c r="CW185" s="220"/>
      <c r="CX185" s="220"/>
      <c r="CY185" s="220"/>
      <c r="CZ185" s="220"/>
      <c r="DA185" s="220"/>
      <c r="DB185" s="220"/>
      <c r="DC185" s="220"/>
      <c r="DD185" s="220"/>
      <c r="DE185" s="220"/>
      <c r="DF185" s="220"/>
      <c r="DG185" s="220"/>
      <c r="DH185" s="220"/>
      <c r="DI185" s="220"/>
      <c r="DJ185" s="220"/>
      <c r="DK185" s="220"/>
      <c r="DL185" s="220"/>
      <c r="DM185" s="220"/>
      <c r="DN185" s="220"/>
      <c r="DO185" s="220"/>
      <c r="DP185" s="220"/>
      <c r="DQ185" s="220"/>
    </row>
    <row r="186" spans="14:121" x14ac:dyDescent="0.25">
      <c r="N186" s="220"/>
      <c r="O186" s="220"/>
      <c r="P186" s="220"/>
      <c r="Q186" s="220"/>
      <c r="R186" s="220"/>
      <c r="S186" s="220"/>
      <c r="T186" s="220"/>
      <c r="U186" s="220"/>
      <c r="V186" s="220"/>
      <c r="W186" s="220"/>
      <c r="X186" s="220"/>
      <c r="Y186" s="220"/>
      <c r="Z186" s="220"/>
      <c r="AA186" s="220"/>
      <c r="AB186" s="220"/>
      <c r="AC186" s="220"/>
      <c r="AD186" s="220"/>
      <c r="AE186" s="220"/>
      <c r="AF186" s="220"/>
      <c r="AG186" s="220"/>
      <c r="AH186" s="220"/>
      <c r="AI186" s="220"/>
      <c r="AJ186" s="220"/>
      <c r="AK186" s="220"/>
      <c r="AL186" s="220"/>
      <c r="AM186" s="220"/>
      <c r="AN186" s="220"/>
      <c r="AO186" s="220"/>
      <c r="AP186" s="220"/>
      <c r="AQ186" s="220"/>
      <c r="AR186" s="220"/>
      <c r="AS186" s="220"/>
      <c r="AT186" s="220"/>
      <c r="AU186" s="220"/>
      <c r="AV186" s="220"/>
      <c r="AW186" s="220"/>
      <c r="AX186" s="220"/>
      <c r="AY186" s="220"/>
      <c r="AZ186" s="220"/>
      <c r="BA186" s="220"/>
      <c r="BB186" s="220"/>
      <c r="BC186" s="220"/>
      <c r="BD186" s="220"/>
      <c r="BE186" s="220"/>
      <c r="BF186" s="220"/>
      <c r="BG186" s="220"/>
      <c r="BH186" s="220"/>
      <c r="BI186" s="220"/>
      <c r="BJ186" s="220"/>
      <c r="BK186" s="220"/>
      <c r="BL186" s="220"/>
      <c r="BM186" s="220"/>
      <c r="BN186" s="220"/>
      <c r="BO186" s="220"/>
      <c r="BP186" s="220"/>
      <c r="BQ186" s="220"/>
      <c r="BR186" s="220"/>
      <c r="BS186" s="220"/>
      <c r="BT186" s="220"/>
      <c r="BU186" s="220"/>
      <c r="BV186" s="220"/>
      <c r="BW186" s="220"/>
      <c r="BX186" s="220"/>
      <c r="BY186" s="220"/>
      <c r="BZ186" s="220"/>
      <c r="CA186" s="220"/>
      <c r="CB186" s="220"/>
      <c r="CC186" s="220"/>
      <c r="CD186" s="220"/>
      <c r="CE186" s="220"/>
      <c r="CF186" s="220"/>
      <c r="CG186" s="220"/>
      <c r="CH186" s="220"/>
      <c r="CI186" s="220"/>
      <c r="CJ186" s="220"/>
      <c r="CK186" s="220"/>
      <c r="CL186" s="220"/>
      <c r="CM186" s="220"/>
      <c r="CN186" s="220"/>
      <c r="CO186" s="220"/>
      <c r="CP186" s="220"/>
      <c r="CQ186" s="220"/>
      <c r="CR186" s="220"/>
      <c r="CS186" s="220"/>
      <c r="CT186" s="220"/>
      <c r="CU186" s="220"/>
      <c r="CV186" s="220"/>
      <c r="CW186" s="220"/>
      <c r="CX186" s="220"/>
      <c r="CY186" s="220"/>
      <c r="CZ186" s="220"/>
      <c r="DA186" s="220"/>
      <c r="DB186" s="220"/>
      <c r="DC186" s="220"/>
      <c r="DD186" s="220"/>
      <c r="DE186" s="220"/>
      <c r="DF186" s="220"/>
      <c r="DG186" s="220"/>
      <c r="DH186" s="220"/>
      <c r="DI186" s="220"/>
      <c r="DJ186" s="220"/>
      <c r="DK186" s="220"/>
      <c r="DL186" s="220"/>
      <c r="DM186" s="220"/>
      <c r="DN186" s="220"/>
      <c r="DO186" s="220"/>
      <c r="DP186" s="220"/>
      <c r="DQ186" s="220"/>
    </row>
    <row r="187" spans="14:121" x14ac:dyDescent="0.25">
      <c r="N187" s="220"/>
      <c r="O187" s="220"/>
      <c r="P187" s="220"/>
      <c r="Q187" s="220"/>
      <c r="R187" s="220"/>
      <c r="S187" s="220"/>
      <c r="T187" s="220"/>
      <c r="U187" s="220"/>
      <c r="V187" s="220"/>
      <c r="W187" s="220"/>
      <c r="X187" s="220"/>
      <c r="Y187" s="220"/>
      <c r="Z187" s="220"/>
      <c r="AA187" s="220"/>
      <c r="AB187" s="220"/>
      <c r="AC187" s="220"/>
      <c r="AD187" s="220"/>
      <c r="AE187" s="220"/>
      <c r="AF187" s="220"/>
      <c r="AG187" s="220"/>
      <c r="AH187" s="220"/>
      <c r="AI187" s="220"/>
      <c r="AJ187" s="220"/>
      <c r="AK187" s="220"/>
      <c r="AL187" s="220"/>
      <c r="AM187" s="220"/>
      <c r="AN187" s="220"/>
      <c r="AO187" s="220"/>
      <c r="AP187" s="220"/>
      <c r="AQ187" s="220"/>
      <c r="AR187" s="220"/>
      <c r="AS187" s="220"/>
      <c r="AT187" s="220"/>
      <c r="AU187" s="220"/>
      <c r="AV187" s="220"/>
      <c r="AW187" s="220"/>
      <c r="AX187" s="220"/>
      <c r="AY187" s="220"/>
      <c r="AZ187" s="220"/>
      <c r="BA187" s="220"/>
      <c r="BB187" s="220"/>
      <c r="BC187" s="220"/>
      <c r="BD187" s="220"/>
      <c r="BE187" s="220"/>
      <c r="BF187" s="220"/>
      <c r="BG187" s="220"/>
      <c r="BH187" s="220"/>
      <c r="BI187" s="220"/>
      <c r="BJ187" s="220"/>
      <c r="BK187" s="220"/>
      <c r="BL187" s="220"/>
      <c r="BM187" s="220"/>
      <c r="BN187" s="220"/>
      <c r="BO187" s="220"/>
      <c r="BP187" s="220"/>
      <c r="BQ187" s="220"/>
      <c r="BR187" s="220"/>
      <c r="BS187" s="220"/>
      <c r="BT187" s="220"/>
      <c r="BU187" s="220"/>
      <c r="BV187" s="220"/>
      <c r="BW187" s="220"/>
      <c r="BX187" s="220"/>
      <c r="BY187" s="220"/>
      <c r="BZ187" s="220"/>
      <c r="CA187" s="220"/>
      <c r="CB187" s="220"/>
      <c r="CC187" s="220"/>
      <c r="CD187" s="220"/>
      <c r="CE187" s="220"/>
      <c r="CF187" s="220"/>
      <c r="CG187" s="220"/>
      <c r="CH187" s="220"/>
      <c r="CI187" s="220"/>
      <c r="CJ187" s="220"/>
      <c r="CK187" s="220"/>
      <c r="CL187" s="220"/>
      <c r="CM187" s="220"/>
      <c r="CN187" s="220"/>
      <c r="CO187" s="220"/>
      <c r="CP187" s="220"/>
      <c r="CQ187" s="220"/>
      <c r="CR187" s="220"/>
      <c r="CS187" s="220"/>
      <c r="CT187" s="220"/>
      <c r="CU187" s="220"/>
      <c r="CV187" s="220"/>
      <c r="CW187" s="220"/>
      <c r="CX187" s="220"/>
      <c r="CY187" s="220"/>
      <c r="CZ187" s="220"/>
      <c r="DA187" s="220"/>
      <c r="DB187" s="220"/>
      <c r="DC187" s="220"/>
      <c r="DD187" s="220"/>
      <c r="DE187" s="220"/>
      <c r="DF187" s="220"/>
      <c r="DG187" s="220"/>
      <c r="DH187" s="220"/>
      <c r="DI187" s="220"/>
      <c r="DJ187" s="220"/>
      <c r="DK187" s="220"/>
      <c r="DL187" s="220"/>
      <c r="DM187" s="220"/>
      <c r="DN187" s="220"/>
      <c r="DO187" s="220"/>
      <c r="DP187" s="220"/>
      <c r="DQ187" s="220"/>
    </row>
    <row r="188" spans="14:121" x14ac:dyDescent="0.25">
      <c r="N188" s="220"/>
      <c r="O188" s="220"/>
      <c r="P188" s="220"/>
      <c r="Q188" s="220"/>
      <c r="R188" s="220"/>
      <c r="S188" s="220"/>
      <c r="T188" s="220"/>
      <c r="U188" s="220"/>
      <c r="V188" s="220"/>
      <c r="W188" s="220"/>
      <c r="X188" s="220"/>
      <c r="Y188" s="220"/>
      <c r="Z188" s="220"/>
      <c r="AA188" s="220"/>
      <c r="AB188" s="220"/>
      <c r="AC188" s="220"/>
      <c r="AD188" s="220"/>
      <c r="AE188" s="220"/>
      <c r="AF188" s="220"/>
      <c r="AG188" s="220"/>
      <c r="AH188" s="220"/>
      <c r="AI188" s="220"/>
      <c r="AJ188" s="220"/>
      <c r="AK188" s="220"/>
      <c r="AL188" s="220"/>
      <c r="AM188" s="220"/>
      <c r="AN188" s="220"/>
      <c r="AO188" s="220"/>
      <c r="AP188" s="220"/>
      <c r="AQ188" s="220"/>
      <c r="AR188" s="220"/>
      <c r="AS188" s="220"/>
      <c r="AT188" s="220"/>
      <c r="AU188" s="220"/>
      <c r="AV188" s="220"/>
      <c r="AW188" s="220"/>
      <c r="AX188" s="220"/>
      <c r="AY188" s="220"/>
      <c r="AZ188" s="220"/>
      <c r="BA188" s="220"/>
      <c r="BB188" s="220"/>
      <c r="BC188" s="220"/>
      <c r="BD188" s="220"/>
      <c r="BE188" s="220"/>
      <c r="BF188" s="220"/>
      <c r="BG188" s="220"/>
      <c r="BH188" s="220"/>
      <c r="BI188" s="220"/>
      <c r="BJ188" s="220"/>
      <c r="BK188" s="220"/>
      <c r="BL188" s="220"/>
      <c r="BM188" s="220"/>
      <c r="BN188" s="220"/>
      <c r="BO188" s="220"/>
      <c r="BP188" s="220"/>
      <c r="BQ188" s="220"/>
      <c r="BR188" s="220"/>
      <c r="BS188" s="220"/>
      <c r="BT188" s="220"/>
      <c r="BU188" s="220"/>
      <c r="BV188" s="220"/>
      <c r="BW188" s="220"/>
      <c r="BX188" s="220"/>
      <c r="BY188" s="220"/>
      <c r="BZ188" s="220"/>
      <c r="CA188" s="220"/>
      <c r="CB188" s="220"/>
      <c r="CC188" s="220"/>
      <c r="CD188" s="220"/>
      <c r="CE188" s="220"/>
      <c r="CF188" s="220"/>
      <c r="CG188" s="220"/>
      <c r="CH188" s="220"/>
      <c r="CI188" s="220"/>
      <c r="CJ188" s="220"/>
      <c r="CK188" s="220"/>
      <c r="CL188" s="220"/>
      <c r="CM188" s="220"/>
      <c r="CN188" s="220"/>
      <c r="CO188" s="220"/>
      <c r="CP188" s="220"/>
      <c r="CQ188" s="220"/>
      <c r="CR188" s="220"/>
      <c r="CS188" s="220"/>
      <c r="CT188" s="220"/>
      <c r="CU188" s="220"/>
      <c r="CV188" s="220"/>
      <c r="CW188" s="220"/>
      <c r="CX188" s="220"/>
      <c r="CY188" s="220"/>
      <c r="CZ188" s="220"/>
      <c r="DA188" s="220"/>
      <c r="DB188" s="220"/>
      <c r="DC188" s="220"/>
      <c r="DD188" s="220"/>
      <c r="DE188" s="220"/>
      <c r="DF188" s="220"/>
      <c r="DG188" s="220"/>
      <c r="DH188" s="220"/>
      <c r="DI188" s="220"/>
      <c r="DJ188" s="220"/>
      <c r="DK188" s="220"/>
      <c r="DL188" s="220"/>
      <c r="DM188" s="220"/>
      <c r="DN188" s="220"/>
      <c r="DO188" s="220"/>
      <c r="DP188" s="220"/>
      <c r="DQ188" s="220"/>
    </row>
    <row r="189" spans="14:121" x14ac:dyDescent="0.25">
      <c r="N189" s="220"/>
      <c r="O189" s="220"/>
      <c r="P189" s="220"/>
      <c r="Q189" s="220"/>
      <c r="R189" s="220"/>
      <c r="S189" s="220"/>
      <c r="T189" s="220"/>
      <c r="U189" s="220"/>
      <c r="V189" s="220"/>
      <c r="W189" s="220"/>
      <c r="X189" s="220"/>
      <c r="Y189" s="220"/>
      <c r="Z189" s="220"/>
      <c r="AA189" s="220"/>
      <c r="AB189" s="220"/>
      <c r="AC189" s="220"/>
      <c r="AD189" s="220"/>
      <c r="AE189" s="220"/>
      <c r="AF189" s="220"/>
      <c r="AG189" s="220"/>
      <c r="AH189" s="220"/>
      <c r="AI189" s="220"/>
      <c r="AJ189" s="220"/>
      <c r="AK189" s="220"/>
      <c r="AL189" s="220"/>
      <c r="AM189" s="220"/>
      <c r="AN189" s="220"/>
      <c r="AO189" s="220"/>
      <c r="AP189" s="220"/>
      <c r="AQ189" s="220"/>
      <c r="AR189" s="220"/>
      <c r="AS189" s="220"/>
      <c r="AT189" s="220"/>
      <c r="AU189" s="220"/>
      <c r="AV189" s="220"/>
      <c r="AW189" s="220"/>
      <c r="AX189" s="220"/>
      <c r="AY189" s="220"/>
      <c r="AZ189" s="220"/>
      <c r="BA189" s="220"/>
      <c r="BB189" s="220"/>
      <c r="BC189" s="220"/>
      <c r="BD189" s="220"/>
      <c r="BE189" s="220"/>
      <c r="BF189" s="220"/>
      <c r="BG189" s="220"/>
      <c r="BH189" s="220"/>
      <c r="BI189" s="220"/>
      <c r="BJ189" s="220"/>
      <c r="BK189" s="220"/>
      <c r="BL189" s="220"/>
      <c r="BM189" s="220"/>
      <c r="BN189" s="220"/>
      <c r="BO189" s="220"/>
      <c r="BP189" s="220"/>
      <c r="BQ189" s="220"/>
      <c r="BR189" s="220"/>
      <c r="BS189" s="220"/>
      <c r="BT189" s="220"/>
      <c r="BU189" s="220"/>
      <c r="BV189" s="220"/>
      <c r="BW189" s="220"/>
      <c r="BX189" s="220"/>
      <c r="BY189" s="220"/>
      <c r="BZ189" s="220"/>
      <c r="CA189" s="220"/>
      <c r="CB189" s="220"/>
      <c r="CC189" s="220"/>
      <c r="CD189" s="220"/>
      <c r="CE189" s="220"/>
      <c r="CF189" s="220"/>
      <c r="CG189" s="220"/>
      <c r="CH189" s="220"/>
      <c r="CI189" s="220"/>
      <c r="CJ189" s="220"/>
      <c r="CK189" s="220"/>
      <c r="CL189" s="220"/>
      <c r="CM189" s="220"/>
      <c r="CN189" s="220"/>
      <c r="CO189" s="220"/>
      <c r="CP189" s="220"/>
      <c r="CQ189" s="220"/>
      <c r="CR189" s="220"/>
      <c r="CS189" s="220"/>
      <c r="CT189" s="220"/>
      <c r="CU189" s="220"/>
      <c r="CV189" s="220"/>
      <c r="CW189" s="220"/>
      <c r="CX189" s="220"/>
      <c r="CY189" s="220"/>
      <c r="CZ189" s="220"/>
      <c r="DA189" s="220"/>
      <c r="DB189" s="220"/>
      <c r="DC189" s="220"/>
      <c r="DD189" s="220"/>
      <c r="DE189" s="220"/>
      <c r="DF189" s="220"/>
      <c r="DG189" s="220"/>
      <c r="DH189" s="220"/>
      <c r="DI189" s="220"/>
      <c r="DJ189" s="220"/>
      <c r="DK189" s="220"/>
      <c r="DL189" s="220"/>
      <c r="DM189" s="220"/>
      <c r="DN189" s="220"/>
      <c r="DO189" s="220"/>
      <c r="DP189" s="220"/>
      <c r="DQ189" s="220"/>
    </row>
    <row r="190" spans="14:121" x14ac:dyDescent="0.25">
      <c r="N190" s="220"/>
      <c r="O190" s="220"/>
      <c r="P190" s="220"/>
      <c r="Q190" s="220"/>
      <c r="R190" s="220"/>
      <c r="S190" s="220"/>
      <c r="T190" s="220"/>
      <c r="U190" s="220"/>
      <c r="V190" s="220"/>
      <c r="W190" s="220"/>
      <c r="X190" s="220"/>
      <c r="Y190" s="220"/>
      <c r="Z190" s="220"/>
      <c r="AA190" s="220"/>
      <c r="AB190" s="220"/>
      <c r="AC190" s="220"/>
      <c r="AD190" s="220"/>
      <c r="AE190" s="220"/>
      <c r="AF190" s="220"/>
      <c r="AG190" s="220"/>
      <c r="AH190" s="220"/>
      <c r="AI190" s="220"/>
      <c r="AJ190" s="220"/>
      <c r="AK190" s="220"/>
      <c r="AL190" s="220"/>
      <c r="AM190" s="220"/>
      <c r="AN190" s="220"/>
      <c r="AO190" s="220"/>
      <c r="AP190" s="220"/>
      <c r="AQ190" s="220"/>
      <c r="AR190" s="220"/>
      <c r="AS190" s="220"/>
      <c r="AT190" s="220"/>
      <c r="AU190" s="220"/>
      <c r="AV190" s="220"/>
      <c r="AW190" s="220"/>
      <c r="AX190" s="220"/>
      <c r="AY190" s="220"/>
      <c r="AZ190" s="220"/>
      <c r="BA190" s="220"/>
      <c r="BB190" s="220"/>
      <c r="BC190" s="220"/>
      <c r="BD190" s="220"/>
      <c r="BE190" s="220"/>
      <c r="BF190" s="220"/>
      <c r="BG190" s="220"/>
      <c r="BH190" s="220"/>
      <c r="BI190" s="220"/>
      <c r="BJ190" s="220"/>
      <c r="BK190" s="220"/>
      <c r="BL190" s="220"/>
      <c r="BM190" s="220"/>
      <c r="BN190" s="220"/>
      <c r="BO190" s="220"/>
      <c r="BP190" s="220"/>
      <c r="BQ190" s="220"/>
      <c r="BR190" s="220"/>
      <c r="BS190" s="220"/>
      <c r="BT190" s="220"/>
      <c r="BU190" s="220"/>
      <c r="BV190" s="220"/>
      <c r="BW190" s="220"/>
      <c r="BX190" s="220"/>
      <c r="BY190" s="220"/>
      <c r="BZ190" s="220"/>
      <c r="CA190" s="220"/>
      <c r="CB190" s="220"/>
      <c r="CC190" s="220"/>
      <c r="CD190" s="220"/>
      <c r="CE190" s="220"/>
      <c r="CF190" s="220"/>
      <c r="CG190" s="220"/>
      <c r="CH190" s="220"/>
      <c r="CI190" s="220"/>
      <c r="CJ190" s="220"/>
      <c r="CK190" s="220"/>
      <c r="CL190" s="220"/>
      <c r="CM190" s="220"/>
      <c r="CN190" s="220"/>
      <c r="CO190" s="220"/>
      <c r="CP190" s="220"/>
      <c r="CQ190" s="220"/>
      <c r="CR190" s="220"/>
      <c r="CS190" s="220"/>
      <c r="CT190" s="220"/>
      <c r="CU190" s="220"/>
      <c r="CV190" s="220"/>
      <c r="CW190" s="220"/>
      <c r="CX190" s="220"/>
      <c r="CY190" s="220"/>
      <c r="CZ190" s="220"/>
      <c r="DA190" s="220"/>
      <c r="DB190" s="220"/>
      <c r="DC190" s="220"/>
      <c r="DD190" s="220"/>
      <c r="DE190" s="220"/>
      <c r="DF190" s="220"/>
      <c r="DG190" s="220"/>
      <c r="DH190" s="220"/>
      <c r="DI190" s="220"/>
      <c r="DJ190" s="220"/>
      <c r="DK190" s="220"/>
      <c r="DL190" s="220"/>
      <c r="DM190" s="220"/>
      <c r="DN190" s="220"/>
      <c r="DO190" s="220"/>
      <c r="DP190" s="220"/>
      <c r="DQ190" s="220"/>
    </row>
    <row r="191" spans="14:121" x14ac:dyDescent="0.25">
      <c r="N191" s="220"/>
      <c r="O191" s="220"/>
      <c r="P191" s="220"/>
      <c r="Q191" s="220"/>
      <c r="R191" s="220"/>
      <c r="S191" s="220"/>
      <c r="T191" s="220"/>
      <c r="U191" s="220"/>
      <c r="V191" s="220"/>
      <c r="W191" s="220"/>
      <c r="X191" s="220"/>
      <c r="Y191" s="220"/>
      <c r="Z191" s="220"/>
      <c r="AA191" s="220"/>
      <c r="AB191" s="220"/>
      <c r="AC191" s="220"/>
      <c r="AD191" s="220"/>
      <c r="AE191" s="220"/>
      <c r="AF191" s="220"/>
      <c r="AG191" s="220"/>
      <c r="AH191" s="220"/>
      <c r="AI191" s="220"/>
      <c r="AJ191" s="220"/>
      <c r="AK191" s="220"/>
      <c r="AL191" s="220"/>
      <c r="AM191" s="220"/>
      <c r="AN191" s="220"/>
      <c r="AO191" s="220"/>
      <c r="AP191" s="220"/>
      <c r="AQ191" s="220"/>
      <c r="AR191" s="220"/>
      <c r="AS191" s="220"/>
      <c r="AT191" s="220"/>
      <c r="AU191" s="220"/>
      <c r="AV191" s="220"/>
      <c r="AW191" s="220"/>
      <c r="AX191" s="220"/>
      <c r="AY191" s="220"/>
      <c r="AZ191" s="220"/>
      <c r="BA191" s="220"/>
      <c r="BB191" s="220"/>
      <c r="BC191" s="220"/>
      <c r="BD191" s="220"/>
      <c r="BE191" s="220"/>
      <c r="BF191" s="220"/>
      <c r="BG191" s="220"/>
      <c r="BH191" s="220"/>
      <c r="BI191" s="220"/>
      <c r="BJ191" s="220"/>
      <c r="BK191" s="220"/>
      <c r="BL191" s="220"/>
      <c r="BM191" s="220"/>
      <c r="BN191" s="220"/>
      <c r="BO191" s="220"/>
      <c r="BP191" s="220"/>
      <c r="BQ191" s="220"/>
      <c r="BR191" s="220"/>
      <c r="BS191" s="220"/>
      <c r="BT191" s="220"/>
      <c r="BU191" s="220"/>
      <c r="BV191" s="220"/>
      <c r="BW191" s="220"/>
      <c r="BX191" s="220"/>
      <c r="BY191" s="220"/>
      <c r="BZ191" s="220"/>
      <c r="CA191" s="220"/>
      <c r="CB191" s="220"/>
      <c r="CC191" s="220"/>
      <c r="CD191" s="220"/>
      <c r="CE191" s="220"/>
      <c r="CF191" s="220"/>
      <c r="CG191" s="220"/>
      <c r="CH191" s="220"/>
      <c r="CI191" s="220"/>
      <c r="CJ191" s="220"/>
      <c r="CK191" s="220"/>
      <c r="CL191" s="220"/>
      <c r="CM191" s="220"/>
      <c r="CN191" s="220"/>
      <c r="CO191" s="220"/>
      <c r="CP191" s="220"/>
      <c r="CQ191" s="220"/>
      <c r="CR191" s="220"/>
      <c r="CS191" s="220"/>
      <c r="CT191" s="220"/>
      <c r="CU191" s="220"/>
      <c r="CV191" s="220"/>
      <c r="CW191" s="220"/>
      <c r="CX191" s="220"/>
      <c r="CY191" s="220"/>
      <c r="CZ191" s="220"/>
      <c r="DA191" s="220"/>
      <c r="DB191" s="220"/>
      <c r="DC191" s="220"/>
      <c r="DD191" s="220"/>
      <c r="DE191" s="220"/>
      <c r="DF191" s="220"/>
      <c r="DG191" s="220"/>
      <c r="DH191" s="220"/>
      <c r="DI191" s="220"/>
      <c r="DJ191" s="220"/>
      <c r="DK191" s="220"/>
      <c r="DL191" s="220"/>
      <c r="DM191" s="220"/>
      <c r="DN191" s="220"/>
      <c r="DO191" s="220"/>
      <c r="DP191" s="220"/>
      <c r="DQ191" s="220"/>
    </row>
    <row r="192" spans="14:121" x14ac:dyDescent="0.25">
      <c r="N192" s="220"/>
      <c r="O192" s="220"/>
      <c r="P192" s="220"/>
      <c r="Q192" s="220"/>
      <c r="R192" s="220"/>
      <c r="S192" s="220"/>
      <c r="T192" s="220"/>
      <c r="U192" s="220"/>
      <c r="V192" s="220"/>
      <c r="W192" s="220"/>
      <c r="X192" s="220"/>
      <c r="Y192" s="220"/>
      <c r="Z192" s="220"/>
      <c r="AA192" s="220"/>
      <c r="AB192" s="220"/>
      <c r="AC192" s="220"/>
      <c r="AD192" s="220"/>
      <c r="AE192" s="220"/>
      <c r="AF192" s="220"/>
      <c r="AG192" s="220"/>
      <c r="AH192" s="220"/>
      <c r="AI192" s="220"/>
      <c r="AJ192" s="220"/>
      <c r="AK192" s="220"/>
      <c r="AL192" s="220"/>
      <c r="AM192" s="220"/>
      <c r="AN192" s="220"/>
      <c r="AO192" s="220"/>
      <c r="AP192" s="220"/>
      <c r="AQ192" s="220"/>
      <c r="AR192" s="220"/>
      <c r="AS192" s="220"/>
      <c r="AT192" s="220"/>
      <c r="AU192" s="220"/>
      <c r="AV192" s="220"/>
      <c r="AW192" s="220"/>
      <c r="AX192" s="220"/>
      <c r="AY192" s="220"/>
      <c r="AZ192" s="220"/>
      <c r="BA192" s="220"/>
      <c r="BB192" s="220"/>
      <c r="BC192" s="220"/>
      <c r="BD192" s="220"/>
      <c r="BE192" s="220"/>
      <c r="BF192" s="220"/>
      <c r="BG192" s="220"/>
      <c r="BH192" s="220"/>
      <c r="BI192" s="220"/>
      <c r="BJ192" s="220"/>
      <c r="BK192" s="220"/>
      <c r="BL192" s="220"/>
      <c r="BM192" s="220"/>
      <c r="BN192" s="220"/>
      <c r="BO192" s="220"/>
      <c r="BP192" s="220"/>
      <c r="BQ192" s="220"/>
      <c r="BR192" s="220"/>
      <c r="BS192" s="220"/>
      <c r="BT192" s="220"/>
      <c r="BU192" s="220"/>
      <c r="BV192" s="220"/>
      <c r="BW192" s="220"/>
      <c r="BX192" s="220"/>
      <c r="BY192" s="220"/>
      <c r="BZ192" s="220"/>
      <c r="CA192" s="220"/>
      <c r="CB192" s="220"/>
      <c r="CC192" s="220"/>
      <c r="CD192" s="220"/>
      <c r="CE192" s="220"/>
      <c r="CF192" s="220"/>
      <c r="CG192" s="220"/>
      <c r="CH192" s="220"/>
      <c r="CI192" s="220"/>
      <c r="CJ192" s="220"/>
      <c r="CK192" s="220"/>
      <c r="CL192" s="220"/>
      <c r="CM192" s="220"/>
      <c r="CN192" s="220"/>
      <c r="CO192" s="220"/>
      <c r="CP192" s="220"/>
      <c r="CQ192" s="220"/>
      <c r="CR192" s="220"/>
      <c r="CS192" s="220"/>
      <c r="CT192" s="220"/>
      <c r="CU192" s="220"/>
      <c r="CV192" s="220"/>
      <c r="CW192" s="220"/>
      <c r="CX192" s="220"/>
      <c r="CY192" s="220"/>
      <c r="CZ192" s="220"/>
      <c r="DA192" s="220"/>
      <c r="DB192" s="220"/>
      <c r="DC192" s="220"/>
      <c r="DD192" s="220"/>
      <c r="DE192" s="220"/>
      <c r="DF192" s="220"/>
      <c r="DG192" s="220"/>
      <c r="DH192" s="220"/>
      <c r="DI192" s="220"/>
      <c r="DJ192" s="220"/>
      <c r="DK192" s="220"/>
      <c r="DL192" s="220"/>
      <c r="DM192" s="220"/>
      <c r="DN192" s="220"/>
      <c r="DO192" s="220"/>
      <c r="DP192" s="220"/>
      <c r="DQ192" s="220"/>
    </row>
    <row r="193" spans="14:121" x14ac:dyDescent="0.25">
      <c r="N193" s="220"/>
      <c r="O193" s="220"/>
      <c r="P193" s="220"/>
      <c r="Q193" s="220"/>
      <c r="R193" s="220"/>
      <c r="S193" s="220"/>
      <c r="T193" s="220"/>
      <c r="U193" s="220"/>
      <c r="V193" s="220"/>
      <c r="W193" s="220"/>
      <c r="X193" s="220"/>
      <c r="Y193" s="220"/>
      <c r="Z193" s="220"/>
      <c r="AA193" s="220"/>
      <c r="AB193" s="220"/>
      <c r="AC193" s="220"/>
      <c r="AD193" s="220"/>
      <c r="AE193" s="220"/>
      <c r="AF193" s="220"/>
      <c r="AG193" s="220"/>
      <c r="AH193" s="220"/>
      <c r="AI193" s="220"/>
      <c r="AJ193" s="220"/>
      <c r="AK193" s="220"/>
      <c r="AL193" s="220"/>
      <c r="AM193" s="220"/>
      <c r="AN193" s="220"/>
      <c r="AO193" s="220"/>
      <c r="AP193" s="220"/>
      <c r="AQ193" s="220"/>
      <c r="AR193" s="220"/>
      <c r="AS193" s="220"/>
      <c r="AT193" s="220"/>
      <c r="AU193" s="220"/>
      <c r="AV193" s="220"/>
      <c r="AW193" s="220"/>
      <c r="AX193" s="220"/>
      <c r="AY193" s="220"/>
      <c r="AZ193" s="220"/>
      <c r="BA193" s="220"/>
      <c r="BB193" s="220"/>
      <c r="BC193" s="220"/>
      <c r="BD193" s="220"/>
      <c r="BE193" s="220"/>
      <c r="BF193" s="220"/>
      <c r="BG193" s="220"/>
      <c r="BH193" s="220"/>
      <c r="BI193" s="220"/>
      <c r="BJ193" s="220"/>
      <c r="BK193" s="220"/>
      <c r="BL193" s="220"/>
      <c r="BM193" s="220"/>
      <c r="BN193" s="220"/>
      <c r="BO193" s="220"/>
      <c r="BP193" s="220"/>
      <c r="BQ193" s="220"/>
      <c r="BR193" s="220"/>
      <c r="BS193" s="220"/>
      <c r="BT193" s="220"/>
      <c r="BU193" s="220"/>
      <c r="BV193" s="220"/>
      <c r="BW193" s="220"/>
      <c r="BX193" s="220"/>
      <c r="BY193" s="220"/>
      <c r="BZ193" s="220"/>
      <c r="CA193" s="220"/>
      <c r="CB193" s="220"/>
      <c r="CC193" s="220"/>
      <c r="CD193" s="220"/>
      <c r="CE193" s="220"/>
      <c r="CF193" s="220"/>
      <c r="CG193" s="220"/>
      <c r="CH193" s="220"/>
      <c r="CI193" s="220"/>
      <c r="CJ193" s="220"/>
      <c r="CK193" s="220"/>
      <c r="CL193" s="220"/>
      <c r="CM193" s="220"/>
      <c r="CN193" s="220"/>
      <c r="CO193" s="220"/>
      <c r="CP193" s="220"/>
      <c r="CQ193" s="220"/>
      <c r="CR193" s="220"/>
      <c r="CS193" s="220"/>
      <c r="CT193" s="220"/>
      <c r="CU193" s="220"/>
      <c r="CV193" s="220"/>
      <c r="CW193" s="220"/>
      <c r="CX193" s="220"/>
      <c r="CY193" s="220"/>
      <c r="CZ193" s="220"/>
      <c r="DA193" s="220"/>
      <c r="DB193" s="220"/>
      <c r="DC193" s="220"/>
      <c r="DD193" s="220"/>
      <c r="DE193" s="220"/>
      <c r="DF193" s="220"/>
      <c r="DG193" s="220"/>
      <c r="DH193" s="220"/>
      <c r="DI193" s="220"/>
      <c r="DJ193" s="220"/>
      <c r="DK193" s="220"/>
      <c r="DL193" s="220"/>
      <c r="DM193" s="220"/>
      <c r="DN193" s="220"/>
      <c r="DO193" s="220"/>
      <c r="DP193" s="220"/>
      <c r="DQ193" s="220"/>
    </row>
    <row r="194" spans="14:121" x14ac:dyDescent="0.25">
      <c r="N194" s="220"/>
      <c r="O194" s="220"/>
      <c r="P194" s="220"/>
      <c r="Q194" s="220"/>
      <c r="R194" s="220"/>
      <c r="S194" s="220"/>
      <c r="T194" s="220"/>
      <c r="U194" s="220"/>
      <c r="V194" s="220"/>
      <c r="W194" s="220"/>
      <c r="X194" s="220"/>
      <c r="Y194" s="220"/>
      <c r="Z194" s="220"/>
      <c r="AA194" s="220"/>
      <c r="AB194" s="220"/>
      <c r="AC194" s="220"/>
      <c r="AD194" s="220"/>
      <c r="AE194" s="220"/>
      <c r="AF194" s="220"/>
      <c r="AG194" s="220"/>
      <c r="AH194" s="220"/>
      <c r="AI194" s="220"/>
      <c r="AJ194" s="220"/>
      <c r="AK194" s="220"/>
      <c r="AL194" s="220"/>
      <c r="AM194" s="220"/>
      <c r="AN194" s="220"/>
      <c r="AO194" s="220"/>
      <c r="AP194" s="220"/>
      <c r="AQ194" s="220"/>
      <c r="AR194" s="220"/>
      <c r="AS194" s="220"/>
      <c r="AT194" s="220"/>
      <c r="AU194" s="220"/>
      <c r="AV194" s="220"/>
      <c r="AW194" s="220"/>
      <c r="AX194" s="220"/>
      <c r="AY194" s="220"/>
      <c r="AZ194" s="220"/>
      <c r="BA194" s="220"/>
      <c r="BB194" s="220"/>
      <c r="BC194" s="220"/>
      <c r="BD194" s="220"/>
      <c r="BE194" s="220"/>
      <c r="BF194" s="220"/>
      <c r="BG194" s="220"/>
      <c r="BH194" s="220"/>
      <c r="BI194" s="220"/>
      <c r="BJ194" s="220"/>
      <c r="BK194" s="220"/>
      <c r="BL194" s="220"/>
      <c r="BM194" s="220"/>
      <c r="BN194" s="220"/>
      <c r="BO194" s="220"/>
      <c r="BP194" s="220"/>
      <c r="BQ194" s="220"/>
      <c r="BR194" s="220"/>
      <c r="BS194" s="220"/>
      <c r="BT194" s="220"/>
      <c r="BU194" s="220"/>
      <c r="BV194" s="220"/>
      <c r="BW194" s="220"/>
      <c r="BX194" s="220"/>
      <c r="BY194" s="220"/>
      <c r="BZ194" s="220"/>
      <c r="CA194" s="220"/>
      <c r="CB194" s="220"/>
      <c r="CC194" s="220"/>
      <c r="CD194" s="220"/>
      <c r="CE194" s="220"/>
      <c r="CF194" s="220"/>
      <c r="CG194" s="220"/>
      <c r="CH194" s="220"/>
      <c r="CI194" s="220"/>
      <c r="CJ194" s="220"/>
      <c r="CK194" s="220"/>
      <c r="CL194" s="220"/>
      <c r="CM194" s="220"/>
      <c r="CN194" s="220"/>
      <c r="CO194" s="220"/>
      <c r="CP194" s="220"/>
      <c r="CQ194" s="220"/>
      <c r="CR194" s="220"/>
      <c r="CS194" s="220"/>
      <c r="CT194" s="220"/>
      <c r="CU194" s="220"/>
      <c r="CV194" s="220"/>
      <c r="CW194" s="220"/>
      <c r="CX194" s="220"/>
      <c r="CY194" s="220"/>
      <c r="CZ194" s="220"/>
      <c r="DA194" s="220"/>
      <c r="DB194" s="220"/>
      <c r="DC194" s="220"/>
      <c r="DD194" s="220"/>
      <c r="DE194" s="220"/>
      <c r="DF194" s="220"/>
      <c r="DG194" s="220"/>
      <c r="DH194" s="220"/>
      <c r="DI194" s="220"/>
      <c r="DJ194" s="220"/>
      <c r="DK194" s="220"/>
      <c r="DL194" s="220"/>
      <c r="DM194" s="220"/>
      <c r="DN194" s="220"/>
      <c r="DO194" s="220"/>
      <c r="DP194" s="220"/>
      <c r="DQ194" s="220"/>
    </row>
    <row r="195" spans="14:121" x14ac:dyDescent="0.25">
      <c r="N195" s="220"/>
      <c r="O195" s="220"/>
      <c r="P195" s="220"/>
      <c r="Q195" s="220"/>
      <c r="R195" s="220"/>
      <c r="S195" s="220"/>
      <c r="T195" s="220"/>
      <c r="U195" s="220"/>
      <c r="V195" s="220"/>
      <c r="W195" s="220"/>
      <c r="X195" s="220"/>
      <c r="Y195" s="220"/>
      <c r="Z195" s="220"/>
      <c r="AA195" s="220"/>
      <c r="AB195" s="220"/>
      <c r="AC195" s="220"/>
      <c r="AD195" s="220"/>
      <c r="AE195" s="220"/>
      <c r="AF195" s="220"/>
      <c r="AG195" s="220"/>
      <c r="AH195" s="220"/>
      <c r="AI195" s="220"/>
      <c r="AJ195" s="220"/>
      <c r="AK195" s="220"/>
      <c r="AL195" s="220"/>
      <c r="AM195" s="220"/>
      <c r="AN195" s="220"/>
      <c r="AO195" s="220"/>
      <c r="AP195" s="220"/>
      <c r="AQ195" s="220"/>
      <c r="AR195" s="220"/>
      <c r="AS195" s="220"/>
      <c r="AT195" s="220"/>
      <c r="AU195" s="220"/>
      <c r="AV195" s="220"/>
      <c r="AW195" s="220"/>
      <c r="AX195" s="220"/>
      <c r="AY195" s="220"/>
      <c r="AZ195" s="220"/>
      <c r="BA195" s="220"/>
      <c r="BB195" s="220"/>
      <c r="BC195" s="220"/>
      <c r="BD195" s="220"/>
      <c r="BE195" s="220"/>
      <c r="BF195" s="220"/>
      <c r="BG195" s="220"/>
      <c r="BH195" s="220"/>
      <c r="BI195" s="220"/>
      <c r="BJ195" s="220"/>
      <c r="BK195" s="220"/>
      <c r="BL195" s="220"/>
      <c r="BM195" s="220"/>
      <c r="BN195" s="220"/>
      <c r="BO195" s="220"/>
      <c r="BP195" s="220"/>
      <c r="BQ195" s="220"/>
      <c r="BR195" s="220"/>
      <c r="BS195" s="220"/>
      <c r="BT195" s="220"/>
      <c r="BU195" s="220"/>
      <c r="BV195" s="220"/>
      <c r="BW195" s="220"/>
      <c r="BX195" s="220"/>
      <c r="BY195" s="220"/>
      <c r="BZ195" s="220"/>
      <c r="CA195" s="220"/>
      <c r="CB195" s="220"/>
      <c r="CC195" s="220"/>
      <c r="CD195" s="220"/>
      <c r="CE195" s="220"/>
      <c r="CF195" s="220"/>
      <c r="CG195" s="220"/>
      <c r="CH195" s="220"/>
      <c r="CI195" s="220"/>
      <c r="CJ195" s="220"/>
      <c r="CK195" s="220"/>
      <c r="CL195" s="220"/>
      <c r="CM195" s="220"/>
      <c r="CN195" s="220"/>
      <c r="CO195" s="220"/>
      <c r="CP195" s="220"/>
      <c r="CQ195" s="220"/>
      <c r="CR195" s="220"/>
      <c r="CS195" s="220"/>
      <c r="CT195" s="220"/>
      <c r="CU195" s="220"/>
      <c r="CV195" s="220"/>
      <c r="CW195" s="220"/>
      <c r="CX195" s="220"/>
      <c r="CY195" s="220"/>
      <c r="CZ195" s="220"/>
      <c r="DA195" s="220"/>
      <c r="DB195" s="220"/>
      <c r="DC195" s="220"/>
      <c r="DD195" s="220"/>
      <c r="DE195" s="220"/>
      <c r="DF195" s="220"/>
      <c r="DG195" s="220"/>
      <c r="DH195" s="220"/>
      <c r="DI195" s="220"/>
      <c r="DJ195" s="220"/>
      <c r="DK195" s="220"/>
      <c r="DL195" s="220"/>
      <c r="DM195" s="220"/>
      <c r="DN195" s="220"/>
      <c r="DO195" s="220"/>
      <c r="DP195" s="220"/>
      <c r="DQ195" s="220"/>
    </row>
    <row r="196" spans="14:121" x14ac:dyDescent="0.25">
      <c r="N196" s="220"/>
      <c r="O196" s="220"/>
      <c r="P196" s="220"/>
      <c r="Q196" s="220"/>
      <c r="R196" s="220"/>
      <c r="S196" s="220"/>
      <c r="T196" s="220"/>
      <c r="U196" s="220"/>
      <c r="V196" s="220"/>
      <c r="W196" s="220"/>
      <c r="X196" s="220"/>
      <c r="Y196" s="220"/>
      <c r="Z196" s="220"/>
      <c r="AA196" s="220"/>
      <c r="AB196" s="220"/>
      <c r="AC196" s="220"/>
      <c r="AD196" s="220"/>
      <c r="AE196" s="220"/>
      <c r="AF196" s="220"/>
      <c r="AG196" s="220"/>
      <c r="AH196" s="220"/>
      <c r="AI196" s="220"/>
      <c r="AJ196" s="220"/>
      <c r="AK196" s="220"/>
      <c r="AL196" s="220"/>
      <c r="AM196" s="220"/>
      <c r="AN196" s="220"/>
      <c r="AO196" s="220"/>
      <c r="AP196" s="220"/>
      <c r="AQ196" s="220"/>
      <c r="AR196" s="220"/>
      <c r="AS196" s="220"/>
      <c r="AT196" s="220"/>
      <c r="AU196" s="220"/>
      <c r="AV196" s="220"/>
      <c r="AW196" s="220"/>
      <c r="AX196" s="220"/>
      <c r="AY196" s="220"/>
      <c r="AZ196" s="220"/>
      <c r="BA196" s="220"/>
      <c r="BB196" s="220"/>
      <c r="BC196" s="220"/>
      <c r="BD196" s="220"/>
      <c r="BE196" s="220"/>
      <c r="BF196" s="220"/>
      <c r="BG196" s="220"/>
      <c r="BH196" s="220"/>
      <c r="BI196" s="220"/>
      <c r="BJ196" s="220"/>
      <c r="BK196" s="220"/>
      <c r="BL196" s="220"/>
      <c r="BM196" s="220"/>
      <c r="BN196" s="220"/>
      <c r="BO196" s="220"/>
      <c r="BP196" s="220"/>
      <c r="BQ196" s="220"/>
      <c r="BR196" s="220"/>
      <c r="BS196" s="220"/>
      <c r="BT196" s="220"/>
      <c r="BU196" s="220"/>
      <c r="BV196" s="220"/>
      <c r="BW196" s="220"/>
      <c r="BX196" s="220"/>
      <c r="BY196" s="220"/>
      <c r="BZ196" s="220"/>
      <c r="CA196" s="220"/>
      <c r="CB196" s="220"/>
      <c r="CC196" s="220"/>
      <c r="CD196" s="220"/>
      <c r="CE196" s="220"/>
      <c r="CF196" s="220"/>
      <c r="CG196" s="220"/>
      <c r="CH196" s="220"/>
      <c r="CI196" s="220"/>
      <c r="CJ196" s="220"/>
      <c r="CK196" s="220"/>
      <c r="CL196" s="220"/>
      <c r="CM196" s="220"/>
      <c r="CN196" s="220"/>
      <c r="CO196" s="220"/>
      <c r="CP196" s="220"/>
      <c r="CQ196" s="220"/>
      <c r="CR196" s="220"/>
      <c r="CS196" s="220"/>
      <c r="CT196" s="220"/>
      <c r="CU196" s="220"/>
      <c r="CV196" s="220"/>
      <c r="CW196" s="220"/>
      <c r="CX196" s="220"/>
      <c r="CY196" s="220"/>
      <c r="CZ196" s="220"/>
      <c r="DA196" s="220"/>
      <c r="DB196" s="220"/>
      <c r="DC196" s="220"/>
      <c r="DD196" s="220"/>
      <c r="DE196" s="220"/>
      <c r="DF196" s="220"/>
      <c r="DG196" s="220"/>
      <c r="DH196" s="220"/>
      <c r="DI196" s="220"/>
      <c r="DJ196" s="220"/>
      <c r="DK196" s="220"/>
      <c r="DL196" s="220"/>
      <c r="DM196" s="220"/>
      <c r="DN196" s="220"/>
      <c r="DO196" s="220"/>
      <c r="DP196" s="220"/>
      <c r="DQ196" s="220"/>
    </row>
    <row r="197" spans="14:121" x14ac:dyDescent="0.25">
      <c r="N197" s="220"/>
      <c r="O197" s="220"/>
      <c r="P197" s="220"/>
      <c r="Q197" s="220"/>
      <c r="R197" s="220"/>
      <c r="S197" s="220"/>
      <c r="T197" s="220"/>
      <c r="U197" s="220"/>
      <c r="V197" s="220"/>
      <c r="W197" s="220"/>
      <c r="X197" s="220"/>
      <c r="Y197" s="220"/>
      <c r="Z197" s="220"/>
      <c r="AA197" s="220"/>
      <c r="AB197" s="220"/>
      <c r="AC197" s="220"/>
      <c r="AD197" s="220"/>
      <c r="AE197" s="220"/>
      <c r="AF197" s="220"/>
      <c r="AG197" s="220"/>
      <c r="AH197" s="220"/>
      <c r="AI197" s="220"/>
      <c r="AJ197" s="220"/>
      <c r="AK197" s="220"/>
      <c r="AL197" s="220"/>
      <c r="AM197" s="220"/>
      <c r="AN197" s="220"/>
      <c r="AO197" s="220"/>
      <c r="AP197" s="220"/>
      <c r="AQ197" s="220"/>
      <c r="AR197" s="220"/>
      <c r="AS197" s="220"/>
      <c r="AT197" s="220"/>
      <c r="AU197" s="220"/>
      <c r="AV197" s="220"/>
      <c r="AW197" s="220"/>
      <c r="AX197" s="220"/>
      <c r="AY197" s="220"/>
      <c r="AZ197" s="220"/>
      <c r="BA197" s="220"/>
      <c r="BB197" s="220"/>
      <c r="BC197" s="220"/>
      <c r="BD197" s="220"/>
      <c r="BE197" s="220"/>
      <c r="BF197" s="220"/>
      <c r="BG197" s="220"/>
      <c r="BH197" s="220"/>
      <c r="BI197" s="220"/>
      <c r="BJ197" s="220"/>
      <c r="BK197" s="220"/>
      <c r="BL197" s="220"/>
      <c r="BM197" s="220"/>
      <c r="BN197" s="220"/>
      <c r="BO197" s="220"/>
      <c r="BP197" s="220"/>
      <c r="BQ197" s="220"/>
      <c r="BR197" s="220"/>
      <c r="BS197" s="220"/>
      <c r="BT197" s="220"/>
      <c r="BU197" s="220"/>
      <c r="BV197" s="220"/>
      <c r="BW197" s="220"/>
      <c r="BX197" s="220"/>
      <c r="BY197" s="220"/>
      <c r="BZ197" s="220"/>
      <c r="CA197" s="220"/>
      <c r="CB197" s="220"/>
      <c r="CC197" s="220"/>
      <c r="CD197" s="220"/>
      <c r="CE197" s="220"/>
      <c r="CF197" s="220"/>
      <c r="CG197" s="220"/>
      <c r="CH197" s="220"/>
      <c r="CI197" s="220"/>
      <c r="CJ197" s="220"/>
      <c r="CK197" s="220"/>
      <c r="CL197" s="220"/>
      <c r="CM197" s="220"/>
      <c r="CN197" s="220"/>
      <c r="CO197" s="220"/>
      <c r="CP197" s="220"/>
      <c r="CQ197" s="220"/>
      <c r="CR197" s="220"/>
      <c r="CS197" s="220"/>
      <c r="CT197" s="220"/>
      <c r="CU197" s="220"/>
      <c r="CV197" s="220"/>
      <c r="CW197" s="220"/>
      <c r="CX197" s="220"/>
      <c r="CY197" s="220"/>
      <c r="CZ197" s="220"/>
      <c r="DA197" s="220"/>
      <c r="DB197" s="220"/>
      <c r="DC197" s="220"/>
      <c r="DD197" s="220"/>
      <c r="DE197" s="220"/>
      <c r="DF197" s="220"/>
      <c r="DG197" s="220"/>
      <c r="DH197" s="220"/>
      <c r="DI197" s="220"/>
      <c r="DJ197" s="220"/>
      <c r="DK197" s="220"/>
      <c r="DL197" s="220"/>
      <c r="DM197" s="220"/>
      <c r="DN197" s="220"/>
      <c r="DO197" s="220"/>
      <c r="DP197" s="220"/>
      <c r="DQ197" s="220"/>
    </row>
    <row r="198" spans="14:121" x14ac:dyDescent="0.25">
      <c r="N198" s="220"/>
      <c r="O198" s="220"/>
      <c r="P198" s="220"/>
      <c r="Q198" s="220"/>
      <c r="R198" s="220"/>
      <c r="S198" s="220"/>
      <c r="T198" s="220"/>
      <c r="U198" s="220"/>
      <c r="V198" s="220"/>
      <c r="W198" s="220"/>
      <c r="X198" s="220"/>
      <c r="Y198" s="220"/>
      <c r="Z198" s="220"/>
      <c r="AA198" s="220"/>
      <c r="AB198" s="220"/>
      <c r="AC198" s="220"/>
      <c r="AD198" s="220"/>
      <c r="AE198" s="220"/>
      <c r="AF198" s="220"/>
      <c r="AG198" s="220"/>
      <c r="AH198" s="220"/>
      <c r="AI198" s="220"/>
      <c r="AJ198" s="220"/>
      <c r="AK198" s="220"/>
      <c r="AL198" s="220"/>
      <c r="AM198" s="220"/>
      <c r="AN198" s="220"/>
      <c r="AO198" s="220"/>
      <c r="AP198" s="220"/>
      <c r="AQ198" s="220"/>
      <c r="AR198" s="220"/>
      <c r="AS198" s="220"/>
      <c r="AT198" s="220"/>
      <c r="AU198" s="220"/>
      <c r="AV198" s="220"/>
      <c r="AW198" s="220"/>
      <c r="AX198" s="220"/>
      <c r="AY198" s="220"/>
      <c r="AZ198" s="220"/>
      <c r="BA198" s="220"/>
      <c r="BB198" s="220"/>
      <c r="BC198" s="220"/>
      <c r="BD198" s="220"/>
      <c r="BE198" s="220"/>
      <c r="BF198" s="220"/>
      <c r="BG198" s="220"/>
      <c r="BH198" s="220"/>
      <c r="BI198" s="220"/>
      <c r="BJ198" s="220"/>
      <c r="BK198" s="220"/>
      <c r="BL198" s="220"/>
      <c r="BM198" s="220"/>
      <c r="BN198" s="220"/>
      <c r="BO198" s="220"/>
      <c r="BP198" s="220"/>
      <c r="BQ198" s="220"/>
      <c r="BR198" s="220"/>
      <c r="BS198" s="220"/>
      <c r="BT198" s="220"/>
      <c r="BU198" s="220"/>
      <c r="BV198" s="220"/>
      <c r="BW198" s="220"/>
      <c r="BX198" s="220"/>
      <c r="BY198" s="220"/>
      <c r="BZ198" s="220"/>
      <c r="CA198" s="220"/>
      <c r="CB198" s="220"/>
      <c r="CC198" s="220"/>
      <c r="CD198" s="220"/>
      <c r="CE198" s="220"/>
      <c r="CF198" s="220"/>
      <c r="CG198" s="220"/>
      <c r="CH198" s="220"/>
      <c r="CI198" s="220"/>
      <c r="CJ198" s="220"/>
      <c r="CK198" s="220"/>
      <c r="CL198" s="220"/>
      <c r="CM198" s="220"/>
      <c r="CN198" s="220"/>
      <c r="CO198" s="220"/>
      <c r="CP198" s="220"/>
      <c r="CQ198" s="220"/>
      <c r="CR198" s="220"/>
      <c r="CS198" s="220"/>
      <c r="CT198" s="220"/>
      <c r="CU198" s="220"/>
      <c r="CV198" s="220"/>
      <c r="CW198" s="220"/>
      <c r="CX198" s="220"/>
      <c r="CY198" s="220"/>
      <c r="CZ198" s="220"/>
      <c r="DA198" s="220"/>
      <c r="DB198" s="220"/>
      <c r="DC198" s="220"/>
      <c r="DD198" s="220"/>
      <c r="DE198" s="220"/>
      <c r="DF198" s="220"/>
      <c r="DG198" s="220"/>
      <c r="DH198" s="220"/>
      <c r="DI198" s="220"/>
      <c r="DJ198" s="220"/>
      <c r="DK198" s="220"/>
      <c r="DL198" s="220"/>
      <c r="DM198" s="220"/>
      <c r="DN198" s="220"/>
      <c r="DO198" s="220"/>
      <c r="DP198" s="220"/>
      <c r="DQ198" s="220"/>
    </row>
    <row r="199" spans="14:121" x14ac:dyDescent="0.25">
      <c r="N199" s="220"/>
      <c r="O199" s="220"/>
      <c r="P199" s="220"/>
      <c r="Q199" s="220"/>
      <c r="R199" s="220"/>
      <c r="S199" s="220"/>
      <c r="T199" s="220"/>
      <c r="U199" s="220"/>
      <c r="V199" s="220"/>
      <c r="W199" s="220"/>
      <c r="X199" s="220"/>
      <c r="Y199" s="220"/>
      <c r="Z199" s="220"/>
      <c r="AA199" s="220"/>
      <c r="AB199" s="220"/>
      <c r="AC199" s="220"/>
      <c r="AD199" s="220"/>
      <c r="AE199" s="220"/>
      <c r="AF199" s="220"/>
      <c r="AG199" s="220"/>
      <c r="AH199" s="220"/>
      <c r="AI199" s="220"/>
      <c r="AJ199" s="220"/>
      <c r="AK199" s="220"/>
      <c r="AL199" s="220"/>
      <c r="AM199" s="220"/>
      <c r="AN199" s="220"/>
      <c r="AO199" s="220"/>
      <c r="AP199" s="220"/>
      <c r="AQ199" s="220"/>
      <c r="AR199" s="220"/>
      <c r="AS199" s="220"/>
      <c r="AT199" s="220"/>
      <c r="AU199" s="220"/>
      <c r="AV199" s="220"/>
      <c r="AW199" s="220"/>
      <c r="AX199" s="220"/>
      <c r="AY199" s="220"/>
      <c r="AZ199" s="220"/>
      <c r="BA199" s="220"/>
      <c r="BB199" s="220"/>
      <c r="BC199" s="220"/>
      <c r="BD199" s="220"/>
      <c r="BE199" s="220"/>
      <c r="BF199" s="220"/>
      <c r="BG199" s="220"/>
      <c r="BH199" s="220"/>
      <c r="BI199" s="220"/>
      <c r="BJ199" s="220"/>
      <c r="BK199" s="220"/>
      <c r="BL199" s="220"/>
      <c r="BM199" s="220"/>
      <c r="BN199" s="220"/>
      <c r="BO199" s="220"/>
      <c r="BP199" s="220"/>
      <c r="BQ199" s="220"/>
      <c r="BR199" s="220"/>
      <c r="BS199" s="220"/>
      <c r="BT199" s="220"/>
      <c r="BU199" s="220"/>
      <c r="BV199" s="220"/>
      <c r="BW199" s="220"/>
      <c r="BX199" s="220"/>
      <c r="BY199" s="220"/>
      <c r="BZ199" s="220"/>
      <c r="CA199" s="220"/>
      <c r="CB199" s="220"/>
      <c r="CC199" s="220"/>
      <c r="CD199" s="220"/>
      <c r="CE199" s="220"/>
      <c r="CF199" s="220"/>
      <c r="CG199" s="220"/>
      <c r="CH199" s="220"/>
      <c r="CI199" s="220"/>
      <c r="CJ199" s="220"/>
      <c r="CK199" s="220"/>
      <c r="CL199" s="220"/>
      <c r="CM199" s="220"/>
      <c r="CN199" s="220"/>
      <c r="CO199" s="220"/>
      <c r="CP199" s="220"/>
      <c r="CQ199" s="220"/>
      <c r="CR199" s="220"/>
      <c r="CS199" s="220"/>
      <c r="CT199" s="220"/>
      <c r="CU199" s="220"/>
      <c r="CV199" s="220"/>
      <c r="CW199" s="220"/>
      <c r="CX199" s="220"/>
      <c r="CY199" s="220"/>
      <c r="CZ199" s="220"/>
      <c r="DA199" s="220"/>
      <c r="DB199" s="220"/>
      <c r="DC199" s="220"/>
      <c r="DD199" s="220"/>
      <c r="DE199" s="220"/>
      <c r="DF199" s="220"/>
      <c r="DG199" s="220"/>
      <c r="DH199" s="220"/>
      <c r="DI199" s="220"/>
      <c r="DJ199" s="220"/>
      <c r="DK199" s="220"/>
      <c r="DL199" s="220"/>
      <c r="DM199" s="220"/>
      <c r="DN199" s="220"/>
      <c r="DO199" s="220"/>
      <c r="DP199" s="220"/>
      <c r="DQ199" s="220"/>
    </row>
    <row r="200" spans="14:121" x14ac:dyDescent="0.25">
      <c r="N200" s="220"/>
      <c r="O200" s="220"/>
      <c r="P200" s="220"/>
      <c r="Q200" s="220"/>
      <c r="R200" s="220"/>
      <c r="S200" s="220"/>
      <c r="T200" s="220"/>
      <c r="U200" s="220"/>
      <c r="V200" s="220"/>
      <c r="W200" s="220"/>
      <c r="X200" s="220"/>
      <c r="Y200" s="220"/>
      <c r="Z200" s="220"/>
      <c r="AA200" s="220"/>
      <c r="AB200" s="220"/>
      <c r="AC200" s="220"/>
      <c r="AD200" s="220"/>
      <c r="AE200" s="220"/>
      <c r="AF200" s="220"/>
      <c r="AG200" s="220"/>
      <c r="AH200" s="220"/>
      <c r="AI200" s="220"/>
      <c r="AJ200" s="220"/>
      <c r="AK200" s="220"/>
      <c r="AL200" s="220"/>
      <c r="AM200" s="220"/>
      <c r="AN200" s="220"/>
      <c r="AO200" s="220"/>
      <c r="AP200" s="220"/>
      <c r="AQ200" s="220"/>
      <c r="AR200" s="220"/>
      <c r="AS200" s="220"/>
      <c r="AT200" s="220"/>
      <c r="AU200" s="220"/>
      <c r="AV200" s="220"/>
      <c r="AW200" s="220"/>
      <c r="AX200" s="220"/>
      <c r="AY200" s="220"/>
      <c r="AZ200" s="220"/>
      <c r="BA200" s="220"/>
      <c r="BB200" s="220"/>
      <c r="BC200" s="220"/>
      <c r="BD200" s="220"/>
      <c r="BE200" s="220"/>
      <c r="BF200" s="220"/>
      <c r="BG200" s="220"/>
      <c r="BH200" s="220"/>
      <c r="BI200" s="220"/>
      <c r="BJ200" s="220"/>
      <c r="BK200" s="220"/>
      <c r="BL200" s="220"/>
      <c r="BM200" s="220"/>
      <c r="BN200" s="220"/>
      <c r="BO200" s="220"/>
      <c r="BP200" s="220"/>
      <c r="BQ200" s="220"/>
      <c r="BR200" s="220"/>
      <c r="BS200" s="220"/>
      <c r="BT200" s="220"/>
      <c r="BU200" s="220"/>
      <c r="BV200" s="220"/>
      <c r="BW200" s="220"/>
      <c r="BX200" s="220"/>
      <c r="BY200" s="220"/>
      <c r="BZ200" s="220"/>
      <c r="CA200" s="220"/>
      <c r="CB200" s="220"/>
      <c r="CC200" s="220"/>
      <c r="CD200" s="220"/>
      <c r="CE200" s="220"/>
      <c r="CF200" s="220"/>
      <c r="CG200" s="220"/>
      <c r="CH200" s="220"/>
      <c r="CI200" s="220"/>
      <c r="CJ200" s="220"/>
      <c r="CK200" s="220"/>
      <c r="CL200" s="220"/>
      <c r="CM200" s="220"/>
      <c r="CN200" s="220"/>
      <c r="CO200" s="220"/>
      <c r="CP200" s="220"/>
      <c r="CQ200" s="220"/>
      <c r="CR200" s="220"/>
      <c r="CS200" s="220"/>
      <c r="CT200" s="220"/>
      <c r="CU200" s="220"/>
      <c r="CV200" s="220"/>
      <c r="CW200" s="220"/>
      <c r="CX200" s="220"/>
      <c r="CY200" s="220"/>
      <c r="CZ200" s="220"/>
      <c r="DA200" s="220"/>
      <c r="DB200" s="220"/>
      <c r="DC200" s="220"/>
      <c r="DD200" s="220"/>
      <c r="DE200" s="220"/>
      <c r="DF200" s="220"/>
      <c r="DG200" s="220"/>
      <c r="DH200" s="220"/>
      <c r="DI200" s="220"/>
      <c r="DJ200" s="220"/>
      <c r="DK200" s="220"/>
      <c r="DL200" s="220"/>
      <c r="DM200" s="220"/>
      <c r="DN200" s="220"/>
      <c r="DO200" s="220"/>
      <c r="DP200" s="220"/>
      <c r="DQ200" s="220"/>
    </row>
    <row r="201" spans="14:121" x14ac:dyDescent="0.25">
      <c r="N201" s="220"/>
      <c r="O201" s="220"/>
      <c r="P201" s="220"/>
      <c r="Q201" s="220"/>
      <c r="R201" s="220"/>
      <c r="S201" s="220"/>
      <c r="T201" s="220"/>
      <c r="U201" s="220"/>
      <c r="V201" s="220"/>
      <c r="W201" s="220"/>
      <c r="X201" s="220"/>
      <c r="Y201" s="220"/>
      <c r="Z201" s="220"/>
      <c r="AA201" s="220"/>
      <c r="AB201" s="220"/>
      <c r="AC201" s="220"/>
      <c r="AD201" s="220"/>
      <c r="AE201" s="220"/>
      <c r="AF201" s="220"/>
      <c r="AG201" s="220"/>
      <c r="AH201" s="220"/>
      <c r="AI201" s="220"/>
      <c r="AJ201" s="220"/>
      <c r="AK201" s="220"/>
      <c r="AL201" s="220"/>
      <c r="AM201" s="220"/>
      <c r="AN201" s="220"/>
      <c r="AO201" s="220"/>
      <c r="AP201" s="220"/>
      <c r="AQ201" s="220"/>
      <c r="AR201" s="220"/>
      <c r="AS201" s="220"/>
      <c r="AT201" s="220"/>
      <c r="AU201" s="220"/>
      <c r="AV201" s="220"/>
      <c r="AW201" s="220"/>
      <c r="AX201" s="220"/>
      <c r="AY201" s="220"/>
      <c r="AZ201" s="220"/>
      <c r="BA201" s="220"/>
      <c r="BB201" s="220"/>
      <c r="BC201" s="220"/>
      <c r="BD201" s="220"/>
      <c r="BE201" s="220"/>
      <c r="BF201" s="220"/>
      <c r="BG201" s="220"/>
      <c r="BH201" s="220"/>
      <c r="BI201" s="220"/>
      <c r="BJ201" s="220"/>
      <c r="BK201" s="220"/>
      <c r="BL201" s="220"/>
      <c r="BM201" s="220"/>
      <c r="BN201" s="220"/>
      <c r="BO201" s="220"/>
      <c r="BP201" s="220"/>
      <c r="BQ201" s="220"/>
      <c r="BR201" s="220"/>
      <c r="BS201" s="220"/>
      <c r="BT201" s="220"/>
      <c r="BU201" s="220"/>
      <c r="BV201" s="220"/>
      <c r="BW201" s="220"/>
      <c r="BX201" s="220"/>
      <c r="BY201" s="220"/>
      <c r="BZ201" s="220"/>
      <c r="CA201" s="220"/>
      <c r="CB201" s="220"/>
      <c r="CC201" s="220"/>
      <c r="CD201" s="220"/>
      <c r="CE201" s="220"/>
      <c r="CF201" s="220"/>
      <c r="CG201" s="220"/>
      <c r="CH201" s="220"/>
      <c r="CI201" s="220"/>
      <c r="CJ201" s="220"/>
      <c r="CK201" s="220"/>
      <c r="CL201" s="220"/>
      <c r="CM201" s="220"/>
      <c r="CN201" s="220"/>
      <c r="CO201" s="220"/>
      <c r="CP201" s="220"/>
      <c r="CQ201" s="220"/>
      <c r="CR201" s="220"/>
      <c r="CS201" s="220"/>
      <c r="CT201" s="220"/>
      <c r="CU201" s="220"/>
      <c r="CV201" s="220"/>
      <c r="CW201" s="220"/>
      <c r="CX201" s="220"/>
      <c r="CY201" s="220"/>
      <c r="CZ201" s="220"/>
      <c r="DA201" s="220"/>
      <c r="DB201" s="220"/>
      <c r="DC201" s="220"/>
      <c r="DD201" s="220"/>
      <c r="DE201" s="220"/>
      <c r="DF201" s="220"/>
      <c r="DG201" s="220"/>
      <c r="DH201" s="220"/>
      <c r="DI201" s="220"/>
      <c r="DJ201" s="220"/>
      <c r="DK201" s="220"/>
      <c r="DL201" s="220"/>
      <c r="DM201" s="220"/>
      <c r="DN201" s="220"/>
      <c r="DO201" s="220"/>
      <c r="DP201" s="220"/>
      <c r="DQ201" s="220"/>
    </row>
    <row r="202" spans="14:121" x14ac:dyDescent="0.25">
      <c r="N202" s="220"/>
      <c r="O202" s="220"/>
      <c r="P202" s="220"/>
      <c r="Q202" s="220"/>
      <c r="R202" s="220"/>
      <c r="S202" s="220"/>
      <c r="T202" s="220"/>
      <c r="U202" s="220"/>
      <c r="V202" s="220"/>
      <c r="W202" s="220"/>
      <c r="X202" s="220"/>
      <c r="Y202" s="220"/>
      <c r="Z202" s="220"/>
      <c r="AA202" s="220"/>
      <c r="AB202" s="220"/>
      <c r="AC202" s="220"/>
      <c r="AD202" s="220"/>
      <c r="AE202" s="220"/>
      <c r="AF202" s="220"/>
      <c r="AG202" s="220"/>
      <c r="AH202" s="220"/>
      <c r="AI202" s="220"/>
      <c r="AJ202" s="220"/>
      <c r="AK202" s="220"/>
      <c r="AL202" s="220"/>
      <c r="AM202" s="220"/>
      <c r="AN202" s="220"/>
      <c r="AO202" s="220"/>
      <c r="AP202" s="220"/>
      <c r="AQ202" s="220"/>
      <c r="AR202" s="220"/>
      <c r="AS202" s="220"/>
      <c r="AT202" s="220"/>
      <c r="AU202" s="220"/>
      <c r="AV202" s="220"/>
      <c r="AW202" s="220"/>
      <c r="AX202" s="220"/>
      <c r="AY202" s="220"/>
      <c r="AZ202" s="220"/>
      <c r="BA202" s="220"/>
      <c r="BB202" s="220"/>
      <c r="BC202" s="220"/>
      <c r="BD202" s="220"/>
      <c r="BE202" s="220"/>
      <c r="BF202" s="220"/>
      <c r="BG202" s="220"/>
      <c r="BH202" s="220"/>
      <c r="BI202" s="220"/>
      <c r="BJ202" s="220"/>
      <c r="BK202" s="220"/>
      <c r="BL202" s="220"/>
      <c r="BM202" s="220"/>
      <c r="BN202" s="220"/>
      <c r="BO202" s="220"/>
      <c r="BP202" s="220"/>
      <c r="BQ202" s="220"/>
      <c r="BR202" s="220"/>
      <c r="BS202" s="220"/>
      <c r="BT202" s="220"/>
      <c r="BU202" s="220"/>
      <c r="BV202" s="220"/>
      <c r="BW202" s="220"/>
      <c r="BX202" s="220"/>
      <c r="BY202" s="220"/>
      <c r="BZ202" s="220"/>
      <c r="CA202" s="220"/>
      <c r="CB202" s="220"/>
      <c r="CC202" s="220"/>
      <c r="CD202" s="220"/>
      <c r="CE202" s="220"/>
      <c r="CF202" s="220"/>
      <c r="CG202" s="220"/>
      <c r="CH202" s="220"/>
      <c r="CI202" s="220"/>
      <c r="CJ202" s="220"/>
      <c r="CK202" s="220"/>
      <c r="CL202" s="220"/>
      <c r="CM202" s="220"/>
      <c r="CN202" s="220"/>
      <c r="CO202" s="220"/>
      <c r="CP202" s="220"/>
      <c r="CQ202" s="220"/>
      <c r="CR202" s="220"/>
      <c r="CS202" s="220"/>
      <c r="CT202" s="220"/>
      <c r="CU202" s="220"/>
      <c r="CV202" s="220"/>
      <c r="CW202" s="220"/>
      <c r="CX202" s="220"/>
      <c r="CY202" s="220"/>
      <c r="CZ202" s="220"/>
      <c r="DA202" s="220"/>
      <c r="DB202" s="220"/>
      <c r="DC202" s="220"/>
      <c r="DD202" s="220"/>
      <c r="DE202" s="220"/>
      <c r="DF202" s="220"/>
      <c r="DG202" s="220"/>
      <c r="DH202" s="220"/>
      <c r="DI202" s="220"/>
      <c r="DJ202" s="220"/>
      <c r="DK202" s="220"/>
      <c r="DL202" s="220"/>
      <c r="DM202" s="220"/>
      <c r="DN202" s="220"/>
      <c r="DO202" s="220"/>
      <c r="DP202" s="220"/>
      <c r="DQ202" s="220"/>
    </row>
    <row r="203" spans="14:121" x14ac:dyDescent="0.25">
      <c r="N203" s="220"/>
      <c r="O203" s="220"/>
      <c r="P203" s="220"/>
      <c r="Q203" s="220"/>
      <c r="R203" s="220"/>
      <c r="S203" s="220"/>
      <c r="T203" s="220"/>
      <c r="U203" s="220"/>
      <c r="V203" s="220"/>
      <c r="W203" s="220"/>
      <c r="X203" s="220"/>
      <c r="Y203" s="220"/>
      <c r="Z203" s="220"/>
      <c r="AA203" s="220"/>
      <c r="AB203" s="220"/>
      <c r="AC203" s="220"/>
      <c r="AD203" s="220"/>
      <c r="AE203" s="220"/>
      <c r="AF203" s="220"/>
      <c r="AG203" s="220"/>
      <c r="AH203" s="220"/>
      <c r="AI203" s="220"/>
      <c r="AJ203" s="220"/>
      <c r="AK203" s="220"/>
      <c r="AL203" s="220"/>
      <c r="AM203" s="220"/>
      <c r="AN203" s="220"/>
      <c r="AO203" s="220"/>
      <c r="AP203" s="220"/>
      <c r="AQ203" s="220"/>
      <c r="AR203" s="220"/>
      <c r="AS203" s="220"/>
      <c r="AT203" s="220"/>
      <c r="AU203" s="220"/>
      <c r="AV203" s="220"/>
      <c r="AW203" s="220"/>
      <c r="AX203" s="220"/>
      <c r="AY203" s="220"/>
      <c r="AZ203" s="220"/>
      <c r="BA203" s="220"/>
      <c r="BB203" s="220"/>
      <c r="BC203" s="220"/>
      <c r="BD203" s="220"/>
      <c r="BE203" s="220"/>
      <c r="BF203" s="220"/>
      <c r="BG203" s="220"/>
      <c r="BH203" s="220"/>
      <c r="BI203" s="220"/>
      <c r="BJ203" s="220"/>
      <c r="BK203" s="220"/>
      <c r="BL203" s="220"/>
      <c r="BM203" s="220"/>
      <c r="BN203" s="220"/>
      <c r="BO203" s="220"/>
      <c r="BP203" s="220"/>
      <c r="BQ203" s="220"/>
      <c r="BR203" s="220"/>
      <c r="BS203" s="220"/>
      <c r="BT203" s="220"/>
      <c r="BU203" s="220"/>
      <c r="BV203" s="220"/>
      <c r="BW203" s="220"/>
      <c r="BX203" s="220"/>
      <c r="BY203" s="220"/>
      <c r="BZ203" s="220"/>
      <c r="CA203" s="220"/>
      <c r="CB203" s="220"/>
      <c r="CC203" s="220"/>
      <c r="CD203" s="220"/>
      <c r="CE203" s="220"/>
      <c r="CF203" s="220"/>
      <c r="CG203" s="220"/>
      <c r="CH203" s="220"/>
      <c r="CI203" s="220"/>
      <c r="CJ203" s="220"/>
      <c r="CK203" s="220"/>
      <c r="CL203" s="220"/>
      <c r="CM203" s="220"/>
      <c r="CN203" s="220"/>
      <c r="CO203" s="220"/>
      <c r="CP203" s="220"/>
      <c r="CQ203" s="220"/>
      <c r="CR203" s="220"/>
      <c r="CS203" s="220"/>
      <c r="CT203" s="220"/>
      <c r="CU203" s="220"/>
      <c r="CV203" s="220"/>
      <c r="CW203" s="220"/>
      <c r="CX203" s="220"/>
      <c r="CY203" s="220"/>
      <c r="CZ203" s="220"/>
      <c r="DA203" s="220"/>
      <c r="DB203" s="220"/>
      <c r="DC203" s="220"/>
      <c r="DD203" s="220"/>
      <c r="DE203" s="220"/>
      <c r="DF203" s="220"/>
      <c r="DG203" s="220"/>
      <c r="DH203" s="220"/>
      <c r="DI203" s="220"/>
      <c r="DJ203" s="220"/>
      <c r="DK203" s="220"/>
      <c r="DL203" s="220"/>
      <c r="DM203" s="220"/>
      <c r="DN203" s="220"/>
      <c r="DO203" s="220"/>
      <c r="DP203" s="220"/>
      <c r="DQ203" s="220"/>
    </row>
    <row r="204" spans="14:121" x14ac:dyDescent="0.25">
      <c r="N204" s="220"/>
      <c r="O204" s="220"/>
      <c r="P204" s="220"/>
      <c r="Q204" s="220"/>
      <c r="R204" s="220"/>
      <c r="S204" s="220"/>
      <c r="T204" s="220"/>
      <c r="U204" s="220"/>
      <c r="V204" s="220"/>
      <c r="W204" s="220"/>
      <c r="X204" s="220"/>
      <c r="Y204" s="220"/>
      <c r="Z204" s="220"/>
      <c r="AA204" s="220"/>
      <c r="AB204" s="220"/>
      <c r="AC204" s="220"/>
      <c r="AD204" s="220"/>
      <c r="AE204" s="220"/>
      <c r="AF204" s="220"/>
      <c r="AG204" s="220"/>
      <c r="AH204" s="220"/>
      <c r="AI204" s="220"/>
      <c r="AJ204" s="220"/>
      <c r="AK204" s="220"/>
      <c r="AL204" s="220"/>
      <c r="AM204" s="220"/>
      <c r="AN204" s="220"/>
      <c r="AO204" s="220"/>
      <c r="AP204" s="220"/>
      <c r="AQ204" s="220"/>
      <c r="AR204" s="220"/>
      <c r="AS204" s="220"/>
      <c r="AT204" s="220"/>
      <c r="AU204" s="220"/>
      <c r="AV204" s="220"/>
      <c r="AW204" s="220"/>
      <c r="AX204" s="220"/>
      <c r="AY204" s="220"/>
      <c r="AZ204" s="220"/>
      <c r="BA204" s="220"/>
      <c r="BB204" s="220"/>
      <c r="BC204" s="220"/>
      <c r="BD204" s="220"/>
      <c r="BE204" s="220"/>
      <c r="BF204" s="220"/>
      <c r="BG204" s="220"/>
      <c r="BH204" s="220"/>
      <c r="BI204" s="220"/>
      <c r="BJ204" s="220"/>
      <c r="BK204" s="220"/>
      <c r="BL204" s="220"/>
      <c r="BM204" s="220"/>
      <c r="BN204" s="220"/>
      <c r="BO204" s="220"/>
      <c r="BP204" s="220"/>
      <c r="BQ204" s="220"/>
      <c r="BR204" s="220"/>
      <c r="BS204" s="220"/>
      <c r="BT204" s="220"/>
      <c r="BU204" s="220"/>
      <c r="BV204" s="220"/>
      <c r="BW204" s="220"/>
      <c r="BX204" s="220"/>
      <c r="BY204" s="220"/>
      <c r="BZ204" s="220"/>
      <c r="CA204" s="220"/>
      <c r="CB204" s="220"/>
      <c r="CC204" s="220"/>
      <c r="CD204" s="220"/>
      <c r="CE204" s="220"/>
      <c r="CF204" s="220"/>
      <c r="CG204" s="220"/>
      <c r="CH204" s="220"/>
      <c r="CI204" s="220"/>
      <c r="CJ204" s="220"/>
      <c r="CK204" s="220"/>
      <c r="CL204" s="220"/>
      <c r="CM204" s="220"/>
      <c r="CN204" s="220"/>
      <c r="CO204" s="220"/>
      <c r="CP204" s="220"/>
      <c r="CQ204" s="220"/>
      <c r="CR204" s="220"/>
      <c r="CS204" s="220"/>
      <c r="CT204" s="220"/>
      <c r="CU204" s="220"/>
      <c r="CV204" s="220"/>
      <c r="CW204" s="220"/>
      <c r="CX204" s="220"/>
      <c r="CY204" s="220"/>
      <c r="CZ204" s="220"/>
      <c r="DA204" s="220"/>
      <c r="DB204" s="220"/>
      <c r="DC204" s="220"/>
      <c r="DD204" s="220"/>
      <c r="DE204" s="220"/>
      <c r="DF204" s="220"/>
      <c r="DG204" s="220"/>
      <c r="DH204" s="220"/>
      <c r="DI204" s="220"/>
      <c r="DJ204" s="220"/>
      <c r="DK204" s="220"/>
      <c r="DL204" s="220"/>
      <c r="DM204" s="220"/>
      <c r="DN204" s="220"/>
      <c r="DO204" s="220"/>
      <c r="DP204" s="220"/>
      <c r="DQ204" s="220"/>
    </row>
    <row r="205" spans="14:121" x14ac:dyDescent="0.25">
      <c r="N205" s="220"/>
      <c r="O205" s="220"/>
      <c r="P205" s="220"/>
      <c r="Q205" s="220"/>
      <c r="R205" s="220"/>
      <c r="S205" s="220"/>
      <c r="T205" s="220"/>
      <c r="U205" s="220"/>
      <c r="V205" s="220"/>
      <c r="W205" s="220"/>
      <c r="X205" s="220"/>
      <c r="Y205" s="220"/>
      <c r="Z205" s="220"/>
      <c r="AA205" s="220"/>
      <c r="AB205" s="220"/>
      <c r="AC205" s="220"/>
      <c r="AD205" s="220"/>
      <c r="AE205" s="220"/>
      <c r="AF205" s="220"/>
      <c r="AG205" s="220"/>
      <c r="AH205" s="220"/>
      <c r="AI205" s="220"/>
      <c r="AJ205" s="220"/>
      <c r="AK205" s="220"/>
      <c r="AL205" s="220"/>
      <c r="AM205" s="220"/>
      <c r="AN205" s="220"/>
      <c r="AO205" s="220"/>
      <c r="AP205" s="220"/>
      <c r="AQ205" s="220"/>
      <c r="AR205" s="220"/>
      <c r="AS205" s="220"/>
      <c r="AT205" s="220"/>
      <c r="AU205" s="220"/>
      <c r="AV205" s="220"/>
      <c r="AW205" s="220"/>
      <c r="AX205" s="220"/>
      <c r="AY205" s="220"/>
      <c r="AZ205" s="220"/>
      <c r="BA205" s="220"/>
      <c r="BB205" s="220"/>
      <c r="BC205" s="220"/>
      <c r="BD205" s="220"/>
      <c r="BE205" s="220"/>
      <c r="BF205" s="220"/>
      <c r="BG205" s="220"/>
      <c r="BH205" s="220"/>
      <c r="BI205" s="220"/>
      <c r="BJ205" s="220"/>
      <c r="BK205" s="220"/>
      <c r="BL205" s="220"/>
      <c r="BM205" s="220"/>
      <c r="BN205" s="220"/>
      <c r="BO205" s="220"/>
      <c r="BP205" s="220"/>
      <c r="BQ205" s="220"/>
      <c r="BR205" s="220"/>
      <c r="BS205" s="220"/>
      <c r="BT205" s="220"/>
      <c r="BU205" s="220"/>
      <c r="BV205" s="220"/>
      <c r="BW205" s="220"/>
      <c r="BX205" s="220"/>
      <c r="BY205" s="220"/>
      <c r="BZ205" s="220"/>
      <c r="CA205" s="220"/>
      <c r="CB205" s="220"/>
      <c r="CC205" s="220"/>
      <c r="CD205" s="220"/>
      <c r="CE205" s="220"/>
      <c r="CF205" s="220"/>
      <c r="CG205" s="220"/>
      <c r="CH205" s="220"/>
      <c r="CI205" s="220"/>
      <c r="CJ205" s="220"/>
      <c r="CK205" s="220"/>
      <c r="CL205" s="220"/>
      <c r="CM205" s="220"/>
      <c r="CN205" s="220"/>
      <c r="CO205" s="220"/>
      <c r="CP205" s="220"/>
      <c r="CQ205" s="220"/>
      <c r="CR205" s="220"/>
      <c r="CS205" s="220"/>
      <c r="CT205" s="220"/>
      <c r="CU205" s="220"/>
      <c r="CV205" s="220"/>
      <c r="CW205" s="220"/>
      <c r="CX205" s="220"/>
      <c r="CY205" s="220"/>
      <c r="CZ205" s="220"/>
      <c r="DA205" s="220"/>
      <c r="DB205" s="220"/>
      <c r="DC205" s="220"/>
      <c r="DD205" s="220"/>
      <c r="DE205" s="220"/>
      <c r="DF205" s="220"/>
      <c r="DG205" s="220"/>
      <c r="DH205" s="220"/>
      <c r="DI205" s="220"/>
      <c r="DJ205" s="220"/>
      <c r="DK205" s="220"/>
      <c r="DL205" s="220"/>
      <c r="DM205" s="220"/>
      <c r="DN205" s="220"/>
      <c r="DO205" s="220"/>
      <c r="DP205" s="220"/>
      <c r="DQ205" s="220"/>
    </row>
  </sheetData>
  <sheetProtection sheet="1" objects="1" scenarios="1" formatColumns="0" formatRows="0"/>
  <phoneticPr fontId="16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5D5F0-FE3E-4027-8286-7B557F56E745}">
  <sheetPr codeName="Sheet2"/>
  <dimension ref="A1:AR325"/>
  <sheetViews>
    <sheetView zoomScaleNormal="100" workbookViewId="0"/>
  </sheetViews>
  <sheetFormatPr defaultColWidth="9.140625" defaultRowHeight="15" x14ac:dyDescent="0.25"/>
  <cols>
    <col min="1" max="1" width="14.140625" style="16" customWidth="1"/>
    <col min="2" max="9" width="8.7109375" customWidth="1"/>
    <col min="10" max="10" width="6.5703125" style="16" customWidth="1"/>
    <col min="11" max="18" width="7.140625" customWidth="1"/>
    <col min="19" max="19" width="3.5703125" style="16" customWidth="1"/>
    <col min="20" max="25" width="11" style="16" customWidth="1"/>
    <col min="26" max="44" width="9.140625" style="16"/>
  </cols>
  <sheetData>
    <row r="1" spans="1:44" s="16" customFormat="1" ht="42" customHeight="1" x14ac:dyDescent="0.25">
      <c r="A1" s="122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94"/>
      <c r="U1" s="94"/>
      <c r="V1" s="94"/>
      <c r="W1" s="94"/>
      <c r="X1" s="94"/>
      <c r="Y1" s="95"/>
      <c r="Z1" s="95"/>
      <c r="AA1" s="95"/>
    </row>
    <row r="2" spans="1:44" s="88" customFormat="1" ht="12" customHeight="1" x14ac:dyDescent="0.2">
      <c r="A2" s="117" t="s">
        <v>85</v>
      </c>
      <c r="B2" s="87" t="s">
        <v>30</v>
      </c>
      <c r="C2" s="87" t="s">
        <v>31</v>
      </c>
      <c r="D2" s="87" t="s">
        <v>32</v>
      </c>
      <c r="E2" s="87" t="s">
        <v>33</v>
      </c>
      <c r="F2" s="87" t="s">
        <v>34</v>
      </c>
      <c r="G2" s="87" t="s">
        <v>35</v>
      </c>
      <c r="H2" s="87" t="s">
        <v>36</v>
      </c>
      <c r="I2" s="87" t="s">
        <v>37</v>
      </c>
      <c r="J2" s="86"/>
      <c r="K2" s="86"/>
      <c r="L2" s="86"/>
      <c r="M2" s="86"/>
      <c r="N2" s="86"/>
      <c r="O2" s="86"/>
      <c r="P2" s="86"/>
      <c r="Q2" s="86"/>
      <c r="R2" s="86"/>
      <c r="S2" s="86"/>
      <c r="T2" s="96"/>
      <c r="U2" s="96"/>
      <c r="V2" s="96"/>
      <c r="W2" s="96"/>
      <c r="X2" s="96"/>
      <c r="Y2" s="97"/>
      <c r="Z2" s="97"/>
      <c r="AA2" s="97"/>
    </row>
    <row r="3" spans="1:44" s="82" customFormat="1" ht="14.1" customHeight="1" x14ac:dyDescent="0.2">
      <c r="A3" s="67" t="s">
        <v>82</v>
      </c>
      <c r="B3" s="34" t="str" cm="1">
        <f t="array" ref="B3:I3">TRANSPOSE('Transfert to Runner'!H$4:H$11)</f>
        <v>Ab1-Dig</v>
      </c>
      <c r="C3" s="34" t="str">
        <v>Ab1-Dig</v>
      </c>
      <c r="D3" s="34" t="str">
        <v>Ab1-Dig</v>
      </c>
      <c r="E3" s="34" t="str">
        <v>Ab1-Dig</v>
      </c>
      <c r="F3" s="34" t="str">
        <v>Ab1-Dig</v>
      </c>
      <c r="G3" s="34" t="str">
        <v>Ab1-Dig</v>
      </c>
      <c r="H3" s="34" t="str">
        <v>Ab1-Dig</v>
      </c>
      <c r="I3" s="34" t="str">
        <v>Ab1-Dig</v>
      </c>
      <c r="J3" s="83"/>
      <c r="K3" s="81"/>
      <c r="L3" s="81"/>
      <c r="M3" s="81"/>
      <c r="N3" s="81"/>
      <c r="O3" s="81"/>
      <c r="P3" s="81"/>
      <c r="Q3" s="81"/>
      <c r="R3" s="81"/>
      <c r="S3" s="80"/>
      <c r="T3" s="85"/>
      <c r="U3" s="85"/>
      <c r="V3" s="85"/>
      <c r="W3" s="85"/>
      <c r="X3" s="85"/>
      <c r="Y3" s="103"/>
      <c r="Z3" s="103"/>
      <c r="AA3" s="103"/>
      <c r="AB3" s="81"/>
      <c r="AC3" s="81"/>
      <c r="AD3" s="81"/>
      <c r="AE3" s="81"/>
      <c r="AF3" s="81"/>
      <c r="AG3" s="81"/>
      <c r="AH3" s="81"/>
      <c r="AI3" s="81"/>
      <c r="AJ3" s="81"/>
      <c r="AK3" s="81"/>
      <c r="AL3" s="81"/>
      <c r="AM3" s="81"/>
      <c r="AN3" s="81"/>
      <c r="AO3" s="81"/>
      <c r="AP3" s="81"/>
      <c r="AQ3" s="81"/>
      <c r="AR3" s="81"/>
    </row>
    <row r="4" spans="1:44" ht="14.1" customHeight="1" x14ac:dyDescent="0.25">
      <c r="A4" s="67" t="s">
        <v>8</v>
      </c>
      <c r="B4" s="34" cm="1">
        <f t="array" ref="B4:I4">TRANSPOSE('Transfert to Runner'!I$4:I$11)</f>
        <v>10</v>
      </c>
      <c r="C4" s="34">
        <v>10</v>
      </c>
      <c r="D4" s="34">
        <v>10</v>
      </c>
      <c r="E4" s="34">
        <v>10</v>
      </c>
      <c r="F4" s="34">
        <v>10</v>
      </c>
      <c r="G4" s="34">
        <v>10</v>
      </c>
      <c r="H4" s="34">
        <v>10</v>
      </c>
      <c r="I4" s="34">
        <v>10</v>
      </c>
      <c r="J4" s="84"/>
      <c r="K4" s="16"/>
      <c r="L4" s="16"/>
      <c r="M4" s="16"/>
      <c r="N4" s="16"/>
      <c r="O4" s="16"/>
      <c r="P4" s="16"/>
      <c r="Q4" s="16"/>
      <c r="R4" s="16"/>
      <c r="S4" s="17"/>
      <c r="T4" s="41">
        <f>Create!J15</f>
        <v>0</v>
      </c>
      <c r="U4" s="60"/>
      <c r="V4" s="60"/>
      <c r="W4" s="60"/>
      <c r="X4" s="60"/>
      <c r="Y4" s="41"/>
      <c r="Z4" s="41"/>
      <c r="AA4" s="41"/>
    </row>
    <row r="5" spans="1:44" ht="14.1" customHeight="1" x14ac:dyDescent="0.25">
      <c r="A5" s="67" t="s">
        <v>83</v>
      </c>
      <c r="B5" s="34" t="str" cm="1">
        <f t="array" ref="B5:I5">TRANSPOSE('Transfert to Runner'!J$4:J$11)</f>
        <v>Ab1-Biot</v>
      </c>
      <c r="C5" s="34" t="str">
        <v>Ab1-Biot</v>
      </c>
      <c r="D5" s="34" t="str">
        <v>Ab1-Biot</v>
      </c>
      <c r="E5" s="34" t="str">
        <v>Ab1-Biot</v>
      </c>
      <c r="F5" s="34" t="str">
        <v>Ab1-Biot</v>
      </c>
      <c r="G5" s="34" t="str">
        <v>Ab1-Biot</v>
      </c>
      <c r="H5" s="34" t="str">
        <v>Ab1-Biot</v>
      </c>
      <c r="I5" s="34" t="str">
        <v>Ab1-Biot</v>
      </c>
      <c r="J5" s="84"/>
      <c r="K5" s="16"/>
      <c r="L5" s="16"/>
      <c r="M5" s="16"/>
      <c r="N5" s="16"/>
      <c r="O5" s="16"/>
      <c r="P5" s="16"/>
      <c r="Q5" s="16"/>
      <c r="R5" s="16"/>
      <c r="S5" s="17"/>
      <c r="T5" s="41">
        <f>Create!J16</f>
        <v>0</v>
      </c>
      <c r="U5" s="60"/>
      <c r="V5" s="60"/>
      <c r="W5" s="60"/>
      <c r="X5" s="60"/>
      <c r="Y5" s="41"/>
      <c r="Z5" s="41"/>
      <c r="AA5" s="41"/>
    </row>
    <row r="6" spans="1:44" ht="14.1" customHeight="1" x14ac:dyDescent="0.25">
      <c r="A6" s="67" t="s">
        <v>80</v>
      </c>
      <c r="B6" s="34" cm="1">
        <f t="array" ref="B6:I6">TRANSPOSE('Transfert to Runner'!K$4:K$11)</f>
        <v>10</v>
      </c>
      <c r="C6" s="34">
        <v>10</v>
      </c>
      <c r="D6" s="34">
        <v>10</v>
      </c>
      <c r="E6" s="34">
        <v>10</v>
      </c>
      <c r="F6" s="34">
        <v>10</v>
      </c>
      <c r="G6" s="34">
        <v>10</v>
      </c>
      <c r="H6" s="34">
        <v>10</v>
      </c>
      <c r="I6" s="34">
        <v>10</v>
      </c>
      <c r="J6" s="84"/>
      <c r="K6" s="16"/>
      <c r="L6" s="16"/>
      <c r="M6" s="16"/>
      <c r="N6" s="16"/>
      <c r="O6" s="16"/>
      <c r="P6" s="16"/>
      <c r="Q6" s="16"/>
      <c r="R6" s="16"/>
      <c r="S6" s="17"/>
      <c r="T6" s="41">
        <f>Create!J17</f>
        <v>2</v>
      </c>
      <c r="U6" s="60"/>
      <c r="V6" s="60"/>
      <c r="W6" s="60"/>
      <c r="X6" s="60"/>
      <c r="Y6" s="41"/>
      <c r="Z6" s="41"/>
      <c r="AA6" s="41"/>
    </row>
    <row r="7" spans="1:44" ht="14.1" customHeight="1" x14ac:dyDescent="0.25">
      <c r="A7" s="67" t="s">
        <v>20</v>
      </c>
      <c r="B7" s="34" t="str" cm="1">
        <f t="array" ref="B7:I7">TRANSPOSE('Transfert to Runner'!L$4:L$11)</f>
        <v>1xRD</v>
      </c>
      <c r="C7" s="34" t="str">
        <v>1xRD</v>
      </c>
      <c r="D7" s="34" t="str">
        <v>1xRD</v>
      </c>
      <c r="E7" s="34" t="str">
        <v>1xRD</v>
      </c>
      <c r="F7" s="34" t="str">
        <v>1xRD</v>
      </c>
      <c r="G7" s="34" t="str">
        <v>1xRD</v>
      </c>
      <c r="H7" s="34" t="str">
        <v>1xRD</v>
      </c>
      <c r="I7" s="34" t="str">
        <v>1xRD</v>
      </c>
      <c r="J7" s="84"/>
      <c r="K7" s="16"/>
      <c r="L7" s="16"/>
      <c r="M7" s="16"/>
      <c r="N7" s="16"/>
      <c r="O7" s="16"/>
      <c r="P7" s="16"/>
      <c r="Q7" s="16"/>
      <c r="R7" s="16"/>
      <c r="S7" s="17"/>
      <c r="T7" s="41">
        <f>Create!J18</f>
        <v>14.142135623730955</v>
      </c>
      <c r="U7" s="60"/>
      <c r="V7" s="60"/>
      <c r="W7" s="60"/>
      <c r="X7" s="60"/>
      <c r="Y7" s="41"/>
      <c r="Z7" s="41"/>
      <c r="AA7" s="41"/>
    </row>
    <row r="8" spans="1:44" ht="14.1" customHeight="1" x14ac:dyDescent="0.25">
      <c r="A8" s="67" t="s">
        <v>19</v>
      </c>
      <c r="B8" s="34" t="str" cm="1">
        <f t="array" ref="B8:I8">TRANSPOSE('Transfert to Runner'!C$4:C$11)</f>
        <v>Standard</v>
      </c>
      <c r="C8" s="34" t="str">
        <v>Standard</v>
      </c>
      <c r="D8" s="34" t="str">
        <v>Standard</v>
      </c>
      <c r="E8" s="34" t="str">
        <v>Standard</v>
      </c>
      <c r="F8" s="34" t="str">
        <v>Standard</v>
      </c>
      <c r="G8" s="34" t="str">
        <v>Standard</v>
      </c>
      <c r="H8" s="34" t="str">
        <v>Standard</v>
      </c>
      <c r="I8" s="34" t="str">
        <v>Standard</v>
      </c>
      <c r="J8" s="84"/>
      <c r="K8" s="16"/>
      <c r="L8" s="16"/>
      <c r="M8" s="16"/>
      <c r="N8" s="16"/>
      <c r="O8" s="16"/>
      <c r="P8" s="16"/>
      <c r="Q8" s="16"/>
      <c r="R8" s="16"/>
      <c r="S8" s="17"/>
      <c r="T8" s="41">
        <f>Create!J19</f>
        <v>100</v>
      </c>
      <c r="U8" s="42"/>
      <c r="V8" s="42"/>
      <c r="W8" s="42"/>
      <c r="X8" s="42"/>
      <c r="Y8" s="42"/>
      <c r="Z8" s="42"/>
      <c r="AA8" s="41"/>
    </row>
    <row r="9" spans="1:44" ht="14.1" customHeight="1" x14ac:dyDescent="0.25">
      <c r="A9" s="67" t="s">
        <v>81</v>
      </c>
      <c r="B9" s="34" cm="1">
        <f t="array" ref="B9:I9">TRANSPOSE('Transfert to Runner'!F$4:F$11)</f>
        <v>0</v>
      </c>
      <c r="C9" s="34">
        <v>100</v>
      </c>
      <c r="D9" s="34">
        <v>46.415888336127786</v>
      </c>
      <c r="E9" s="34">
        <v>21.544346900318835</v>
      </c>
      <c r="F9" s="34">
        <v>9.9999999999999982</v>
      </c>
      <c r="G9" s="34">
        <v>4.6415888336127775</v>
      </c>
      <c r="H9" s="34">
        <v>2.1544346900318829</v>
      </c>
      <c r="I9" s="34">
        <v>0.99999999999999956</v>
      </c>
      <c r="J9" s="84"/>
      <c r="K9" s="16"/>
      <c r="L9" s="16"/>
      <c r="M9" s="16"/>
      <c r="N9" s="16"/>
      <c r="O9" s="16"/>
      <c r="P9" s="16"/>
      <c r="Q9" s="16"/>
      <c r="R9" s="16"/>
      <c r="S9" s="17"/>
      <c r="T9" s="100"/>
      <c r="U9" s="42"/>
      <c r="V9" s="42"/>
      <c r="W9" s="42"/>
      <c r="X9" s="42"/>
      <c r="Y9" s="42"/>
      <c r="Z9" s="42"/>
      <c r="AA9" s="41"/>
    </row>
    <row r="10" spans="1:44" ht="18.95" customHeight="1" x14ac:dyDescent="0.25">
      <c r="A10" s="17"/>
      <c r="B10" s="35"/>
      <c r="C10" s="35"/>
      <c r="D10" s="35"/>
      <c r="E10" s="35"/>
      <c r="F10" s="35"/>
      <c r="G10" s="35"/>
      <c r="H10" s="35"/>
      <c r="I10" s="35"/>
      <c r="J10" s="84"/>
      <c r="K10" s="16"/>
      <c r="L10" s="16"/>
      <c r="M10" s="16"/>
      <c r="N10" s="16"/>
      <c r="O10" s="16"/>
      <c r="P10" s="16"/>
      <c r="Q10" s="16"/>
      <c r="R10" s="16"/>
      <c r="S10" s="17"/>
      <c r="T10" s="60"/>
      <c r="U10" s="42"/>
      <c r="V10" s="42"/>
      <c r="W10" s="42"/>
      <c r="X10" s="42"/>
      <c r="Y10" s="42"/>
      <c r="Z10" s="42"/>
      <c r="AA10" s="41"/>
    </row>
    <row r="11" spans="1:44" s="88" customFormat="1" ht="12" customHeight="1" x14ac:dyDescent="0.2">
      <c r="A11" s="117" t="s">
        <v>85</v>
      </c>
      <c r="B11" s="87" t="s">
        <v>38</v>
      </c>
      <c r="C11" s="87" t="s">
        <v>39</v>
      </c>
      <c r="D11" s="87" t="s">
        <v>40</v>
      </c>
      <c r="E11" s="87" t="s">
        <v>41</v>
      </c>
      <c r="F11" s="87" t="s">
        <v>42</v>
      </c>
      <c r="G11" s="87" t="s">
        <v>43</v>
      </c>
      <c r="H11" s="87" t="s">
        <v>44</v>
      </c>
      <c r="I11" s="87" t="s">
        <v>45</v>
      </c>
      <c r="J11" s="89"/>
      <c r="K11" s="90"/>
      <c r="L11" s="90"/>
      <c r="M11" s="90"/>
      <c r="N11" s="90"/>
      <c r="O11" s="90"/>
      <c r="P11" s="90"/>
      <c r="Q11" s="90"/>
      <c r="R11" s="90"/>
      <c r="S11" s="86"/>
      <c r="T11" s="96"/>
      <c r="U11" s="101"/>
      <c r="V11" s="101"/>
      <c r="W11" s="101"/>
      <c r="X11" s="101"/>
      <c r="Y11" s="101"/>
      <c r="Z11" s="101"/>
      <c r="AA11" s="97"/>
    </row>
    <row r="12" spans="1:44" s="82" customFormat="1" ht="14.1" customHeight="1" x14ac:dyDescent="0.2">
      <c r="A12" s="67" t="s">
        <v>82</v>
      </c>
      <c r="B12" s="34" t="str" cm="1">
        <f t="array" ref="B12:I12">TRANSPOSE('Transfert to Runner'!H$12:H$19)</f>
        <v>Ab1-Dig</v>
      </c>
      <c r="C12" s="34" t="str">
        <v>Ab1-Dig</v>
      </c>
      <c r="D12" s="34" t="str">
        <v>Ab1-Dig</v>
      </c>
      <c r="E12" s="34" t="str">
        <v>Ab1-Dig</v>
      </c>
      <c r="F12" s="34" t="str">
        <v>Ab1-Dig</v>
      </c>
      <c r="G12" s="34" t="str">
        <v>Ab1-Dig</v>
      </c>
      <c r="H12" s="34" t="str">
        <v>Ab1-Dig</v>
      </c>
      <c r="I12" s="34" t="str">
        <v>Ab1-Dig</v>
      </c>
      <c r="J12" s="83"/>
      <c r="K12" s="81"/>
      <c r="L12" s="81"/>
      <c r="M12" s="81"/>
      <c r="N12" s="81"/>
      <c r="O12" s="81"/>
      <c r="P12" s="81"/>
      <c r="Q12" s="81"/>
      <c r="R12" s="81"/>
      <c r="S12" s="80"/>
      <c r="T12" s="98"/>
      <c r="U12" s="102"/>
      <c r="V12" s="102"/>
      <c r="W12" s="102"/>
      <c r="X12" s="102"/>
      <c r="Y12" s="102"/>
      <c r="Z12" s="102"/>
      <c r="AA12" s="99"/>
      <c r="AB12" s="81"/>
      <c r="AC12" s="81"/>
      <c r="AD12" s="81"/>
      <c r="AE12" s="81"/>
      <c r="AF12" s="81"/>
      <c r="AG12" s="81"/>
      <c r="AH12" s="81"/>
      <c r="AI12" s="81"/>
      <c r="AJ12" s="81"/>
      <c r="AK12" s="81"/>
      <c r="AL12" s="81"/>
      <c r="AM12" s="81"/>
      <c r="AN12" s="81"/>
      <c r="AO12" s="81"/>
      <c r="AP12" s="81"/>
      <c r="AQ12" s="81"/>
      <c r="AR12" s="81"/>
    </row>
    <row r="13" spans="1:44" ht="14.1" customHeight="1" x14ac:dyDescent="0.25">
      <c r="A13" s="67" t="s">
        <v>8</v>
      </c>
      <c r="B13" s="34" cm="1">
        <f t="array" ref="B13:I13">TRANSPOSE('Transfert to Runner'!I$12:I$19)</f>
        <v>10</v>
      </c>
      <c r="C13" s="34">
        <v>10</v>
      </c>
      <c r="D13" s="34">
        <v>10</v>
      </c>
      <c r="E13" s="34">
        <v>10</v>
      </c>
      <c r="F13" s="34">
        <v>10</v>
      </c>
      <c r="G13" s="34">
        <v>10</v>
      </c>
      <c r="H13" s="34">
        <v>10</v>
      </c>
      <c r="I13" s="34">
        <v>10</v>
      </c>
      <c r="J13" s="84"/>
      <c r="K13" s="16"/>
      <c r="L13" s="16"/>
      <c r="M13" s="16"/>
      <c r="N13" s="16"/>
      <c r="O13" s="16"/>
      <c r="P13" s="16"/>
      <c r="Q13" s="16"/>
      <c r="R13" s="16"/>
      <c r="S13" s="17"/>
      <c r="T13" s="42" t="str">
        <f t="array" ref="T13:Y13">TRANSPOSE(Create!$C$15:$C$20)</f>
        <v>Ab1</v>
      </c>
      <c r="U13" s="42" t="str">
        <v>Ab2</v>
      </c>
      <c r="V13" s="42" t="str">
        <v>Ab3</v>
      </c>
      <c r="W13" s="42" t="str">
        <v>Ab4</v>
      </c>
      <c r="X13" s="42" t="str">
        <v>Ab5</v>
      </c>
      <c r="Y13" s="42" t="str">
        <v>Ab6</v>
      </c>
      <c r="Z13" s="42"/>
      <c r="AA13" s="41"/>
      <c r="AB13" s="41"/>
      <c r="AC13" s="41"/>
      <c r="AD13" s="41"/>
      <c r="AE13" s="41"/>
    </row>
    <row r="14" spans="1:44" ht="14.1" customHeight="1" x14ac:dyDescent="0.25">
      <c r="A14" s="67" t="s">
        <v>83</v>
      </c>
      <c r="B14" s="34" t="str" cm="1">
        <f t="array" ref="B14:I14">TRANSPOSE('Transfert to Runner'!J$12:J$19)</f>
        <v>Ab1-Biot</v>
      </c>
      <c r="C14" s="34" t="str">
        <v>Ab1-Biot</v>
      </c>
      <c r="D14" s="34" t="str">
        <v>Ab1-Biot</v>
      </c>
      <c r="E14" s="34" t="str">
        <v>Ab1-Biot</v>
      </c>
      <c r="F14" s="34" t="str">
        <v>Ab1-Biot</v>
      </c>
      <c r="G14" s="34" t="str">
        <v>Ab1-Biot</v>
      </c>
      <c r="H14" s="34" t="str">
        <v>Ab1-Biot</v>
      </c>
      <c r="I14" s="34" t="str">
        <v>Ab1-Biot</v>
      </c>
      <c r="J14" s="84"/>
      <c r="K14" s="16"/>
      <c r="L14" s="16"/>
      <c r="M14" s="16"/>
      <c r="N14" s="16"/>
      <c r="O14" s="16"/>
      <c r="P14" s="16"/>
      <c r="Q14" s="16"/>
      <c r="R14" s="16"/>
      <c r="S14" s="17"/>
      <c r="T14" s="42">
        <f t="array" ref="T14:Y14">TRANSPOSE(Create!$D$15:$D$20)</f>
        <v>10</v>
      </c>
      <c r="U14" s="42">
        <v>3.1622776601683795</v>
      </c>
      <c r="V14" s="42">
        <v>1</v>
      </c>
      <c r="W14" s="42">
        <v>0</v>
      </c>
      <c r="X14" s="42">
        <v>0</v>
      </c>
      <c r="Y14" s="42">
        <v>0</v>
      </c>
      <c r="Z14" s="42"/>
      <c r="AA14" s="41"/>
      <c r="AB14" s="41"/>
      <c r="AC14" s="41"/>
      <c r="AD14" s="41"/>
      <c r="AE14" s="41"/>
    </row>
    <row r="15" spans="1:44" ht="14.1" customHeight="1" x14ac:dyDescent="0.25">
      <c r="A15" s="67" t="s">
        <v>80</v>
      </c>
      <c r="B15" s="34" cm="1">
        <f t="array" ref="B15:I15">TRANSPOSE('Transfert to Runner'!K$12:K$19)</f>
        <v>3.5</v>
      </c>
      <c r="C15" s="34">
        <v>3.5</v>
      </c>
      <c r="D15" s="34">
        <v>3.5</v>
      </c>
      <c r="E15" s="34">
        <v>3.5</v>
      </c>
      <c r="F15" s="34">
        <v>3.5</v>
      </c>
      <c r="G15" s="34">
        <v>3.5</v>
      </c>
      <c r="H15" s="34">
        <v>3.5</v>
      </c>
      <c r="I15" s="34">
        <v>3.5</v>
      </c>
      <c r="J15" s="84"/>
      <c r="K15" s="16"/>
      <c r="L15" s="16"/>
      <c r="M15" s="16"/>
      <c r="N15" s="16"/>
      <c r="O15" s="16"/>
      <c r="P15" s="16"/>
      <c r="Q15" s="16"/>
      <c r="R15" s="16"/>
      <c r="S15" s="17"/>
      <c r="T15" s="42" t="str">
        <f t="array" ref="T15:Y15">TRANSPOSE(Create!$E$15:$E$20)</f>
        <v>Ab1</v>
      </c>
      <c r="U15" s="42" t="str">
        <v>Ab2</v>
      </c>
      <c r="V15" s="42" t="str">
        <v>Ab3</v>
      </c>
      <c r="W15" s="42" t="str">
        <v>Ab4</v>
      </c>
      <c r="X15" s="42" t="str">
        <v>Ab5</v>
      </c>
      <c r="Y15" s="42" t="str">
        <v>Ab6</v>
      </c>
      <c r="Z15" s="42"/>
      <c r="AA15" s="41"/>
      <c r="AB15" s="41"/>
      <c r="AC15" s="41"/>
      <c r="AD15" s="41"/>
      <c r="AE15" s="41"/>
    </row>
    <row r="16" spans="1:44" ht="14.1" customHeight="1" x14ac:dyDescent="0.25">
      <c r="A16" s="67" t="s">
        <v>20</v>
      </c>
      <c r="B16" s="34" t="str" cm="1">
        <f t="array" ref="B16:I16">TRANSPOSE('Transfert to Runner'!L$12:L$19)</f>
        <v>1xRD</v>
      </c>
      <c r="C16" s="34" t="str">
        <v>1xRD</v>
      </c>
      <c r="D16" s="34" t="str">
        <v>1xRD</v>
      </c>
      <c r="E16" s="34" t="str">
        <v>1xRD</v>
      </c>
      <c r="F16" s="34" t="str">
        <v>1xRD</v>
      </c>
      <c r="G16" s="34" t="str">
        <v>1xRD</v>
      </c>
      <c r="H16" s="34" t="str">
        <v>1xRD</v>
      </c>
      <c r="I16" s="34" t="str">
        <v>1xRD</v>
      </c>
      <c r="J16" s="84"/>
      <c r="K16" s="16"/>
      <c r="L16" s="16"/>
      <c r="M16" s="16"/>
      <c r="N16" s="16"/>
      <c r="O16" s="16"/>
      <c r="P16" s="16"/>
      <c r="Q16" s="16"/>
      <c r="R16" s="16"/>
      <c r="S16" s="17"/>
      <c r="T16" s="42">
        <f t="array" ref="T16:Y16">TRANSPOSE(Create!$F$15:$F$20)</f>
        <v>10</v>
      </c>
      <c r="U16" s="42">
        <v>3.5</v>
      </c>
      <c r="V16" s="42">
        <v>0</v>
      </c>
      <c r="W16" s="42">
        <v>0</v>
      </c>
      <c r="X16" s="42">
        <v>0</v>
      </c>
      <c r="Y16" s="42">
        <v>0</v>
      </c>
      <c r="Z16" s="42"/>
      <c r="AA16" s="41"/>
      <c r="AB16" s="41"/>
      <c r="AC16" s="41"/>
      <c r="AD16" s="41"/>
      <c r="AE16" s="41"/>
    </row>
    <row r="17" spans="1:44" ht="14.1" customHeight="1" x14ac:dyDescent="0.25">
      <c r="A17" s="67" t="s">
        <v>19</v>
      </c>
      <c r="B17" s="34" t="str" cm="1">
        <f t="array" ref="B17:I17">TRANSPOSE('Transfert to Runner'!C$12:C$19)</f>
        <v>Standard</v>
      </c>
      <c r="C17" s="34" t="str">
        <v>Standard</v>
      </c>
      <c r="D17" s="34" t="str">
        <v>Standard</v>
      </c>
      <c r="E17" s="34" t="str">
        <v>Standard</v>
      </c>
      <c r="F17" s="34" t="str">
        <v>Standard</v>
      </c>
      <c r="G17" s="34" t="str">
        <v>Standard</v>
      </c>
      <c r="H17" s="34" t="str">
        <v>Standard</v>
      </c>
      <c r="I17" s="34" t="str">
        <v>Standard</v>
      </c>
      <c r="J17" s="84"/>
      <c r="K17" s="16"/>
      <c r="L17" s="16"/>
      <c r="M17" s="16"/>
      <c r="N17" s="16"/>
      <c r="O17" s="16"/>
      <c r="P17" s="16"/>
      <c r="Q17" s="16"/>
      <c r="R17" s="16"/>
      <c r="S17" s="17"/>
      <c r="T17" s="42" t="str">
        <f t="array" ref="T17:Y17">TRANSPOSE(Create!$G$15:$G$20)</f>
        <v>1xRD</v>
      </c>
      <c r="U17" s="42" t="str">
        <v>PBS</v>
      </c>
      <c r="V17" s="42" t="str">
        <v>SD13</v>
      </c>
      <c r="W17" s="42" t="str">
        <v>SD06</v>
      </c>
      <c r="X17" s="42" t="str">
        <v>SD19</v>
      </c>
      <c r="Y17" s="42" t="str">
        <v>SD42</v>
      </c>
      <c r="Z17" s="42"/>
      <c r="AA17" s="41"/>
      <c r="AB17" s="41"/>
      <c r="AC17" s="41"/>
      <c r="AD17" s="41"/>
      <c r="AE17" s="41"/>
    </row>
    <row r="18" spans="1:44" ht="14.1" customHeight="1" x14ac:dyDescent="0.25">
      <c r="A18" s="67" t="s">
        <v>81</v>
      </c>
      <c r="B18" s="34" cm="1">
        <f t="array" ref="B18:I18">TRANSPOSE('Transfert to Runner'!F$12:F$19)</f>
        <v>0</v>
      </c>
      <c r="C18" s="34">
        <v>100</v>
      </c>
      <c r="D18" s="34">
        <v>46.415888336127786</v>
      </c>
      <c r="E18" s="34">
        <v>21.544346900318835</v>
      </c>
      <c r="F18" s="34">
        <v>9.9999999999999982</v>
      </c>
      <c r="G18" s="34">
        <v>4.6415888336127775</v>
      </c>
      <c r="H18" s="34">
        <v>2.1544346900318829</v>
      </c>
      <c r="I18" s="34">
        <v>0.99999999999999956</v>
      </c>
      <c r="J18" s="84"/>
      <c r="K18" s="16"/>
      <c r="L18" s="16"/>
      <c r="M18" s="16"/>
      <c r="N18" s="16"/>
      <c r="O18" s="16"/>
      <c r="P18" s="16"/>
      <c r="Q18" s="16"/>
      <c r="R18" s="16"/>
      <c r="S18" s="17"/>
      <c r="T18" s="42" t="str">
        <f t="array" ref="T18:Y18">TRANSPOSE(Create!$H$15:$H$20)</f>
        <v>Standard</v>
      </c>
      <c r="U18" s="42" t="str">
        <v>Control</v>
      </c>
      <c r="V18" s="42" t="str">
        <v>bla</v>
      </c>
      <c r="W18" s="42" t="str">
        <v>truc</v>
      </c>
      <c r="X18" s="42">
        <v>0</v>
      </c>
      <c r="Y18" s="42">
        <v>0</v>
      </c>
      <c r="Z18" s="42"/>
      <c r="AA18" s="41"/>
      <c r="AB18" s="41"/>
      <c r="AC18" s="41"/>
      <c r="AD18" s="41"/>
      <c r="AE18" s="41"/>
    </row>
    <row r="19" spans="1:44" ht="18.95" customHeight="1" x14ac:dyDescent="0.25">
      <c r="B19" s="16"/>
      <c r="C19" s="16"/>
      <c r="D19" s="16"/>
      <c r="E19" s="16"/>
      <c r="F19" s="16"/>
      <c r="G19" s="16"/>
      <c r="H19" s="16"/>
      <c r="I19" s="16"/>
      <c r="J19" s="84"/>
      <c r="K19" s="16"/>
      <c r="L19" s="16"/>
      <c r="M19" s="16"/>
      <c r="N19" s="16"/>
      <c r="O19" s="16"/>
      <c r="P19" s="16"/>
      <c r="Q19" s="16"/>
      <c r="R19" s="16"/>
      <c r="S19" s="17"/>
      <c r="T19" s="42">
        <f t="array" ref="T19:AE19">TRANSPOSE(Create!$I$15:$I$26)</f>
        <v>0</v>
      </c>
      <c r="U19" s="42">
        <v>100</v>
      </c>
      <c r="V19" s="42">
        <v>46.415888336127786</v>
      </c>
      <c r="W19" s="42">
        <v>21.544346900318835</v>
      </c>
      <c r="X19" s="42">
        <v>9.9999999999999982</v>
      </c>
      <c r="Y19" s="42">
        <v>4.6415888336127775</v>
      </c>
      <c r="Z19" s="42">
        <v>2.1544346900318829</v>
      </c>
      <c r="AA19" s="43">
        <v>0.99999999999999956</v>
      </c>
      <c r="AB19" s="43">
        <v>0</v>
      </c>
      <c r="AC19" s="43">
        <v>0</v>
      </c>
      <c r="AD19" s="43">
        <v>0</v>
      </c>
      <c r="AE19" s="43">
        <v>0</v>
      </c>
    </row>
    <row r="20" spans="1:44" s="88" customFormat="1" ht="12" customHeight="1" x14ac:dyDescent="0.2">
      <c r="A20" s="117" t="s">
        <v>85</v>
      </c>
      <c r="B20" s="87" t="s">
        <v>46</v>
      </c>
      <c r="C20" s="87" t="s">
        <v>47</v>
      </c>
      <c r="D20" s="87" t="s">
        <v>48</v>
      </c>
      <c r="E20" s="87" t="s">
        <v>49</v>
      </c>
      <c r="F20" s="87" t="s">
        <v>50</v>
      </c>
      <c r="G20" s="87" t="s">
        <v>51</v>
      </c>
      <c r="H20" s="87" t="s">
        <v>52</v>
      </c>
      <c r="I20" s="87" t="s">
        <v>53</v>
      </c>
      <c r="J20" s="89"/>
      <c r="K20" s="90"/>
      <c r="L20" s="90"/>
      <c r="M20" s="90"/>
      <c r="N20" s="90"/>
      <c r="O20" s="90"/>
      <c r="P20" s="90"/>
      <c r="Q20" s="90"/>
      <c r="R20" s="90"/>
      <c r="S20" s="86"/>
      <c r="T20" s="91"/>
      <c r="U20" s="91"/>
      <c r="V20" s="91"/>
      <c r="W20" s="91"/>
      <c r="X20" s="91"/>
      <c r="Y20" s="104"/>
      <c r="Z20" s="104"/>
      <c r="AA20" s="104"/>
    </row>
    <row r="21" spans="1:44" s="82" customFormat="1" ht="14.1" customHeight="1" x14ac:dyDescent="0.2">
      <c r="A21" s="67" t="s">
        <v>82</v>
      </c>
      <c r="B21" s="34" t="str" cm="1">
        <f t="array" ref="B21:I21">TRANSPOSE('Transfert to Runner'!H$20:H$27)</f>
        <v>Ab1-Dig</v>
      </c>
      <c r="C21" s="34" t="str">
        <v>Ab1-Dig</v>
      </c>
      <c r="D21" s="34" t="str">
        <v>Ab1-Dig</v>
      </c>
      <c r="E21" s="34" t="str">
        <v>Ab1-Dig</v>
      </c>
      <c r="F21" s="34" t="str">
        <v>Ab1-Dig</v>
      </c>
      <c r="G21" s="34" t="str">
        <v>Ab1-Dig</v>
      </c>
      <c r="H21" s="34" t="str">
        <v>Ab1-Dig</v>
      </c>
      <c r="I21" s="34" t="str">
        <v>Ab1-Dig</v>
      </c>
      <c r="J21" s="83"/>
      <c r="K21" s="81"/>
      <c r="L21" s="81"/>
      <c r="M21" s="81"/>
      <c r="N21" s="81"/>
      <c r="O21" s="81"/>
      <c r="P21" s="81"/>
      <c r="Q21" s="81"/>
      <c r="R21" s="81"/>
      <c r="S21" s="80"/>
      <c r="T21" s="85"/>
      <c r="U21" s="85"/>
      <c r="V21" s="85"/>
      <c r="W21" s="85"/>
      <c r="X21" s="85"/>
      <c r="Y21" s="103"/>
      <c r="Z21" s="103"/>
      <c r="AA21" s="103"/>
      <c r="AB21" s="81"/>
      <c r="AC21" s="81"/>
      <c r="AD21" s="81"/>
      <c r="AE21" s="81"/>
      <c r="AF21" s="81"/>
      <c r="AG21" s="81"/>
      <c r="AH21" s="81"/>
      <c r="AI21" s="81"/>
      <c r="AJ21" s="81"/>
      <c r="AK21" s="81"/>
      <c r="AL21" s="81"/>
      <c r="AM21" s="81"/>
      <c r="AN21" s="81"/>
      <c r="AO21" s="81"/>
      <c r="AP21" s="81"/>
      <c r="AQ21" s="81"/>
      <c r="AR21" s="81"/>
    </row>
    <row r="22" spans="1:44" ht="14.1" customHeight="1" x14ac:dyDescent="0.25">
      <c r="A22" s="67" t="s">
        <v>8</v>
      </c>
      <c r="B22" s="34" cm="1">
        <f t="array" ref="B22:I22">TRANSPOSE('Transfert to Runner'!I$20:I$27)</f>
        <v>3.1622776601683795</v>
      </c>
      <c r="C22" s="34">
        <v>3.1622776601683795</v>
      </c>
      <c r="D22" s="34">
        <v>3.1622776601683795</v>
      </c>
      <c r="E22" s="34">
        <v>3.1622776601683795</v>
      </c>
      <c r="F22" s="34">
        <v>3.1622776601683795</v>
      </c>
      <c r="G22" s="34">
        <v>3.1622776601683795</v>
      </c>
      <c r="H22" s="34">
        <v>3.1622776601683795</v>
      </c>
      <c r="I22" s="34">
        <v>3.1622776601683795</v>
      </c>
      <c r="J22" s="84"/>
      <c r="K22" s="16"/>
      <c r="L22" s="16"/>
      <c r="M22" s="16"/>
      <c r="N22" s="16"/>
      <c r="O22" s="16"/>
      <c r="P22" s="16"/>
      <c r="Q22" s="16"/>
      <c r="R22" s="16"/>
      <c r="S22" s="17"/>
      <c r="T22" s="39"/>
      <c r="U22" s="39"/>
      <c r="V22" s="39"/>
      <c r="W22" s="39"/>
      <c r="X22" s="39"/>
      <c r="Y22" s="51"/>
      <c r="Z22" s="51"/>
      <c r="AA22" s="51"/>
    </row>
    <row r="23" spans="1:44" ht="14.1" customHeight="1" x14ac:dyDescent="0.25">
      <c r="A23" s="67" t="s">
        <v>83</v>
      </c>
      <c r="B23" s="34" t="str" cm="1">
        <f t="array" ref="B23:I23">TRANSPOSE('Transfert to Runner'!J$20:J$27)</f>
        <v>Ab1-Biot</v>
      </c>
      <c r="C23" s="34" t="str">
        <v>Ab1-Biot</v>
      </c>
      <c r="D23" s="34" t="str">
        <v>Ab1-Biot</v>
      </c>
      <c r="E23" s="34" t="str">
        <v>Ab1-Biot</v>
      </c>
      <c r="F23" s="34" t="str">
        <v>Ab1-Biot</v>
      </c>
      <c r="G23" s="34" t="str">
        <v>Ab1-Biot</v>
      </c>
      <c r="H23" s="34" t="str">
        <v>Ab1-Biot</v>
      </c>
      <c r="I23" s="34" t="str">
        <v>Ab1-Biot</v>
      </c>
      <c r="J23" s="84"/>
      <c r="K23" s="16"/>
      <c r="L23" s="16"/>
      <c r="M23" s="16"/>
      <c r="N23" s="16"/>
      <c r="O23" s="16"/>
      <c r="P23" s="16"/>
      <c r="Q23" s="16"/>
      <c r="R23" s="16"/>
      <c r="S23" s="17"/>
      <c r="T23" s="39"/>
      <c r="U23" s="39"/>
      <c r="V23" s="39"/>
      <c r="W23" s="39"/>
      <c r="X23" s="39"/>
      <c r="Y23" s="51"/>
      <c r="Z23" s="51"/>
      <c r="AA23" s="51"/>
    </row>
    <row r="24" spans="1:44" ht="14.1" customHeight="1" x14ac:dyDescent="0.25">
      <c r="A24" s="67" t="s">
        <v>80</v>
      </c>
      <c r="B24" s="34" cm="1">
        <f t="array" ref="B24:I24">TRANSPOSE('Transfert to Runner'!K$20:K$27)</f>
        <v>10</v>
      </c>
      <c r="C24" s="34">
        <v>10</v>
      </c>
      <c r="D24" s="34">
        <v>10</v>
      </c>
      <c r="E24" s="34">
        <v>10</v>
      </c>
      <c r="F24" s="34">
        <v>10</v>
      </c>
      <c r="G24" s="34">
        <v>10</v>
      </c>
      <c r="H24" s="34">
        <v>10</v>
      </c>
      <c r="I24" s="34">
        <v>10</v>
      </c>
      <c r="J24" s="84"/>
      <c r="K24" s="16"/>
      <c r="L24" s="16"/>
      <c r="M24" s="16"/>
      <c r="N24" s="16"/>
      <c r="O24" s="16"/>
      <c r="P24" s="16"/>
      <c r="Q24" s="16"/>
      <c r="R24" s="16"/>
      <c r="S24" s="17"/>
      <c r="T24" s="39"/>
      <c r="U24" s="39"/>
      <c r="V24" s="39"/>
      <c r="W24" s="39"/>
      <c r="X24" s="39"/>
      <c r="Y24" s="51"/>
      <c r="Z24" s="51"/>
      <c r="AA24" s="51"/>
    </row>
    <row r="25" spans="1:44" ht="14.1" customHeight="1" x14ac:dyDescent="0.25">
      <c r="A25" s="67" t="s">
        <v>20</v>
      </c>
      <c r="B25" s="34" t="str" cm="1">
        <f t="array" ref="B25:I25">TRANSPOSE('Transfert to Runner'!L$20:L$27)</f>
        <v>1xRD</v>
      </c>
      <c r="C25" s="34" t="str">
        <v>1xRD</v>
      </c>
      <c r="D25" s="34" t="str">
        <v>1xRD</v>
      </c>
      <c r="E25" s="34" t="str">
        <v>1xRD</v>
      </c>
      <c r="F25" s="34" t="str">
        <v>1xRD</v>
      </c>
      <c r="G25" s="34" t="str">
        <v>1xRD</v>
      </c>
      <c r="H25" s="34" t="str">
        <v>1xRD</v>
      </c>
      <c r="I25" s="34" t="str">
        <v>1xRD</v>
      </c>
      <c r="J25" s="84"/>
      <c r="K25" s="16"/>
      <c r="L25" s="16"/>
      <c r="M25" s="16"/>
      <c r="N25" s="16"/>
      <c r="O25" s="16"/>
      <c r="P25" s="16"/>
      <c r="Q25" s="16"/>
      <c r="R25" s="16"/>
      <c r="S25" s="17"/>
      <c r="T25" s="39"/>
      <c r="U25" s="39"/>
      <c r="V25" s="39"/>
      <c r="W25" s="39"/>
      <c r="X25" s="39"/>
      <c r="Y25" s="51"/>
      <c r="Z25" s="51"/>
      <c r="AA25" s="51"/>
    </row>
    <row r="26" spans="1:44" ht="14.1" customHeight="1" x14ac:dyDescent="0.25">
      <c r="A26" s="67" t="s">
        <v>19</v>
      </c>
      <c r="B26" s="34" t="str" cm="1">
        <f t="array" ref="B26:I26">TRANSPOSE('Transfert to Runner'!C$20:C$27)</f>
        <v>Standard</v>
      </c>
      <c r="C26" s="34" t="str">
        <v>Standard</v>
      </c>
      <c r="D26" s="34" t="str">
        <v>Standard</v>
      </c>
      <c r="E26" s="34" t="str">
        <v>Standard</v>
      </c>
      <c r="F26" s="34" t="str">
        <v>Standard</v>
      </c>
      <c r="G26" s="34" t="str">
        <v>Standard</v>
      </c>
      <c r="H26" s="34" t="str">
        <v>Standard</v>
      </c>
      <c r="I26" s="34" t="str">
        <v>Standard</v>
      </c>
      <c r="J26" s="84"/>
      <c r="K26" s="16"/>
      <c r="L26" s="16"/>
      <c r="M26" s="16"/>
      <c r="N26" s="16"/>
      <c r="O26" s="16"/>
      <c r="P26" s="16"/>
      <c r="Q26" s="16"/>
      <c r="R26" s="16"/>
      <c r="S26" s="17"/>
      <c r="T26" s="39"/>
      <c r="U26" s="39"/>
      <c r="V26" s="39"/>
      <c r="W26" s="39"/>
      <c r="X26" s="39"/>
      <c r="Y26" s="51"/>
      <c r="Z26" s="51"/>
      <c r="AA26" s="51"/>
    </row>
    <row r="27" spans="1:44" ht="14.1" customHeight="1" x14ac:dyDescent="0.25">
      <c r="A27" s="67" t="s">
        <v>81</v>
      </c>
      <c r="B27" s="34" cm="1">
        <f t="array" ref="B27:I27">TRANSPOSE('Transfert to Runner'!F$20:F$27)</f>
        <v>0</v>
      </c>
      <c r="C27" s="34">
        <v>100</v>
      </c>
      <c r="D27" s="34">
        <v>46.415888336127786</v>
      </c>
      <c r="E27" s="34">
        <v>21.544346900318835</v>
      </c>
      <c r="F27" s="34">
        <v>9.9999999999999982</v>
      </c>
      <c r="G27" s="34">
        <v>4.6415888336127775</v>
      </c>
      <c r="H27" s="34">
        <v>2.1544346900318829</v>
      </c>
      <c r="I27" s="34">
        <v>0.99999999999999956</v>
      </c>
      <c r="J27" s="84"/>
      <c r="K27" s="16"/>
      <c r="L27" s="16"/>
      <c r="M27" s="16"/>
      <c r="N27" s="16"/>
      <c r="O27" s="16"/>
      <c r="P27" s="16"/>
      <c r="Q27" s="16"/>
      <c r="R27" s="16"/>
      <c r="S27" s="17"/>
      <c r="T27" s="17"/>
      <c r="U27" s="17"/>
      <c r="V27" s="17"/>
      <c r="W27" s="17"/>
      <c r="X27" s="17"/>
    </row>
    <row r="28" spans="1:44" ht="18.95" customHeight="1" x14ac:dyDescent="0.25">
      <c r="A28" s="17"/>
      <c r="B28" s="35"/>
      <c r="C28" s="35"/>
      <c r="D28" s="35"/>
      <c r="E28" s="35"/>
      <c r="F28" s="35"/>
      <c r="G28" s="35"/>
      <c r="H28" s="35"/>
      <c r="I28" s="35"/>
      <c r="J28" s="84"/>
      <c r="K28" s="16"/>
      <c r="L28" s="16"/>
      <c r="M28" s="16"/>
      <c r="N28" s="16"/>
      <c r="O28" s="16"/>
      <c r="P28" s="16"/>
      <c r="Q28" s="16"/>
      <c r="R28" s="16"/>
      <c r="S28" s="17"/>
      <c r="T28" s="17"/>
      <c r="U28" s="17"/>
      <c r="V28" s="17"/>
      <c r="W28" s="17"/>
      <c r="X28" s="17"/>
    </row>
    <row r="29" spans="1:44" s="88" customFormat="1" ht="12" customHeight="1" x14ac:dyDescent="0.2">
      <c r="A29" s="117" t="s">
        <v>85</v>
      </c>
      <c r="B29" s="87" t="s">
        <v>54</v>
      </c>
      <c r="C29" s="87" t="s">
        <v>55</v>
      </c>
      <c r="D29" s="87" t="s">
        <v>56</v>
      </c>
      <c r="E29" s="87" t="s">
        <v>57</v>
      </c>
      <c r="F29" s="87" t="s">
        <v>58</v>
      </c>
      <c r="G29" s="87" t="s">
        <v>59</v>
      </c>
      <c r="H29" s="87" t="s">
        <v>60</v>
      </c>
      <c r="I29" s="87" t="s">
        <v>61</v>
      </c>
      <c r="J29" s="86"/>
      <c r="K29" s="86"/>
      <c r="L29" s="86"/>
      <c r="M29" s="86"/>
      <c r="N29" s="86"/>
      <c r="O29" s="86"/>
      <c r="P29" s="86"/>
      <c r="Q29" s="86"/>
      <c r="R29" s="86"/>
      <c r="S29" s="86"/>
      <c r="T29" s="86"/>
      <c r="U29" s="86"/>
      <c r="V29" s="86"/>
      <c r="W29" s="86"/>
      <c r="X29" s="86"/>
    </row>
    <row r="30" spans="1:44" s="16" customFormat="1" ht="14.1" customHeight="1" x14ac:dyDescent="0.25">
      <c r="A30" s="67" t="s">
        <v>82</v>
      </c>
      <c r="B30" s="34" t="str" cm="1">
        <f t="array" ref="B30:I30">TRANSPOSE('Transfert to Runner'!H$28:H$35)</f>
        <v>Ab1-Dig</v>
      </c>
      <c r="C30" s="34" t="str">
        <v>Ab1-Dig</v>
      </c>
      <c r="D30" s="34" t="str">
        <v>Ab1-Dig</v>
      </c>
      <c r="E30" s="34" t="str">
        <v>Ab1-Dig</v>
      </c>
      <c r="F30" s="34" t="str">
        <v>Ab1-Dig</v>
      </c>
      <c r="G30" s="34" t="str">
        <v>Ab1-Dig</v>
      </c>
      <c r="H30" s="34" t="str">
        <v>Ab1-Dig</v>
      </c>
      <c r="I30" s="34" t="str">
        <v>Ab1-Dig</v>
      </c>
      <c r="J30" s="17"/>
      <c r="K30" s="17"/>
      <c r="L30" s="17"/>
      <c r="M30" s="17"/>
      <c r="N30" s="17"/>
      <c r="O30" s="17"/>
      <c r="P30" s="17"/>
      <c r="Q30" s="17"/>
      <c r="R30" s="17"/>
      <c r="S30" s="17"/>
      <c r="T30" s="17"/>
      <c r="U30" s="17"/>
      <c r="V30" s="17"/>
      <c r="W30" s="17"/>
      <c r="X30" s="17"/>
    </row>
    <row r="31" spans="1:44" s="16" customFormat="1" ht="14.1" customHeight="1" x14ac:dyDescent="0.25">
      <c r="A31" s="67" t="s">
        <v>8</v>
      </c>
      <c r="B31" s="34" cm="1">
        <f t="array" ref="B31:I31">TRANSPOSE('Transfert to Runner'!I$28:I$35)</f>
        <v>3.1622776601683795</v>
      </c>
      <c r="C31" s="34">
        <v>3.1622776601683795</v>
      </c>
      <c r="D31" s="34">
        <v>3.1622776601683795</v>
      </c>
      <c r="E31" s="34">
        <v>3.1622776601683795</v>
      </c>
      <c r="F31" s="34">
        <v>3.1622776601683795</v>
      </c>
      <c r="G31" s="34">
        <v>3.1622776601683795</v>
      </c>
      <c r="H31" s="34">
        <v>3.1622776601683795</v>
      </c>
      <c r="I31" s="34">
        <v>3.1622776601683795</v>
      </c>
      <c r="J31" s="17"/>
      <c r="K31" s="17"/>
      <c r="L31" s="17"/>
      <c r="M31" s="17"/>
      <c r="N31" s="17"/>
      <c r="O31" s="17"/>
      <c r="P31" s="17"/>
      <c r="Q31" s="17"/>
      <c r="R31" s="17"/>
      <c r="S31" s="17"/>
      <c r="T31" s="17"/>
      <c r="U31" s="17"/>
      <c r="V31" s="17"/>
      <c r="W31" s="17"/>
      <c r="X31" s="17"/>
    </row>
    <row r="32" spans="1:44" s="16" customFormat="1" ht="14.1" customHeight="1" x14ac:dyDescent="0.25">
      <c r="A32" s="67" t="s">
        <v>83</v>
      </c>
      <c r="B32" s="34" t="str" cm="1">
        <f t="array" ref="B32:I32">TRANSPOSE('Transfert to Runner'!J$28:J$35)</f>
        <v>Ab1-Biot</v>
      </c>
      <c r="C32" s="34" t="str">
        <v>Ab1-Biot</v>
      </c>
      <c r="D32" s="34" t="str">
        <v>Ab1-Biot</v>
      </c>
      <c r="E32" s="34" t="str">
        <v>Ab1-Biot</v>
      </c>
      <c r="F32" s="34" t="str">
        <v>Ab1-Biot</v>
      </c>
      <c r="G32" s="34" t="str">
        <v>Ab1-Biot</v>
      </c>
      <c r="H32" s="34" t="str">
        <v>Ab1-Biot</v>
      </c>
      <c r="I32" s="34" t="str">
        <v>Ab1-Biot</v>
      </c>
      <c r="J32" s="17"/>
      <c r="K32" s="17"/>
      <c r="L32" s="17"/>
      <c r="M32" s="17"/>
      <c r="N32" s="17"/>
      <c r="O32" s="17"/>
      <c r="P32" s="17"/>
      <c r="Q32" s="17"/>
      <c r="R32" s="17"/>
      <c r="S32" s="17"/>
      <c r="T32" s="17"/>
      <c r="U32" s="17"/>
      <c r="V32" s="17"/>
      <c r="W32" s="17"/>
      <c r="X32" s="17"/>
    </row>
    <row r="33" spans="1:24" s="16" customFormat="1" ht="14.1" customHeight="1" x14ac:dyDescent="0.25">
      <c r="A33" s="67" t="s">
        <v>80</v>
      </c>
      <c r="B33" s="34" cm="1">
        <f t="array" ref="B33:I33">TRANSPOSE('Transfert to Runner'!K$28:K$35)</f>
        <v>3.5</v>
      </c>
      <c r="C33" s="34">
        <v>3.5</v>
      </c>
      <c r="D33" s="34">
        <v>3.5</v>
      </c>
      <c r="E33" s="34">
        <v>3.5</v>
      </c>
      <c r="F33" s="34">
        <v>3.5</v>
      </c>
      <c r="G33" s="34">
        <v>3.5</v>
      </c>
      <c r="H33" s="34">
        <v>3.5</v>
      </c>
      <c r="I33" s="34">
        <v>3.5</v>
      </c>
      <c r="J33" s="17"/>
      <c r="K33" s="17"/>
      <c r="L33" s="17"/>
      <c r="M33" s="17"/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</row>
    <row r="34" spans="1:24" s="16" customFormat="1" ht="14.1" customHeight="1" x14ac:dyDescent="0.25">
      <c r="A34" s="67" t="s">
        <v>20</v>
      </c>
      <c r="B34" s="34" t="str" cm="1">
        <f t="array" ref="B34:I34">TRANSPOSE('Transfert to Runner'!L$28:L$35)</f>
        <v>1xRD</v>
      </c>
      <c r="C34" s="34" t="str">
        <v>1xRD</v>
      </c>
      <c r="D34" s="34" t="str">
        <v>1xRD</v>
      </c>
      <c r="E34" s="34" t="str">
        <v>1xRD</v>
      </c>
      <c r="F34" s="34" t="str">
        <v>1xRD</v>
      </c>
      <c r="G34" s="34" t="str">
        <v>1xRD</v>
      </c>
      <c r="H34" s="34" t="str">
        <v>1xRD</v>
      </c>
      <c r="I34" s="34" t="str">
        <v>1xRD</v>
      </c>
      <c r="J34" s="17"/>
      <c r="K34" s="17"/>
      <c r="L34" s="17"/>
      <c r="M34" s="17"/>
      <c r="N34" s="17"/>
      <c r="O34" s="17"/>
      <c r="P34" s="17"/>
      <c r="Q34" s="17"/>
      <c r="R34" s="17"/>
      <c r="S34" s="17"/>
      <c r="T34" s="17"/>
      <c r="U34" s="17"/>
      <c r="V34" s="17"/>
      <c r="W34" s="17"/>
      <c r="X34" s="17"/>
    </row>
    <row r="35" spans="1:24" s="16" customFormat="1" ht="14.1" customHeight="1" x14ac:dyDescent="0.25">
      <c r="A35" s="67" t="s">
        <v>19</v>
      </c>
      <c r="B35" s="34" t="str" cm="1">
        <f t="array" ref="B35:I35">TRANSPOSE('Transfert to Runner'!C$28:C$35)</f>
        <v>Standard</v>
      </c>
      <c r="C35" s="34" t="str">
        <v>Standard</v>
      </c>
      <c r="D35" s="34" t="str">
        <v>Standard</v>
      </c>
      <c r="E35" s="34" t="str">
        <v>Standard</v>
      </c>
      <c r="F35" s="34" t="str">
        <v>Standard</v>
      </c>
      <c r="G35" s="34" t="str">
        <v>Standard</v>
      </c>
      <c r="H35" s="34" t="str">
        <v>Standard</v>
      </c>
      <c r="I35" s="34" t="str">
        <v>Standard</v>
      </c>
      <c r="J35" s="17"/>
      <c r="K35" s="17"/>
      <c r="L35" s="17"/>
      <c r="M35" s="17"/>
      <c r="N35" s="17"/>
      <c r="O35" s="17"/>
      <c r="P35" s="17"/>
      <c r="Q35" s="17"/>
      <c r="R35" s="17"/>
      <c r="S35" s="17"/>
      <c r="T35" s="17"/>
      <c r="U35" s="17"/>
      <c r="V35" s="17"/>
      <c r="W35" s="17"/>
      <c r="X35" s="17"/>
    </row>
    <row r="36" spans="1:24" s="16" customFormat="1" ht="14.1" customHeight="1" x14ac:dyDescent="0.25">
      <c r="A36" s="67" t="s">
        <v>81</v>
      </c>
      <c r="B36" s="34" cm="1">
        <f t="array" ref="B36:I36">TRANSPOSE('Transfert to Runner'!F$28:F$35)</f>
        <v>0</v>
      </c>
      <c r="C36" s="34">
        <v>100</v>
      </c>
      <c r="D36" s="34">
        <v>46.415888336127786</v>
      </c>
      <c r="E36" s="34">
        <v>21.544346900318835</v>
      </c>
      <c r="F36" s="34">
        <v>9.9999999999999982</v>
      </c>
      <c r="G36" s="34">
        <v>4.6415888336127775</v>
      </c>
      <c r="H36" s="34">
        <v>2.1544346900318829</v>
      </c>
      <c r="I36" s="34">
        <v>0.99999999999999956</v>
      </c>
      <c r="J36" s="17"/>
      <c r="K36" s="17"/>
      <c r="L36" s="17"/>
      <c r="M36" s="17"/>
      <c r="N36" s="17"/>
      <c r="O36" s="17"/>
      <c r="P36" s="17"/>
      <c r="Q36" s="17"/>
      <c r="R36" s="17"/>
      <c r="S36" s="17"/>
      <c r="T36" s="17"/>
      <c r="U36" s="17"/>
      <c r="V36" s="17"/>
      <c r="W36" s="17"/>
      <c r="X36" s="17"/>
    </row>
    <row r="37" spans="1:24" s="16" customFormat="1" ht="18.95" customHeight="1" x14ac:dyDescent="0.25">
      <c r="J37" s="17"/>
      <c r="K37" s="17"/>
      <c r="L37" s="17"/>
      <c r="M37" s="17"/>
      <c r="N37" s="17"/>
      <c r="O37" s="17"/>
      <c r="P37" s="17"/>
      <c r="Q37" s="17"/>
      <c r="R37" s="17"/>
      <c r="S37" s="17"/>
      <c r="T37" s="17"/>
      <c r="U37" s="17"/>
      <c r="V37" s="17"/>
      <c r="W37" s="17"/>
      <c r="X37" s="17"/>
    </row>
    <row r="38" spans="1:24" s="88" customFormat="1" ht="12" customHeight="1" x14ac:dyDescent="0.2">
      <c r="A38" s="117" t="s">
        <v>85</v>
      </c>
      <c r="B38" s="87" t="s">
        <v>62</v>
      </c>
      <c r="C38" s="87" t="s">
        <v>63</v>
      </c>
      <c r="D38" s="87" t="s">
        <v>64</v>
      </c>
      <c r="E38" s="87" t="s">
        <v>65</v>
      </c>
      <c r="F38" s="87" t="s">
        <v>66</v>
      </c>
      <c r="G38" s="87" t="s">
        <v>67</v>
      </c>
      <c r="H38" s="87" t="s">
        <v>68</v>
      </c>
      <c r="I38" s="87" t="s">
        <v>69</v>
      </c>
      <c r="J38" s="86"/>
      <c r="K38" s="86"/>
      <c r="L38" s="86"/>
      <c r="M38" s="86"/>
      <c r="N38" s="86"/>
      <c r="O38" s="86"/>
      <c r="P38" s="86"/>
      <c r="Q38" s="86"/>
      <c r="R38" s="86"/>
      <c r="S38" s="86"/>
      <c r="T38" s="86"/>
      <c r="U38" s="86"/>
      <c r="V38" s="86"/>
      <c r="W38" s="86"/>
      <c r="X38" s="86"/>
    </row>
    <row r="39" spans="1:24" s="16" customFormat="1" ht="14.1" customHeight="1" x14ac:dyDescent="0.25">
      <c r="A39" s="67" t="s">
        <v>82</v>
      </c>
      <c r="B39" s="34" t="str" cm="1">
        <f t="array" ref="B39:I39">TRANSPOSE('Transfert to Runner'!H$36:H$43)</f>
        <v>Ab1-Dig</v>
      </c>
      <c r="C39" s="34" t="str">
        <v>Ab1-Dig</v>
      </c>
      <c r="D39" s="34" t="str">
        <v>Ab1-Dig</v>
      </c>
      <c r="E39" s="34" t="str">
        <v>Ab1-Dig</v>
      </c>
      <c r="F39" s="34" t="str">
        <v>Ab1-Dig</v>
      </c>
      <c r="G39" s="34" t="str">
        <v>Ab1-Dig</v>
      </c>
      <c r="H39" s="34" t="str">
        <v>Ab1-Dig</v>
      </c>
      <c r="I39" s="34" t="str">
        <v>Ab1-Dig</v>
      </c>
      <c r="J39" s="17"/>
      <c r="K39" s="17"/>
      <c r="L39" s="17"/>
      <c r="M39" s="17"/>
      <c r="N39" s="17"/>
      <c r="O39" s="17"/>
      <c r="P39" s="17"/>
      <c r="Q39" s="17"/>
      <c r="R39" s="17"/>
      <c r="S39" s="17"/>
      <c r="T39" s="17"/>
      <c r="U39" s="17"/>
      <c r="V39" s="17"/>
      <c r="W39" s="17"/>
      <c r="X39" s="17"/>
    </row>
    <row r="40" spans="1:24" s="16" customFormat="1" ht="14.1" customHeight="1" x14ac:dyDescent="0.25">
      <c r="A40" s="67" t="s">
        <v>8</v>
      </c>
      <c r="B40" s="34" cm="1">
        <f t="array" ref="B40:I40">TRANSPOSE('Transfert to Runner'!I$36:I$43)</f>
        <v>1</v>
      </c>
      <c r="C40" s="34">
        <v>1</v>
      </c>
      <c r="D40" s="34">
        <v>1</v>
      </c>
      <c r="E40" s="34">
        <v>1</v>
      </c>
      <c r="F40" s="34">
        <v>1</v>
      </c>
      <c r="G40" s="34">
        <v>1</v>
      </c>
      <c r="H40" s="34">
        <v>1</v>
      </c>
      <c r="I40" s="34">
        <v>1</v>
      </c>
      <c r="J40" s="17"/>
      <c r="K40" s="17"/>
      <c r="L40" s="17"/>
      <c r="M40" s="17"/>
      <c r="N40" s="17"/>
      <c r="O40" s="17"/>
      <c r="P40" s="17"/>
      <c r="Q40" s="17"/>
      <c r="R40" s="17"/>
      <c r="S40" s="17"/>
      <c r="T40" s="17"/>
      <c r="U40" s="17"/>
      <c r="V40" s="17"/>
      <c r="W40" s="17"/>
      <c r="X40" s="17"/>
    </row>
    <row r="41" spans="1:24" s="16" customFormat="1" ht="14.1" customHeight="1" x14ac:dyDescent="0.25">
      <c r="A41" s="67" t="s">
        <v>83</v>
      </c>
      <c r="B41" s="34" t="str" cm="1">
        <f t="array" ref="B41:I41">TRANSPOSE('Transfert to Runner'!J$36:J$43)</f>
        <v>Ab1-Biot</v>
      </c>
      <c r="C41" s="34" t="str">
        <v>Ab1-Biot</v>
      </c>
      <c r="D41" s="34" t="str">
        <v>Ab1-Biot</v>
      </c>
      <c r="E41" s="34" t="str">
        <v>Ab1-Biot</v>
      </c>
      <c r="F41" s="34" t="str">
        <v>Ab1-Biot</v>
      </c>
      <c r="G41" s="34" t="str">
        <v>Ab1-Biot</v>
      </c>
      <c r="H41" s="34" t="str">
        <v>Ab1-Biot</v>
      </c>
      <c r="I41" s="34" t="str">
        <v>Ab1-Biot</v>
      </c>
      <c r="J41" s="17"/>
      <c r="K41" s="17"/>
      <c r="L41" s="17"/>
      <c r="M41" s="17"/>
      <c r="N41" s="17"/>
      <c r="O41" s="17"/>
      <c r="P41" s="17"/>
      <c r="Q41" s="17"/>
      <c r="R41" s="17"/>
      <c r="S41" s="17"/>
      <c r="T41" s="17"/>
      <c r="U41" s="17"/>
      <c r="V41" s="17"/>
      <c r="W41" s="17"/>
      <c r="X41" s="17"/>
    </row>
    <row r="42" spans="1:24" s="16" customFormat="1" ht="14.1" customHeight="1" x14ac:dyDescent="0.25">
      <c r="A42" s="67" t="s">
        <v>80</v>
      </c>
      <c r="B42" s="34" cm="1">
        <f t="array" ref="B42:I42">TRANSPOSE('Transfert to Runner'!K$36:K$43)</f>
        <v>10</v>
      </c>
      <c r="C42" s="34">
        <v>10</v>
      </c>
      <c r="D42" s="34">
        <v>10</v>
      </c>
      <c r="E42" s="34">
        <v>10</v>
      </c>
      <c r="F42" s="34">
        <v>10</v>
      </c>
      <c r="G42" s="34">
        <v>10</v>
      </c>
      <c r="H42" s="34">
        <v>10</v>
      </c>
      <c r="I42" s="34">
        <v>10</v>
      </c>
      <c r="J42" s="17"/>
      <c r="K42" s="17"/>
      <c r="L42" s="17"/>
      <c r="M42" s="17"/>
      <c r="N42" s="17"/>
      <c r="O42" s="17"/>
      <c r="P42" s="17"/>
      <c r="Q42" s="17"/>
      <c r="R42" s="17"/>
      <c r="S42" s="17"/>
      <c r="T42" s="17"/>
      <c r="U42" s="17"/>
      <c r="V42" s="17"/>
      <c r="W42" s="17"/>
      <c r="X42" s="17"/>
    </row>
    <row r="43" spans="1:24" s="16" customFormat="1" ht="14.1" customHeight="1" x14ac:dyDescent="0.25">
      <c r="A43" s="67" t="s">
        <v>20</v>
      </c>
      <c r="B43" s="34" t="str" cm="1">
        <f t="array" ref="B43:I43">TRANSPOSE('Transfert to Runner'!L$36:L$43)</f>
        <v>1xRD</v>
      </c>
      <c r="C43" s="34" t="str">
        <v>1xRD</v>
      </c>
      <c r="D43" s="34" t="str">
        <v>1xRD</v>
      </c>
      <c r="E43" s="34" t="str">
        <v>1xRD</v>
      </c>
      <c r="F43" s="34" t="str">
        <v>1xRD</v>
      </c>
      <c r="G43" s="34" t="str">
        <v>1xRD</v>
      </c>
      <c r="H43" s="34" t="str">
        <v>1xRD</v>
      </c>
      <c r="I43" s="34" t="str">
        <v>1xRD</v>
      </c>
      <c r="J43" s="17"/>
      <c r="K43" s="17"/>
      <c r="L43" s="17"/>
      <c r="M43" s="17"/>
      <c r="N43" s="17"/>
      <c r="O43" s="17"/>
      <c r="P43" s="17"/>
      <c r="Q43" s="17"/>
      <c r="R43" s="17"/>
      <c r="S43" s="17"/>
      <c r="T43" s="17"/>
      <c r="U43" s="17"/>
      <c r="V43" s="17"/>
      <c r="W43" s="17"/>
      <c r="X43" s="17"/>
    </row>
    <row r="44" spans="1:24" s="16" customFormat="1" ht="14.1" customHeight="1" x14ac:dyDescent="0.25">
      <c r="A44" s="67" t="s">
        <v>19</v>
      </c>
      <c r="B44" s="34" t="str" cm="1">
        <f t="array" ref="B44:I44">TRANSPOSE('Transfert to Runner'!C$36:C$43)</f>
        <v>Standard</v>
      </c>
      <c r="C44" s="34" t="str">
        <v>Standard</v>
      </c>
      <c r="D44" s="34" t="str">
        <v>Standard</v>
      </c>
      <c r="E44" s="34" t="str">
        <v>Standard</v>
      </c>
      <c r="F44" s="34" t="str">
        <v>Standard</v>
      </c>
      <c r="G44" s="34" t="str">
        <v>Standard</v>
      </c>
      <c r="H44" s="34" t="str">
        <v>Standard</v>
      </c>
      <c r="I44" s="34" t="str">
        <v>Standard</v>
      </c>
      <c r="J44" s="17"/>
      <c r="K44" s="17"/>
      <c r="L44" s="17"/>
      <c r="M44" s="17"/>
      <c r="N44" s="17"/>
      <c r="O44" s="17"/>
      <c r="P44" s="17"/>
      <c r="Q44" s="17"/>
      <c r="R44" s="17"/>
      <c r="S44" s="17"/>
      <c r="T44" s="17"/>
      <c r="U44" s="17"/>
      <c r="V44" s="17"/>
      <c r="W44" s="17"/>
      <c r="X44" s="17"/>
    </row>
    <row r="45" spans="1:24" s="16" customFormat="1" ht="14.1" customHeight="1" x14ac:dyDescent="0.25">
      <c r="A45" s="67" t="s">
        <v>81</v>
      </c>
      <c r="B45" s="34" cm="1">
        <f t="array" ref="B45:I45">TRANSPOSE('Transfert to Runner'!F$36:F$43)</f>
        <v>0</v>
      </c>
      <c r="C45" s="34">
        <v>100</v>
      </c>
      <c r="D45" s="34">
        <v>46.415888336127786</v>
      </c>
      <c r="E45" s="34">
        <v>21.544346900318835</v>
      </c>
      <c r="F45" s="34">
        <v>9.9999999999999982</v>
      </c>
      <c r="G45" s="34">
        <v>4.6415888336127775</v>
      </c>
      <c r="H45" s="34">
        <v>2.1544346900318829</v>
      </c>
      <c r="I45" s="34">
        <v>0.99999999999999956</v>
      </c>
      <c r="J45" s="17"/>
      <c r="K45" s="17"/>
      <c r="L45" s="17"/>
      <c r="M45" s="17"/>
      <c r="N45" s="17"/>
      <c r="O45" s="17"/>
      <c r="P45" s="17"/>
      <c r="Q45" s="17"/>
      <c r="R45" s="17"/>
      <c r="S45" s="17"/>
      <c r="T45" s="17"/>
      <c r="U45" s="17"/>
      <c r="V45" s="17"/>
      <c r="W45" s="17"/>
      <c r="X45" s="17"/>
    </row>
    <row r="46" spans="1:24" s="16" customFormat="1" ht="18.95" customHeight="1" x14ac:dyDescent="0.25">
      <c r="A46" s="17"/>
      <c r="B46" s="36"/>
      <c r="C46" s="36"/>
      <c r="D46" s="36"/>
      <c r="E46" s="36"/>
      <c r="F46" s="36"/>
      <c r="G46" s="36"/>
      <c r="H46" s="36"/>
      <c r="I46" s="36"/>
      <c r="J46" s="17"/>
      <c r="K46" s="17"/>
      <c r="L46" s="17"/>
      <c r="M46" s="17"/>
      <c r="N46" s="17"/>
      <c r="O46" s="17"/>
      <c r="P46" s="17"/>
      <c r="Q46" s="17"/>
      <c r="R46" s="17"/>
      <c r="S46" s="17"/>
      <c r="T46" s="17"/>
      <c r="U46" s="17"/>
      <c r="V46" s="17"/>
      <c r="W46" s="17"/>
      <c r="X46" s="17"/>
    </row>
    <row r="47" spans="1:24" s="88" customFormat="1" ht="12" customHeight="1" x14ac:dyDescent="0.2">
      <c r="A47" s="117" t="s">
        <v>85</v>
      </c>
      <c r="B47" s="87" t="s">
        <v>70</v>
      </c>
      <c r="C47" s="87" t="s">
        <v>71</v>
      </c>
      <c r="D47" s="87" t="s">
        <v>72</v>
      </c>
      <c r="E47" s="87" t="s">
        <v>73</v>
      </c>
      <c r="F47" s="87" t="s">
        <v>74</v>
      </c>
      <c r="G47" s="87" t="s">
        <v>75</v>
      </c>
      <c r="H47" s="87" t="s">
        <v>76</v>
      </c>
      <c r="I47" s="87" t="s">
        <v>77</v>
      </c>
      <c r="J47" s="86"/>
      <c r="K47" s="86"/>
      <c r="L47" s="86"/>
      <c r="M47" s="86"/>
      <c r="N47" s="86"/>
      <c r="O47" s="86"/>
      <c r="P47" s="86"/>
      <c r="Q47" s="86"/>
      <c r="R47" s="86"/>
      <c r="S47" s="86"/>
      <c r="T47" s="86"/>
      <c r="U47" s="86"/>
      <c r="V47" s="86"/>
      <c r="W47" s="86"/>
      <c r="X47" s="86"/>
    </row>
    <row r="48" spans="1:24" s="16" customFormat="1" ht="14.1" customHeight="1" x14ac:dyDescent="0.25">
      <c r="A48" s="67" t="s">
        <v>82</v>
      </c>
      <c r="B48" s="34" t="str" cm="1">
        <f t="array" ref="B48:I48">TRANSPOSE('Transfert to Runner'!H$44:H$51)</f>
        <v>Ab1-Dig</v>
      </c>
      <c r="C48" s="34" t="str">
        <v>Ab1-Dig</v>
      </c>
      <c r="D48" s="34" t="str">
        <v>Ab1-Dig</v>
      </c>
      <c r="E48" s="34" t="str">
        <v>Ab1-Dig</v>
      </c>
      <c r="F48" s="34" t="str">
        <v>Ab1-Dig</v>
      </c>
      <c r="G48" s="34" t="str">
        <v>Ab1-Dig</v>
      </c>
      <c r="H48" s="34" t="str">
        <v>Ab1-Dig</v>
      </c>
      <c r="I48" s="34" t="str">
        <v>Ab1-Dig</v>
      </c>
      <c r="J48" s="17"/>
      <c r="K48" s="17"/>
      <c r="L48" s="17"/>
      <c r="M48" s="17"/>
      <c r="N48" s="17"/>
      <c r="O48" s="17"/>
      <c r="P48" s="17"/>
      <c r="Q48" s="17"/>
      <c r="R48" s="17"/>
      <c r="S48" s="17"/>
      <c r="T48" s="17"/>
      <c r="U48" s="17"/>
      <c r="V48" s="17"/>
      <c r="W48" s="17"/>
      <c r="X48" s="17"/>
    </row>
    <row r="49" spans="1:24" ht="14.1" customHeight="1" x14ac:dyDescent="0.25">
      <c r="A49" s="67" t="s">
        <v>8</v>
      </c>
      <c r="B49" s="34" cm="1">
        <f t="array" ref="B49:I49">TRANSPOSE('Transfert to Runner'!I$44:I$51)</f>
        <v>1</v>
      </c>
      <c r="C49" s="34">
        <v>1</v>
      </c>
      <c r="D49" s="34">
        <v>1</v>
      </c>
      <c r="E49" s="34">
        <v>1</v>
      </c>
      <c r="F49" s="34">
        <v>1</v>
      </c>
      <c r="G49" s="34">
        <v>1</v>
      </c>
      <c r="H49" s="34">
        <v>1</v>
      </c>
      <c r="I49" s="34">
        <v>1</v>
      </c>
      <c r="J49" s="17"/>
      <c r="K49" s="17"/>
      <c r="L49" s="17"/>
      <c r="M49" s="17"/>
      <c r="N49" s="17"/>
      <c r="O49" s="17"/>
      <c r="P49" s="17"/>
      <c r="Q49" s="17"/>
      <c r="R49" s="17"/>
      <c r="S49" s="17"/>
      <c r="T49" s="17"/>
      <c r="U49" s="17"/>
      <c r="V49" s="17"/>
      <c r="W49" s="17"/>
      <c r="X49" s="17"/>
    </row>
    <row r="50" spans="1:24" ht="14.1" customHeight="1" x14ac:dyDescent="0.25">
      <c r="A50" s="67" t="s">
        <v>83</v>
      </c>
      <c r="B50" s="34" t="str" cm="1">
        <f t="array" ref="B50:I50">TRANSPOSE('Transfert to Runner'!J$44:J$51)</f>
        <v>Ab1-Biot</v>
      </c>
      <c r="C50" s="34" t="str">
        <v>Ab1-Biot</v>
      </c>
      <c r="D50" s="34" t="str">
        <v>Ab1-Biot</v>
      </c>
      <c r="E50" s="34" t="str">
        <v>Ab1-Biot</v>
      </c>
      <c r="F50" s="34" t="str">
        <v>Ab1-Biot</v>
      </c>
      <c r="G50" s="34" t="str">
        <v>Ab1-Biot</v>
      </c>
      <c r="H50" s="34" t="str">
        <v>Ab1-Biot</v>
      </c>
      <c r="I50" s="34" t="str">
        <v>Ab1-Biot</v>
      </c>
      <c r="J50" s="17"/>
      <c r="K50" s="17"/>
      <c r="L50" s="17"/>
      <c r="M50" s="17"/>
      <c r="N50" s="17"/>
      <c r="O50" s="17"/>
      <c r="P50" s="17"/>
      <c r="Q50" s="17"/>
      <c r="R50" s="17"/>
      <c r="S50" s="17"/>
      <c r="T50" s="17"/>
      <c r="U50" s="17"/>
      <c r="V50" s="17"/>
      <c r="W50" s="17"/>
      <c r="X50" s="17"/>
    </row>
    <row r="51" spans="1:24" ht="14.1" customHeight="1" x14ac:dyDescent="0.25">
      <c r="A51" s="67" t="s">
        <v>80</v>
      </c>
      <c r="B51" s="34" cm="1">
        <f t="array" ref="B51:I51">TRANSPOSE('Transfert to Runner'!K$44:K$51)</f>
        <v>3.5</v>
      </c>
      <c r="C51" s="34">
        <v>3.5</v>
      </c>
      <c r="D51" s="34">
        <v>3.5</v>
      </c>
      <c r="E51" s="34">
        <v>3.5</v>
      </c>
      <c r="F51" s="34">
        <v>3.5</v>
      </c>
      <c r="G51" s="34">
        <v>3.5</v>
      </c>
      <c r="H51" s="34">
        <v>3.5</v>
      </c>
      <c r="I51" s="34">
        <v>3.5</v>
      </c>
      <c r="J51" s="17"/>
      <c r="K51" s="17"/>
      <c r="L51" s="17"/>
      <c r="M51" s="17"/>
      <c r="N51" s="17"/>
      <c r="O51" s="17"/>
      <c r="P51" s="17"/>
      <c r="Q51" s="17"/>
      <c r="R51" s="17"/>
      <c r="S51" s="17"/>
      <c r="T51" s="17"/>
      <c r="U51" s="17"/>
      <c r="V51" s="17"/>
      <c r="W51" s="17"/>
      <c r="X51" s="17"/>
    </row>
    <row r="52" spans="1:24" ht="14.1" customHeight="1" x14ac:dyDescent="0.25">
      <c r="A52" s="67" t="s">
        <v>20</v>
      </c>
      <c r="B52" s="34" t="str" cm="1">
        <f t="array" ref="B52:I52">TRANSPOSE('Transfert to Runner'!L$44:L$51)</f>
        <v>1xRD</v>
      </c>
      <c r="C52" s="34" t="str">
        <v>1xRD</v>
      </c>
      <c r="D52" s="34" t="str">
        <v>1xRD</v>
      </c>
      <c r="E52" s="34" t="str">
        <v>1xRD</v>
      </c>
      <c r="F52" s="34" t="str">
        <v>1xRD</v>
      </c>
      <c r="G52" s="34" t="str">
        <v>1xRD</v>
      </c>
      <c r="H52" s="34" t="str">
        <v>1xRD</v>
      </c>
      <c r="I52" s="34" t="str">
        <v>1xRD</v>
      </c>
      <c r="J52" s="17"/>
      <c r="K52" s="17"/>
      <c r="L52" s="17"/>
      <c r="M52" s="17"/>
      <c r="N52" s="17"/>
      <c r="O52" s="17"/>
      <c r="P52" s="17"/>
      <c r="Q52" s="17"/>
      <c r="R52" s="17"/>
      <c r="S52" s="17"/>
      <c r="T52" s="17"/>
      <c r="U52" s="17"/>
      <c r="V52" s="17"/>
      <c r="W52" s="17"/>
      <c r="X52" s="17"/>
    </row>
    <row r="53" spans="1:24" ht="14.1" customHeight="1" x14ac:dyDescent="0.25">
      <c r="A53" s="67" t="s">
        <v>19</v>
      </c>
      <c r="B53" s="34" t="str" cm="1">
        <f t="array" ref="B53:I53">TRANSPOSE('Transfert to Runner'!C$44:C$51)</f>
        <v>Standard</v>
      </c>
      <c r="C53" s="34" t="str">
        <v>Standard</v>
      </c>
      <c r="D53" s="34" t="str">
        <v>Standard</v>
      </c>
      <c r="E53" s="34" t="str">
        <v>Standard</v>
      </c>
      <c r="F53" s="34" t="str">
        <v>Standard</v>
      </c>
      <c r="G53" s="34" t="str">
        <v>Standard</v>
      </c>
      <c r="H53" s="34" t="str">
        <v>Standard</v>
      </c>
      <c r="I53" s="34" t="str">
        <v>Standard</v>
      </c>
      <c r="J53" s="17"/>
      <c r="K53" s="17"/>
      <c r="L53" s="17"/>
      <c r="M53" s="17"/>
      <c r="N53" s="17"/>
      <c r="O53" s="17"/>
      <c r="P53" s="17"/>
      <c r="Q53" s="17"/>
      <c r="R53" s="17"/>
      <c r="S53" s="17"/>
      <c r="T53" s="17"/>
      <c r="U53" s="17"/>
      <c r="V53" s="17"/>
      <c r="W53" s="17"/>
      <c r="X53" s="17"/>
    </row>
    <row r="54" spans="1:24" ht="14.1" customHeight="1" x14ac:dyDescent="0.25">
      <c r="A54" s="67" t="s">
        <v>81</v>
      </c>
      <c r="B54" s="34" cm="1">
        <f t="array" ref="B54:I54">TRANSPOSE('Transfert to Runner'!F$44:F$51)</f>
        <v>0</v>
      </c>
      <c r="C54" s="34">
        <v>100</v>
      </c>
      <c r="D54" s="34">
        <v>46.415888336127786</v>
      </c>
      <c r="E54" s="34">
        <v>21.544346900318835</v>
      </c>
      <c r="F54" s="34">
        <v>9.9999999999999982</v>
      </c>
      <c r="G54" s="34">
        <v>4.6415888336127775</v>
      </c>
      <c r="H54" s="34">
        <v>2.1544346900318829</v>
      </c>
      <c r="I54" s="34">
        <v>0.99999999999999956</v>
      </c>
      <c r="J54" s="17"/>
      <c r="K54" s="17"/>
      <c r="L54" s="17"/>
      <c r="M54" s="17"/>
      <c r="N54" s="17"/>
      <c r="O54" s="17"/>
      <c r="P54" s="17"/>
      <c r="Q54" s="17"/>
      <c r="R54" s="17"/>
      <c r="S54" s="17"/>
      <c r="T54" s="17"/>
      <c r="U54" s="17"/>
      <c r="V54" s="17"/>
      <c r="W54" s="17"/>
      <c r="X54" s="17"/>
    </row>
    <row r="55" spans="1:24" x14ac:dyDescent="0.25">
      <c r="B55" s="16"/>
      <c r="C55" s="16"/>
      <c r="D55" s="16"/>
      <c r="E55" s="16"/>
      <c r="F55" s="16"/>
      <c r="G55" s="16"/>
      <c r="H55" s="16"/>
      <c r="I55" s="16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</row>
    <row r="56" spans="1:24" x14ac:dyDescent="0.25">
      <c r="A56" s="17"/>
      <c r="B56" s="17"/>
      <c r="C56" s="17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</row>
    <row r="57" spans="1:24" x14ac:dyDescent="0.25">
      <c r="A57" s="17"/>
      <c r="B57" s="17"/>
      <c r="C57" s="17"/>
      <c r="D57" s="17"/>
      <c r="E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</row>
    <row r="58" spans="1:24" x14ac:dyDescent="0.25">
      <c r="A58" s="17"/>
      <c r="B58" s="17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</row>
    <row r="59" spans="1:24" x14ac:dyDescent="0.25">
      <c r="A59" s="17"/>
      <c r="B59" s="17"/>
      <c r="C59" s="17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  <c r="T59" s="17"/>
      <c r="U59" s="17"/>
      <c r="V59" s="17"/>
      <c r="W59" s="17"/>
      <c r="X59" s="17"/>
    </row>
    <row r="60" spans="1:24" x14ac:dyDescent="0.25">
      <c r="A60" s="17"/>
      <c r="B60" s="17"/>
      <c r="C60" s="17"/>
      <c r="D60" s="17"/>
      <c r="E60" s="17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7"/>
      <c r="S60" s="17"/>
      <c r="T60" s="17"/>
      <c r="U60" s="17"/>
      <c r="V60" s="17"/>
      <c r="W60" s="17"/>
      <c r="X60" s="17"/>
    </row>
    <row r="61" spans="1:24" x14ac:dyDescent="0.25">
      <c r="A61" s="17"/>
      <c r="B61" s="17"/>
      <c r="C61" s="17"/>
      <c r="D61" s="17"/>
      <c r="E61" s="17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7"/>
      <c r="S61" s="17"/>
      <c r="T61" s="17"/>
      <c r="U61" s="17"/>
      <c r="V61" s="17"/>
      <c r="W61" s="17"/>
      <c r="X61" s="17"/>
    </row>
    <row r="62" spans="1:24" x14ac:dyDescent="0.25">
      <c r="A62" s="17"/>
      <c r="B62" s="17"/>
      <c r="C62" s="17"/>
      <c r="D62" s="17"/>
      <c r="E62" s="17"/>
      <c r="F62" s="17"/>
      <c r="G62" s="17"/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17"/>
      <c r="S62" s="17"/>
      <c r="T62" s="17"/>
      <c r="U62" s="17"/>
      <c r="V62" s="17"/>
      <c r="W62" s="17"/>
      <c r="X62" s="17"/>
    </row>
    <row r="63" spans="1:24" x14ac:dyDescent="0.25">
      <c r="A63" s="17"/>
      <c r="B63" s="17"/>
      <c r="C63" s="17"/>
      <c r="D63" s="17"/>
      <c r="E63" s="17"/>
      <c r="F63" s="17"/>
      <c r="G63" s="17"/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17"/>
      <c r="S63" s="17"/>
      <c r="T63" s="17"/>
      <c r="U63" s="17"/>
      <c r="V63" s="17"/>
      <c r="W63" s="17"/>
      <c r="X63" s="17"/>
    </row>
    <row r="64" spans="1:24" x14ac:dyDescent="0.25">
      <c r="A64" s="17"/>
      <c r="B64" s="17"/>
      <c r="C64" s="17"/>
      <c r="D64" s="17"/>
      <c r="E64" s="17"/>
      <c r="F64" s="17"/>
      <c r="G64" s="17"/>
      <c r="H64" s="17"/>
      <c r="I64" s="17"/>
      <c r="J64" s="17"/>
      <c r="K64" s="17"/>
      <c r="L64" s="17"/>
      <c r="M64" s="17"/>
      <c r="N64" s="17"/>
      <c r="O64" s="17"/>
      <c r="P64" s="17"/>
      <c r="Q64" s="17"/>
      <c r="R64" s="17"/>
      <c r="S64" s="17"/>
      <c r="T64" s="17"/>
      <c r="U64" s="17"/>
      <c r="V64" s="17"/>
      <c r="W64" s="17"/>
      <c r="X64" s="17"/>
    </row>
    <row r="65" spans="1:24" x14ac:dyDescent="0.25">
      <c r="A65" s="17"/>
      <c r="B65" s="17"/>
      <c r="C65" s="17"/>
      <c r="D65" s="17"/>
      <c r="E65" s="17"/>
      <c r="F65" s="17"/>
      <c r="G65" s="17"/>
      <c r="H65" s="17"/>
      <c r="I65" s="17"/>
      <c r="J65" s="17"/>
      <c r="K65" s="17"/>
      <c r="L65" s="17"/>
      <c r="M65" s="17"/>
      <c r="N65" s="17"/>
      <c r="O65" s="17"/>
      <c r="P65" s="17"/>
      <c r="Q65" s="17"/>
      <c r="R65" s="17"/>
      <c r="S65" s="17"/>
      <c r="T65" s="17"/>
      <c r="U65" s="17"/>
      <c r="V65" s="17"/>
      <c r="W65" s="17"/>
      <c r="X65" s="17"/>
    </row>
    <row r="66" spans="1:24" x14ac:dyDescent="0.25">
      <c r="A66" s="17"/>
      <c r="B66" s="17"/>
      <c r="C66" s="17"/>
      <c r="D66" s="17"/>
      <c r="E66" s="17"/>
      <c r="F66" s="17"/>
      <c r="G66" s="17"/>
      <c r="H66" s="17"/>
      <c r="I66" s="17"/>
      <c r="J66" s="17"/>
      <c r="K66" s="17"/>
      <c r="L66" s="17"/>
      <c r="M66" s="17"/>
      <c r="N66" s="17"/>
      <c r="O66" s="17"/>
      <c r="P66" s="17"/>
      <c r="Q66" s="17"/>
      <c r="R66" s="17"/>
      <c r="S66" s="17"/>
      <c r="T66" s="17"/>
      <c r="U66" s="17"/>
      <c r="V66" s="17"/>
      <c r="W66" s="17"/>
      <c r="X66" s="17"/>
    </row>
    <row r="67" spans="1:24" x14ac:dyDescent="0.25">
      <c r="A67" s="17"/>
      <c r="B67" s="17"/>
      <c r="C67" s="17"/>
      <c r="D67" s="17"/>
      <c r="E67" s="17"/>
      <c r="F67" s="17"/>
      <c r="G67" s="17"/>
      <c r="H67" s="17"/>
      <c r="I67" s="17"/>
      <c r="J67" s="17"/>
      <c r="K67" s="17"/>
      <c r="L67" s="17"/>
      <c r="M67" s="17"/>
      <c r="N67" s="17"/>
      <c r="O67" s="17"/>
      <c r="P67" s="17"/>
      <c r="Q67" s="17"/>
      <c r="R67" s="17"/>
      <c r="S67" s="17"/>
      <c r="T67" s="17"/>
      <c r="U67" s="17"/>
      <c r="V67" s="17"/>
      <c r="W67" s="17"/>
      <c r="X67" s="17"/>
    </row>
    <row r="68" spans="1:24" x14ac:dyDescent="0.25">
      <c r="A68" s="17"/>
      <c r="B68" s="17"/>
      <c r="C68" s="17"/>
      <c r="D68" s="17"/>
      <c r="E68" s="17"/>
      <c r="F68" s="17"/>
      <c r="G68" s="17"/>
      <c r="H68" s="17"/>
      <c r="I68" s="17"/>
      <c r="J68" s="17"/>
      <c r="K68" s="17"/>
      <c r="L68" s="17"/>
      <c r="M68" s="17"/>
      <c r="N68" s="17"/>
      <c r="O68" s="17"/>
      <c r="P68" s="17"/>
      <c r="Q68" s="17"/>
      <c r="R68" s="17"/>
      <c r="S68" s="17"/>
      <c r="T68" s="17"/>
      <c r="U68" s="17"/>
      <c r="V68" s="17"/>
      <c r="W68" s="17"/>
      <c r="X68" s="17"/>
    </row>
    <row r="69" spans="1:24" x14ac:dyDescent="0.25">
      <c r="A69" s="17"/>
      <c r="B69" s="17"/>
      <c r="C69" s="17"/>
      <c r="D69" s="17"/>
      <c r="E69" s="17"/>
      <c r="F69" s="17"/>
      <c r="G69" s="17"/>
      <c r="H69" s="17"/>
      <c r="I69" s="17"/>
      <c r="J69" s="17"/>
      <c r="K69" s="17"/>
      <c r="L69" s="17"/>
      <c r="M69" s="17"/>
      <c r="N69" s="17"/>
      <c r="O69" s="17"/>
      <c r="P69" s="17"/>
      <c r="Q69" s="17"/>
      <c r="R69" s="17"/>
      <c r="S69" s="17"/>
      <c r="T69" s="17"/>
      <c r="U69" s="17"/>
      <c r="V69" s="17"/>
      <c r="W69" s="17"/>
      <c r="X69" s="17"/>
    </row>
    <row r="70" spans="1:24" x14ac:dyDescent="0.25">
      <c r="A70" s="17"/>
      <c r="B70" s="17"/>
      <c r="C70" s="17"/>
      <c r="D70" s="17"/>
      <c r="E70" s="17"/>
      <c r="F70" s="17"/>
      <c r="G70" s="17"/>
      <c r="H70" s="17"/>
      <c r="I70" s="17"/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17"/>
      <c r="X70" s="17"/>
    </row>
    <row r="71" spans="1:24" x14ac:dyDescent="0.25">
      <c r="A71" s="17"/>
      <c r="B71" s="17"/>
      <c r="C71" s="17"/>
      <c r="D71" s="17"/>
      <c r="E71" s="17"/>
      <c r="F71" s="17"/>
      <c r="G71" s="17"/>
      <c r="H71" s="17"/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17"/>
      <c r="X71" s="17"/>
    </row>
    <row r="72" spans="1:24" x14ac:dyDescent="0.25">
      <c r="A72" s="17"/>
      <c r="B72" s="17"/>
      <c r="C72" s="17"/>
      <c r="D72" s="17"/>
      <c r="E72" s="17"/>
      <c r="F72" s="17"/>
      <c r="G72" s="17"/>
      <c r="H72" s="17"/>
      <c r="I72" s="17"/>
      <c r="J72" s="17"/>
      <c r="K72" s="17"/>
      <c r="L72" s="17"/>
      <c r="M72" s="17"/>
      <c r="N72" s="17"/>
      <c r="O72" s="17"/>
      <c r="P72" s="17"/>
      <c r="Q72" s="17"/>
      <c r="R72" s="17"/>
      <c r="S72" s="17"/>
      <c r="T72" s="17"/>
      <c r="U72" s="17"/>
      <c r="V72" s="17"/>
      <c r="W72" s="17"/>
      <c r="X72" s="17"/>
    </row>
    <row r="73" spans="1:24" x14ac:dyDescent="0.25">
      <c r="A73" s="17"/>
      <c r="B73" s="17"/>
      <c r="C73" s="17"/>
      <c r="D73" s="17"/>
      <c r="E73" s="17"/>
      <c r="F73" s="17"/>
      <c r="G73" s="17"/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17"/>
      <c r="S73" s="17"/>
      <c r="T73" s="17"/>
      <c r="U73" s="17"/>
      <c r="V73" s="17"/>
      <c r="W73" s="17"/>
      <c r="X73" s="17"/>
    </row>
    <row r="74" spans="1:24" x14ac:dyDescent="0.25">
      <c r="A74" s="17"/>
      <c r="B74" s="17"/>
      <c r="C74" s="17"/>
      <c r="D74" s="17"/>
      <c r="E74" s="17"/>
      <c r="F74" s="17"/>
      <c r="G74" s="17"/>
      <c r="H74" s="17"/>
      <c r="I74" s="17"/>
      <c r="J74" s="17"/>
      <c r="K74" s="17"/>
      <c r="L74" s="17"/>
      <c r="M74" s="17"/>
      <c r="N74" s="17"/>
      <c r="O74" s="17"/>
      <c r="P74" s="17"/>
      <c r="Q74" s="17"/>
      <c r="R74" s="17"/>
      <c r="S74" s="17"/>
      <c r="T74" s="17"/>
      <c r="U74" s="17"/>
      <c r="V74" s="17"/>
      <c r="W74" s="17"/>
      <c r="X74" s="17"/>
    </row>
    <row r="75" spans="1:24" x14ac:dyDescent="0.25">
      <c r="A75" s="17"/>
      <c r="B75" s="17"/>
      <c r="C75" s="17"/>
      <c r="D75" s="17"/>
      <c r="E75" s="17"/>
      <c r="F75" s="17"/>
      <c r="G75" s="17"/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17"/>
      <c r="S75" s="17"/>
      <c r="T75" s="17"/>
      <c r="U75" s="17"/>
      <c r="V75" s="17"/>
      <c r="W75" s="17"/>
      <c r="X75" s="17"/>
    </row>
    <row r="76" spans="1:24" x14ac:dyDescent="0.25">
      <c r="A76" s="17"/>
      <c r="B76" s="17"/>
      <c r="C76" s="17"/>
      <c r="D76" s="17"/>
      <c r="E76" s="17"/>
      <c r="F76" s="17"/>
      <c r="G76" s="17"/>
      <c r="H76" s="17"/>
      <c r="I76" s="17"/>
      <c r="J76" s="17"/>
      <c r="K76" s="17"/>
      <c r="L76" s="17"/>
      <c r="M76" s="17"/>
      <c r="N76" s="17"/>
      <c r="O76" s="17"/>
      <c r="P76" s="17"/>
      <c r="Q76" s="17"/>
      <c r="R76" s="17"/>
      <c r="S76" s="17"/>
      <c r="T76" s="17"/>
      <c r="U76" s="17"/>
      <c r="V76" s="17"/>
      <c r="W76" s="17"/>
      <c r="X76" s="17"/>
    </row>
    <row r="77" spans="1:24" x14ac:dyDescent="0.25">
      <c r="A77" s="17"/>
      <c r="B77" s="17"/>
      <c r="C77" s="17"/>
      <c r="D77" s="17"/>
      <c r="E77" s="17"/>
      <c r="F77" s="17"/>
      <c r="G77" s="17"/>
      <c r="H77" s="17"/>
      <c r="I77" s="17"/>
      <c r="J77" s="17"/>
      <c r="K77" s="17"/>
      <c r="L77" s="17"/>
      <c r="M77" s="17"/>
      <c r="N77" s="17"/>
      <c r="O77" s="17"/>
      <c r="P77" s="17"/>
      <c r="Q77" s="17"/>
      <c r="R77" s="17"/>
      <c r="S77" s="17"/>
      <c r="T77" s="17"/>
      <c r="U77" s="17"/>
      <c r="V77" s="17"/>
      <c r="W77" s="17"/>
      <c r="X77" s="17"/>
    </row>
    <row r="78" spans="1:24" x14ac:dyDescent="0.25">
      <c r="A78" s="17"/>
      <c r="B78" s="17"/>
      <c r="C78" s="17"/>
      <c r="D78" s="17"/>
      <c r="E78" s="17"/>
      <c r="F78" s="17"/>
      <c r="G78" s="17"/>
      <c r="H78" s="17"/>
      <c r="I78" s="17"/>
      <c r="J78" s="17"/>
      <c r="K78" s="17"/>
      <c r="L78" s="17"/>
      <c r="M78" s="17"/>
      <c r="N78" s="17"/>
      <c r="O78" s="17"/>
      <c r="P78" s="17"/>
      <c r="Q78" s="17"/>
      <c r="R78" s="17"/>
      <c r="S78" s="17"/>
      <c r="T78" s="17"/>
      <c r="U78" s="17"/>
      <c r="V78" s="17"/>
      <c r="W78" s="17"/>
      <c r="X78" s="17"/>
    </row>
    <row r="79" spans="1:24" x14ac:dyDescent="0.25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  <c r="L79" s="17"/>
      <c r="M79" s="17"/>
      <c r="N79" s="17"/>
      <c r="O79" s="17"/>
      <c r="P79" s="17"/>
      <c r="Q79" s="17"/>
      <c r="R79" s="17"/>
      <c r="S79" s="17"/>
      <c r="T79" s="17"/>
      <c r="U79" s="17"/>
      <c r="V79" s="17"/>
      <c r="W79" s="17"/>
      <c r="X79" s="17"/>
    </row>
    <row r="80" spans="1:24" x14ac:dyDescent="0.25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  <c r="L80" s="17"/>
      <c r="M80" s="17"/>
      <c r="N80" s="17"/>
      <c r="O80" s="17"/>
      <c r="P80" s="17"/>
      <c r="Q80" s="17"/>
      <c r="R80" s="17"/>
      <c r="S80" s="17"/>
      <c r="T80" s="17"/>
      <c r="U80" s="17"/>
      <c r="V80" s="17"/>
      <c r="W80" s="17"/>
      <c r="X80" s="17"/>
    </row>
    <row r="81" spans="1:24" x14ac:dyDescent="0.25">
      <c r="A81" s="17"/>
      <c r="B81" s="17"/>
      <c r="C81" s="17"/>
      <c r="D81" s="17"/>
      <c r="E81" s="17"/>
      <c r="F81" s="17"/>
      <c r="G81" s="17"/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17"/>
      <c r="S81" s="17"/>
      <c r="T81" s="17"/>
      <c r="U81" s="17"/>
      <c r="V81" s="17"/>
      <c r="W81" s="17"/>
      <c r="X81" s="17"/>
    </row>
    <row r="82" spans="1:24" x14ac:dyDescent="0.25">
      <c r="A82" s="17"/>
      <c r="B82" s="17"/>
      <c r="C82" s="17"/>
      <c r="D82" s="17"/>
      <c r="E82" s="17"/>
      <c r="F82" s="17"/>
      <c r="G82" s="17"/>
      <c r="H82" s="17"/>
      <c r="I82" s="17"/>
      <c r="J82" s="17"/>
      <c r="K82" s="17"/>
      <c r="L82" s="17"/>
      <c r="M82" s="17"/>
      <c r="N82" s="17"/>
      <c r="O82" s="17"/>
      <c r="P82" s="17"/>
      <c r="Q82" s="17"/>
      <c r="R82" s="17"/>
      <c r="S82" s="17"/>
      <c r="T82" s="17"/>
      <c r="U82" s="17"/>
      <c r="V82" s="17"/>
      <c r="W82" s="17"/>
      <c r="X82" s="17"/>
    </row>
    <row r="83" spans="1:24" x14ac:dyDescent="0.25">
      <c r="A83" s="17"/>
      <c r="B83" s="17"/>
      <c r="C83" s="17"/>
      <c r="D83" s="17"/>
      <c r="E83" s="17"/>
      <c r="F83" s="17"/>
      <c r="G83" s="17"/>
      <c r="H83" s="17"/>
      <c r="I83" s="17"/>
      <c r="J83" s="17"/>
      <c r="K83" s="17"/>
      <c r="L83" s="17"/>
      <c r="M83" s="17"/>
      <c r="N83" s="17"/>
      <c r="O83" s="17"/>
      <c r="P83" s="17"/>
      <c r="Q83" s="17"/>
      <c r="R83" s="17"/>
      <c r="S83" s="17"/>
      <c r="T83" s="17"/>
      <c r="U83" s="17"/>
      <c r="V83" s="17"/>
      <c r="W83" s="17"/>
      <c r="X83" s="17"/>
    </row>
    <row r="84" spans="1:24" x14ac:dyDescent="0.25">
      <c r="A84" s="17"/>
      <c r="B84" s="17"/>
      <c r="C84" s="17"/>
      <c r="D84" s="17"/>
      <c r="E84" s="17"/>
      <c r="F84" s="17"/>
      <c r="G84" s="17"/>
      <c r="H84" s="17"/>
      <c r="I84" s="17"/>
      <c r="J84" s="17"/>
      <c r="K84" s="17"/>
      <c r="L84" s="17"/>
      <c r="M84" s="17"/>
      <c r="N84" s="17"/>
      <c r="O84" s="17"/>
      <c r="P84" s="17"/>
      <c r="Q84" s="17"/>
      <c r="R84" s="17"/>
      <c r="S84" s="17"/>
      <c r="T84" s="17"/>
      <c r="U84" s="17"/>
      <c r="V84" s="17"/>
      <c r="W84" s="17"/>
      <c r="X84" s="17"/>
    </row>
    <row r="85" spans="1:24" x14ac:dyDescent="0.25">
      <c r="A85" s="17"/>
      <c r="B85" s="17"/>
      <c r="C85" s="17"/>
      <c r="D85" s="17"/>
      <c r="E85" s="17"/>
      <c r="F85" s="17"/>
      <c r="G85" s="17"/>
      <c r="H85" s="17"/>
      <c r="I85" s="17"/>
      <c r="J85" s="17"/>
      <c r="K85" s="17"/>
      <c r="L85" s="17"/>
      <c r="M85" s="17"/>
      <c r="N85" s="17"/>
      <c r="O85" s="17"/>
      <c r="P85" s="17"/>
      <c r="Q85" s="17"/>
      <c r="R85" s="17"/>
      <c r="S85" s="17"/>
      <c r="T85" s="17"/>
      <c r="U85" s="17"/>
      <c r="V85" s="17"/>
      <c r="W85" s="17"/>
      <c r="X85" s="17"/>
    </row>
    <row r="86" spans="1:24" x14ac:dyDescent="0.25">
      <c r="A86" s="17"/>
      <c r="B86" s="17"/>
      <c r="C86" s="17"/>
      <c r="D86" s="17"/>
      <c r="E86" s="17"/>
      <c r="F86" s="17"/>
      <c r="G86" s="17"/>
      <c r="H86" s="17"/>
      <c r="I86" s="17"/>
      <c r="J86" s="17"/>
      <c r="K86" s="17"/>
      <c r="L86" s="17"/>
      <c r="M86" s="17"/>
      <c r="N86" s="17"/>
      <c r="O86" s="17"/>
      <c r="P86" s="17"/>
      <c r="Q86" s="17"/>
      <c r="R86" s="17"/>
      <c r="S86" s="17"/>
      <c r="T86" s="17"/>
      <c r="U86" s="17"/>
      <c r="V86" s="17"/>
      <c r="W86" s="17"/>
      <c r="X86" s="17"/>
    </row>
    <row r="87" spans="1:24" x14ac:dyDescent="0.25">
      <c r="A87" s="17"/>
      <c r="B87" s="17"/>
      <c r="C87" s="17"/>
      <c r="D87" s="17"/>
      <c r="E87" s="17"/>
      <c r="F87" s="17"/>
      <c r="G87" s="17"/>
      <c r="H87" s="17"/>
      <c r="I87" s="17"/>
      <c r="J87" s="17"/>
      <c r="K87" s="17"/>
      <c r="L87" s="17"/>
      <c r="M87" s="17"/>
      <c r="N87" s="17"/>
      <c r="O87" s="17"/>
      <c r="P87" s="17"/>
      <c r="Q87" s="17"/>
      <c r="R87" s="17"/>
      <c r="S87" s="17"/>
      <c r="T87" s="17"/>
      <c r="U87" s="17"/>
      <c r="V87" s="17"/>
      <c r="W87" s="17"/>
      <c r="X87" s="17"/>
    </row>
    <row r="88" spans="1:24" x14ac:dyDescent="0.25">
      <c r="A88" s="17"/>
      <c r="B88" s="17"/>
      <c r="C88" s="17"/>
      <c r="D88" s="17"/>
      <c r="E88" s="17"/>
      <c r="F88" s="17"/>
      <c r="G88" s="17"/>
      <c r="H88" s="17"/>
      <c r="I88" s="17"/>
      <c r="J88" s="17"/>
      <c r="K88" s="17"/>
      <c r="L88" s="17"/>
      <c r="M88" s="17"/>
      <c r="N88" s="17"/>
      <c r="O88" s="17"/>
      <c r="P88" s="17"/>
      <c r="Q88" s="17"/>
      <c r="R88" s="17"/>
      <c r="S88" s="17"/>
      <c r="T88" s="17"/>
      <c r="U88" s="17"/>
      <c r="V88" s="17"/>
      <c r="W88" s="17"/>
      <c r="X88" s="17"/>
    </row>
    <row r="89" spans="1:24" x14ac:dyDescent="0.25">
      <c r="A89" s="17"/>
      <c r="B89" s="17"/>
      <c r="C89" s="17"/>
      <c r="D89" s="17"/>
      <c r="E89" s="17"/>
      <c r="F89" s="17"/>
      <c r="G89" s="17"/>
      <c r="H89" s="17"/>
      <c r="I89" s="17"/>
      <c r="J89" s="17"/>
      <c r="K89" s="17"/>
      <c r="L89" s="17"/>
      <c r="M89" s="17"/>
      <c r="N89" s="17"/>
      <c r="O89" s="17"/>
      <c r="P89" s="17"/>
      <c r="Q89" s="17"/>
      <c r="R89" s="17"/>
      <c r="S89" s="17"/>
      <c r="T89" s="17"/>
      <c r="U89" s="17"/>
      <c r="V89" s="17"/>
      <c r="W89" s="17"/>
      <c r="X89" s="17"/>
    </row>
    <row r="90" spans="1:24" x14ac:dyDescent="0.25">
      <c r="B90" s="16"/>
      <c r="C90" s="16"/>
      <c r="D90" s="16"/>
      <c r="E90" s="16"/>
      <c r="F90" s="16"/>
      <c r="G90" s="16"/>
      <c r="H90" s="16"/>
      <c r="I90" s="16"/>
      <c r="K90" s="16"/>
      <c r="L90" s="16"/>
      <c r="M90" s="16"/>
      <c r="N90" s="16"/>
      <c r="O90" s="16"/>
      <c r="P90" s="16"/>
      <c r="Q90" s="16"/>
      <c r="R90" s="16"/>
    </row>
    <row r="91" spans="1:24" x14ac:dyDescent="0.25">
      <c r="B91" s="16"/>
      <c r="C91" s="16"/>
      <c r="D91" s="16"/>
      <c r="E91" s="16"/>
      <c r="F91" s="16"/>
      <c r="G91" s="16"/>
      <c r="H91" s="16"/>
      <c r="I91" s="16"/>
      <c r="K91" s="16"/>
      <c r="L91" s="16"/>
      <c r="M91" s="16"/>
      <c r="N91" s="16"/>
      <c r="O91" s="16"/>
      <c r="P91" s="16"/>
      <c r="Q91" s="16"/>
      <c r="R91" s="16"/>
    </row>
    <row r="92" spans="1:24" x14ac:dyDescent="0.25">
      <c r="B92" s="16"/>
      <c r="C92" s="16"/>
      <c r="D92" s="16"/>
      <c r="E92" s="16"/>
      <c r="F92" s="16"/>
      <c r="G92" s="16"/>
      <c r="H92" s="16"/>
      <c r="I92" s="16"/>
      <c r="K92" s="16"/>
      <c r="L92" s="16"/>
      <c r="M92" s="16"/>
      <c r="N92" s="16"/>
      <c r="O92" s="16"/>
      <c r="P92" s="16"/>
      <c r="Q92" s="16"/>
      <c r="R92" s="16"/>
    </row>
    <row r="93" spans="1:24" x14ac:dyDescent="0.25">
      <c r="B93" s="16"/>
      <c r="C93" s="16"/>
      <c r="D93" s="16"/>
      <c r="E93" s="16"/>
      <c r="F93" s="16"/>
      <c r="G93" s="16"/>
      <c r="H93" s="16"/>
      <c r="I93" s="16"/>
      <c r="K93" s="16"/>
      <c r="L93" s="16"/>
      <c r="M93" s="16"/>
      <c r="N93" s="16"/>
      <c r="O93" s="16"/>
      <c r="P93" s="16"/>
      <c r="Q93" s="16"/>
      <c r="R93" s="16"/>
    </row>
    <row r="94" spans="1:24" x14ac:dyDescent="0.25">
      <c r="B94" s="16"/>
      <c r="C94" s="16"/>
      <c r="D94" s="16"/>
      <c r="E94" s="16"/>
      <c r="F94" s="16"/>
      <c r="G94" s="16"/>
      <c r="H94" s="16"/>
      <c r="I94" s="16"/>
      <c r="K94" s="16"/>
      <c r="L94" s="16"/>
      <c r="M94" s="16"/>
      <c r="N94" s="16"/>
      <c r="O94" s="16"/>
      <c r="P94" s="16"/>
      <c r="Q94" s="16"/>
      <c r="R94" s="16"/>
    </row>
    <row r="95" spans="1:24" x14ac:dyDescent="0.25">
      <c r="B95" s="16"/>
      <c r="C95" s="16"/>
      <c r="D95" s="16"/>
      <c r="E95" s="16"/>
      <c r="F95" s="16"/>
      <c r="G95" s="16"/>
      <c r="H95" s="16"/>
      <c r="I95" s="16"/>
      <c r="K95" s="16"/>
      <c r="L95" s="16"/>
      <c r="M95" s="16"/>
      <c r="N95" s="16"/>
      <c r="O95" s="16"/>
      <c r="P95" s="16"/>
      <c r="Q95" s="16"/>
      <c r="R95" s="16"/>
    </row>
    <row r="96" spans="1:24" x14ac:dyDescent="0.25">
      <c r="B96" s="16"/>
      <c r="C96" s="16"/>
      <c r="D96" s="16"/>
      <c r="E96" s="16"/>
      <c r="F96" s="16"/>
      <c r="G96" s="16"/>
      <c r="H96" s="16"/>
      <c r="I96" s="16"/>
      <c r="K96" s="16"/>
      <c r="L96" s="16"/>
      <c r="M96" s="16"/>
      <c r="N96" s="16"/>
      <c r="O96" s="16"/>
      <c r="P96" s="16"/>
      <c r="Q96" s="16"/>
      <c r="R96" s="16"/>
    </row>
    <row r="97" spans="2:18" x14ac:dyDescent="0.25">
      <c r="B97" s="16"/>
      <c r="C97" s="16"/>
      <c r="D97" s="16"/>
      <c r="E97" s="16"/>
      <c r="F97" s="16"/>
      <c r="G97" s="16"/>
      <c r="H97" s="16"/>
      <c r="I97" s="16"/>
      <c r="K97" s="16"/>
      <c r="L97" s="16"/>
      <c r="M97" s="16"/>
      <c r="N97" s="16"/>
      <c r="O97" s="16"/>
      <c r="P97" s="16"/>
      <c r="Q97" s="16"/>
      <c r="R97" s="16"/>
    </row>
    <row r="98" spans="2:18" x14ac:dyDescent="0.25">
      <c r="B98" s="16"/>
      <c r="C98" s="16"/>
      <c r="D98" s="16"/>
      <c r="E98" s="16"/>
      <c r="F98" s="16"/>
      <c r="G98" s="16"/>
      <c r="H98" s="16"/>
      <c r="I98" s="16"/>
      <c r="K98" s="16"/>
      <c r="L98" s="16"/>
      <c r="M98" s="16"/>
      <c r="N98" s="16"/>
      <c r="O98" s="16"/>
      <c r="P98" s="16"/>
      <c r="Q98" s="16"/>
      <c r="R98" s="16"/>
    </row>
    <row r="99" spans="2:18" x14ac:dyDescent="0.25">
      <c r="B99" s="16"/>
      <c r="C99" s="16"/>
      <c r="D99" s="16"/>
      <c r="E99" s="16"/>
      <c r="F99" s="16"/>
      <c r="G99" s="16"/>
      <c r="H99" s="16"/>
      <c r="I99" s="16"/>
      <c r="K99" s="16"/>
      <c r="L99" s="16"/>
      <c r="M99" s="16"/>
      <c r="N99" s="16"/>
      <c r="O99" s="16"/>
      <c r="P99" s="16"/>
      <c r="Q99" s="16"/>
      <c r="R99" s="16"/>
    </row>
    <row r="100" spans="2:18" x14ac:dyDescent="0.25">
      <c r="B100" s="16"/>
      <c r="C100" s="16"/>
      <c r="D100" s="16"/>
      <c r="E100" s="16"/>
      <c r="F100" s="16"/>
      <c r="G100" s="16"/>
      <c r="H100" s="16"/>
      <c r="I100" s="16"/>
      <c r="K100" s="16"/>
      <c r="L100" s="16"/>
      <c r="M100" s="16"/>
      <c r="N100" s="16"/>
      <c r="O100" s="16"/>
      <c r="P100" s="16"/>
      <c r="Q100" s="16"/>
      <c r="R100" s="16"/>
    </row>
    <row r="101" spans="2:18" x14ac:dyDescent="0.25">
      <c r="B101" s="16"/>
      <c r="C101" s="16"/>
      <c r="D101" s="16"/>
      <c r="E101" s="16"/>
      <c r="F101" s="16"/>
      <c r="G101" s="16"/>
      <c r="H101" s="16"/>
      <c r="I101" s="16"/>
      <c r="K101" s="16"/>
      <c r="L101" s="16"/>
      <c r="M101" s="16"/>
      <c r="N101" s="16"/>
      <c r="O101" s="16"/>
      <c r="P101" s="16"/>
      <c r="Q101" s="16"/>
      <c r="R101" s="16"/>
    </row>
    <row r="102" spans="2:18" x14ac:dyDescent="0.25">
      <c r="B102" s="16"/>
      <c r="C102" s="16"/>
      <c r="D102" s="16"/>
      <c r="E102" s="16"/>
      <c r="F102" s="16"/>
      <c r="G102" s="16"/>
      <c r="H102" s="16"/>
      <c r="I102" s="16"/>
      <c r="K102" s="16"/>
      <c r="L102" s="16"/>
      <c r="M102" s="16"/>
      <c r="N102" s="16"/>
      <c r="O102" s="16"/>
      <c r="P102" s="16"/>
      <c r="Q102" s="16"/>
      <c r="R102" s="16"/>
    </row>
    <row r="103" spans="2:18" x14ac:dyDescent="0.25">
      <c r="B103" s="16"/>
      <c r="C103" s="16"/>
      <c r="D103" s="16"/>
      <c r="E103" s="16"/>
      <c r="F103" s="16"/>
      <c r="G103" s="16"/>
      <c r="H103" s="16"/>
      <c r="I103" s="16"/>
      <c r="K103" s="16"/>
      <c r="L103" s="16"/>
      <c r="M103" s="16"/>
      <c r="N103" s="16"/>
      <c r="O103" s="16"/>
      <c r="P103" s="16"/>
      <c r="Q103" s="16"/>
      <c r="R103" s="16"/>
    </row>
    <row r="104" spans="2:18" x14ac:dyDescent="0.25">
      <c r="B104" s="16"/>
      <c r="C104" s="16"/>
      <c r="D104" s="16"/>
      <c r="E104" s="16"/>
      <c r="F104" s="16"/>
      <c r="G104" s="16"/>
      <c r="H104" s="16"/>
      <c r="I104" s="16"/>
      <c r="K104" s="16"/>
      <c r="L104" s="16"/>
      <c r="M104" s="16"/>
      <c r="N104" s="16"/>
      <c r="O104" s="16"/>
      <c r="P104" s="16"/>
      <c r="Q104" s="16"/>
      <c r="R104" s="16"/>
    </row>
    <row r="105" spans="2:18" x14ac:dyDescent="0.25">
      <c r="B105" s="16"/>
      <c r="C105" s="16"/>
      <c r="D105" s="16"/>
      <c r="E105" s="16"/>
      <c r="F105" s="16"/>
      <c r="G105" s="16"/>
      <c r="H105" s="16"/>
      <c r="I105" s="16"/>
      <c r="K105" s="16"/>
      <c r="L105" s="16"/>
      <c r="M105" s="16"/>
      <c r="N105" s="16"/>
      <c r="O105" s="16"/>
      <c r="P105" s="16"/>
      <c r="Q105" s="16"/>
      <c r="R105" s="16"/>
    </row>
    <row r="106" spans="2:18" x14ac:dyDescent="0.25">
      <c r="B106" s="16"/>
      <c r="C106" s="16"/>
      <c r="D106" s="16"/>
      <c r="E106" s="16"/>
      <c r="F106" s="16"/>
      <c r="G106" s="16"/>
      <c r="H106" s="16"/>
      <c r="I106" s="16"/>
      <c r="K106" s="16"/>
      <c r="L106" s="16"/>
      <c r="M106" s="16"/>
      <c r="N106" s="16"/>
      <c r="O106" s="16"/>
      <c r="P106" s="16"/>
      <c r="Q106" s="16"/>
      <c r="R106" s="16"/>
    </row>
    <row r="107" spans="2:18" x14ac:dyDescent="0.25">
      <c r="B107" s="16"/>
      <c r="C107" s="16"/>
      <c r="D107" s="16"/>
      <c r="E107" s="16"/>
      <c r="F107" s="16"/>
      <c r="G107" s="16"/>
      <c r="H107" s="16"/>
      <c r="I107" s="16"/>
      <c r="K107" s="16"/>
      <c r="L107" s="16"/>
      <c r="M107" s="16"/>
      <c r="N107" s="16"/>
      <c r="O107" s="16"/>
      <c r="P107" s="16"/>
      <c r="Q107" s="16"/>
      <c r="R107" s="16"/>
    </row>
    <row r="108" spans="2:18" x14ac:dyDescent="0.25">
      <c r="B108" s="16"/>
      <c r="C108" s="16"/>
      <c r="D108" s="16"/>
      <c r="E108" s="16"/>
      <c r="F108" s="16"/>
      <c r="G108" s="16"/>
      <c r="H108" s="16"/>
      <c r="I108" s="16"/>
      <c r="K108" s="16"/>
      <c r="L108" s="16"/>
      <c r="M108" s="16"/>
      <c r="N108" s="16"/>
      <c r="O108" s="16"/>
      <c r="P108" s="16"/>
      <c r="Q108" s="16"/>
      <c r="R108" s="16"/>
    </row>
    <row r="109" spans="2:18" x14ac:dyDescent="0.25">
      <c r="B109" s="16"/>
      <c r="C109" s="16"/>
      <c r="D109" s="16"/>
      <c r="E109" s="16"/>
      <c r="F109" s="16"/>
      <c r="G109" s="16"/>
      <c r="H109" s="16"/>
      <c r="I109" s="16"/>
      <c r="K109" s="16"/>
      <c r="L109" s="16"/>
      <c r="M109" s="16"/>
      <c r="N109" s="16"/>
      <c r="O109" s="16"/>
      <c r="P109" s="16"/>
      <c r="Q109" s="16"/>
      <c r="R109" s="16"/>
    </row>
    <row r="110" spans="2:18" x14ac:dyDescent="0.25">
      <c r="B110" s="16"/>
      <c r="C110" s="16"/>
      <c r="D110" s="16"/>
      <c r="E110" s="16"/>
      <c r="F110" s="16"/>
      <c r="G110" s="16"/>
      <c r="H110" s="16"/>
      <c r="I110" s="16"/>
      <c r="K110" s="16"/>
      <c r="L110" s="16"/>
      <c r="M110" s="16"/>
      <c r="N110" s="16"/>
      <c r="O110" s="16"/>
      <c r="P110" s="16"/>
      <c r="Q110" s="16"/>
      <c r="R110" s="16"/>
    </row>
    <row r="111" spans="2:18" x14ac:dyDescent="0.25">
      <c r="B111" s="16"/>
      <c r="C111" s="16"/>
      <c r="D111" s="16"/>
      <c r="E111" s="16"/>
      <c r="F111" s="16"/>
      <c r="G111" s="16"/>
      <c r="H111" s="16"/>
      <c r="I111" s="16"/>
      <c r="K111" s="16"/>
      <c r="L111" s="16"/>
      <c r="M111" s="16"/>
      <c r="N111" s="16"/>
      <c r="O111" s="16"/>
      <c r="P111" s="16"/>
      <c r="Q111" s="16"/>
      <c r="R111" s="16"/>
    </row>
    <row r="112" spans="2:18" x14ac:dyDescent="0.25">
      <c r="B112" s="16"/>
      <c r="C112" s="16"/>
      <c r="D112" s="16"/>
      <c r="E112" s="16"/>
      <c r="F112" s="16"/>
      <c r="G112" s="16"/>
      <c r="H112" s="16"/>
      <c r="I112" s="16"/>
      <c r="K112" s="16"/>
      <c r="L112" s="16"/>
      <c r="M112" s="16"/>
      <c r="N112" s="16"/>
      <c r="O112" s="16"/>
      <c r="P112" s="16"/>
      <c r="Q112" s="16"/>
      <c r="R112" s="16"/>
    </row>
    <row r="113" spans="2:18" x14ac:dyDescent="0.25">
      <c r="B113" s="16"/>
      <c r="C113" s="16"/>
      <c r="D113" s="16"/>
      <c r="E113" s="16"/>
      <c r="F113" s="16"/>
      <c r="G113" s="16"/>
      <c r="H113" s="16"/>
      <c r="I113" s="16"/>
      <c r="K113" s="16"/>
      <c r="L113" s="16"/>
      <c r="M113" s="16"/>
      <c r="N113" s="16"/>
      <c r="O113" s="16"/>
      <c r="P113" s="16"/>
      <c r="Q113" s="16"/>
      <c r="R113" s="16"/>
    </row>
    <row r="114" spans="2:18" x14ac:dyDescent="0.25">
      <c r="B114" s="16"/>
      <c r="C114" s="16"/>
      <c r="D114" s="16"/>
      <c r="E114" s="16"/>
      <c r="F114" s="16"/>
      <c r="G114" s="16"/>
      <c r="H114" s="16"/>
      <c r="I114" s="16"/>
      <c r="K114" s="16"/>
      <c r="L114" s="16"/>
      <c r="M114" s="16"/>
      <c r="N114" s="16"/>
      <c r="O114" s="16"/>
      <c r="P114" s="16"/>
      <c r="Q114" s="16"/>
      <c r="R114" s="16"/>
    </row>
    <row r="115" spans="2:18" x14ac:dyDescent="0.25">
      <c r="B115" s="16"/>
      <c r="C115" s="16"/>
      <c r="D115" s="16"/>
      <c r="E115" s="16"/>
      <c r="F115" s="16"/>
      <c r="G115" s="16"/>
      <c r="H115" s="16"/>
      <c r="I115" s="16"/>
      <c r="K115" s="16"/>
      <c r="L115" s="16"/>
      <c r="M115" s="16"/>
      <c r="N115" s="16"/>
      <c r="O115" s="16"/>
      <c r="P115" s="16"/>
      <c r="Q115" s="16"/>
      <c r="R115" s="16"/>
    </row>
    <row r="116" spans="2:18" x14ac:dyDescent="0.25">
      <c r="B116" s="16"/>
      <c r="C116" s="16"/>
      <c r="D116" s="16"/>
      <c r="E116" s="16"/>
      <c r="F116" s="16"/>
      <c r="G116" s="16"/>
      <c r="H116" s="16"/>
      <c r="I116" s="16"/>
      <c r="K116" s="16"/>
      <c r="L116" s="16"/>
      <c r="M116" s="16"/>
      <c r="N116" s="16"/>
      <c r="O116" s="16"/>
      <c r="P116" s="16"/>
      <c r="Q116" s="16"/>
      <c r="R116" s="16"/>
    </row>
    <row r="117" spans="2:18" x14ac:dyDescent="0.25">
      <c r="B117" s="16"/>
      <c r="C117" s="16"/>
      <c r="D117" s="16"/>
      <c r="E117" s="16"/>
      <c r="F117" s="16"/>
      <c r="G117" s="16"/>
      <c r="H117" s="16"/>
      <c r="I117" s="16"/>
      <c r="K117" s="16"/>
      <c r="L117" s="16"/>
      <c r="M117" s="16"/>
      <c r="N117" s="16"/>
      <c r="O117" s="16"/>
      <c r="P117" s="16"/>
      <c r="Q117" s="16"/>
      <c r="R117" s="16"/>
    </row>
    <row r="118" spans="2:18" x14ac:dyDescent="0.25">
      <c r="B118" s="16"/>
      <c r="C118" s="16"/>
      <c r="D118" s="16"/>
      <c r="E118" s="16"/>
      <c r="F118" s="16"/>
      <c r="G118" s="16"/>
      <c r="H118" s="16"/>
      <c r="I118" s="16"/>
      <c r="K118" s="16"/>
      <c r="L118" s="16"/>
      <c r="M118" s="16"/>
      <c r="N118" s="16"/>
      <c r="O118" s="16"/>
      <c r="P118" s="16"/>
      <c r="Q118" s="16"/>
      <c r="R118" s="16"/>
    </row>
    <row r="119" spans="2:18" x14ac:dyDescent="0.25">
      <c r="B119" s="16"/>
      <c r="C119" s="16"/>
      <c r="D119" s="16"/>
      <c r="E119" s="16"/>
      <c r="F119" s="16"/>
      <c r="G119" s="16"/>
      <c r="H119" s="16"/>
      <c r="I119" s="16"/>
      <c r="K119" s="16"/>
      <c r="L119" s="16"/>
      <c r="M119" s="16"/>
      <c r="N119" s="16"/>
      <c r="O119" s="16"/>
      <c r="P119" s="16"/>
      <c r="Q119" s="16"/>
      <c r="R119" s="16"/>
    </row>
    <row r="120" spans="2:18" x14ac:dyDescent="0.25">
      <c r="B120" s="16"/>
      <c r="C120" s="16"/>
      <c r="D120" s="16"/>
      <c r="E120" s="16"/>
      <c r="F120" s="16"/>
      <c r="G120" s="16"/>
      <c r="H120" s="16"/>
      <c r="I120" s="16"/>
      <c r="K120" s="16"/>
      <c r="L120" s="16"/>
      <c r="M120" s="16"/>
      <c r="N120" s="16"/>
      <c r="O120" s="16"/>
      <c r="P120" s="16"/>
      <c r="Q120" s="16"/>
      <c r="R120" s="16"/>
    </row>
    <row r="121" spans="2:18" x14ac:dyDescent="0.25">
      <c r="B121" s="16"/>
      <c r="C121" s="16"/>
      <c r="D121" s="16"/>
      <c r="E121" s="16"/>
      <c r="F121" s="16"/>
      <c r="G121" s="16"/>
      <c r="H121" s="16"/>
      <c r="I121" s="16"/>
      <c r="K121" s="16"/>
      <c r="L121" s="16"/>
      <c r="M121" s="16"/>
      <c r="N121" s="16"/>
      <c r="O121" s="16"/>
      <c r="P121" s="16"/>
      <c r="Q121" s="16"/>
      <c r="R121" s="16"/>
    </row>
    <row r="122" spans="2:18" x14ac:dyDescent="0.25">
      <c r="B122" s="16"/>
      <c r="C122" s="16"/>
      <c r="D122" s="16"/>
      <c r="E122" s="16"/>
      <c r="F122" s="16"/>
      <c r="G122" s="16"/>
      <c r="H122" s="16"/>
      <c r="I122" s="16"/>
      <c r="K122" s="16"/>
      <c r="L122" s="16"/>
      <c r="M122" s="16"/>
      <c r="N122" s="16"/>
      <c r="O122" s="16"/>
      <c r="P122" s="16"/>
      <c r="Q122" s="16"/>
      <c r="R122" s="16"/>
    </row>
    <row r="123" spans="2:18" x14ac:dyDescent="0.25">
      <c r="B123" s="16"/>
      <c r="C123" s="16"/>
      <c r="D123" s="16"/>
      <c r="E123" s="16"/>
      <c r="F123" s="16"/>
      <c r="G123" s="16"/>
      <c r="H123" s="16"/>
      <c r="I123" s="16"/>
      <c r="K123" s="16"/>
      <c r="L123" s="16"/>
      <c r="M123" s="16"/>
      <c r="N123" s="16"/>
      <c r="O123" s="16"/>
      <c r="P123" s="16"/>
      <c r="Q123" s="16"/>
      <c r="R123" s="16"/>
    </row>
    <row r="124" spans="2:18" x14ac:dyDescent="0.25">
      <c r="B124" s="16"/>
      <c r="C124" s="16"/>
      <c r="D124" s="16"/>
      <c r="E124" s="16"/>
      <c r="F124" s="16"/>
      <c r="G124" s="16"/>
      <c r="H124" s="16"/>
      <c r="I124" s="16"/>
      <c r="K124" s="16"/>
      <c r="L124" s="16"/>
      <c r="M124" s="16"/>
      <c r="N124" s="16"/>
      <c r="O124" s="16"/>
      <c r="P124" s="16"/>
      <c r="Q124" s="16"/>
      <c r="R124" s="16"/>
    </row>
    <row r="125" spans="2:18" x14ac:dyDescent="0.25">
      <c r="B125" s="16"/>
      <c r="C125" s="16"/>
      <c r="D125" s="16"/>
      <c r="E125" s="16"/>
      <c r="F125" s="16"/>
      <c r="G125" s="16"/>
      <c r="H125" s="16"/>
      <c r="I125" s="16"/>
      <c r="K125" s="16"/>
      <c r="L125" s="16"/>
      <c r="M125" s="16"/>
      <c r="N125" s="16"/>
      <c r="O125" s="16"/>
      <c r="P125" s="16"/>
      <c r="Q125" s="16"/>
      <c r="R125" s="16"/>
    </row>
    <row r="126" spans="2:18" x14ac:dyDescent="0.25">
      <c r="B126" s="16"/>
      <c r="C126" s="16"/>
      <c r="D126" s="16"/>
      <c r="E126" s="16"/>
      <c r="F126" s="16"/>
      <c r="G126" s="16"/>
      <c r="H126" s="16"/>
      <c r="I126" s="16"/>
      <c r="K126" s="16"/>
      <c r="L126" s="16"/>
      <c r="M126" s="16"/>
      <c r="N126" s="16"/>
      <c r="O126" s="16"/>
      <c r="P126" s="16"/>
      <c r="Q126" s="16"/>
      <c r="R126" s="16"/>
    </row>
    <row r="127" spans="2:18" x14ac:dyDescent="0.25">
      <c r="B127" s="16"/>
      <c r="C127" s="16"/>
      <c r="D127" s="16"/>
      <c r="E127" s="16"/>
      <c r="F127" s="16"/>
      <c r="G127" s="16"/>
      <c r="H127" s="16"/>
      <c r="I127" s="16"/>
      <c r="K127" s="16"/>
      <c r="L127" s="16"/>
      <c r="M127" s="16"/>
      <c r="N127" s="16"/>
      <c r="O127" s="16"/>
      <c r="P127" s="16"/>
      <c r="Q127" s="16"/>
      <c r="R127" s="16"/>
    </row>
    <row r="128" spans="2:18" x14ac:dyDescent="0.25">
      <c r="B128" s="16"/>
      <c r="C128" s="16"/>
      <c r="D128" s="16"/>
      <c r="E128" s="16"/>
      <c r="F128" s="16"/>
      <c r="G128" s="16"/>
      <c r="H128" s="16"/>
      <c r="I128" s="16"/>
      <c r="K128" s="16"/>
      <c r="L128" s="16"/>
      <c r="M128" s="16"/>
      <c r="N128" s="16"/>
      <c r="O128" s="16"/>
      <c r="P128" s="16"/>
      <c r="Q128" s="16"/>
      <c r="R128" s="16"/>
    </row>
    <row r="129" spans="2:18" x14ac:dyDescent="0.25">
      <c r="B129" s="16"/>
      <c r="C129" s="16"/>
      <c r="D129" s="16"/>
      <c r="E129" s="16"/>
      <c r="F129" s="16"/>
      <c r="G129" s="16"/>
      <c r="H129" s="16"/>
      <c r="I129" s="16"/>
      <c r="K129" s="16"/>
      <c r="L129" s="16"/>
      <c r="M129" s="16"/>
      <c r="N129" s="16"/>
      <c r="O129" s="16"/>
      <c r="P129" s="16"/>
      <c r="Q129" s="16"/>
      <c r="R129" s="16"/>
    </row>
    <row r="130" spans="2:18" x14ac:dyDescent="0.25">
      <c r="B130" s="16"/>
      <c r="C130" s="16"/>
      <c r="D130" s="16"/>
      <c r="E130" s="16"/>
      <c r="F130" s="16"/>
      <c r="G130" s="16"/>
      <c r="H130" s="16"/>
      <c r="I130" s="16"/>
      <c r="K130" s="16"/>
      <c r="L130" s="16"/>
      <c r="M130" s="16"/>
      <c r="N130" s="16"/>
      <c r="O130" s="16"/>
      <c r="P130" s="16"/>
      <c r="Q130" s="16"/>
      <c r="R130" s="16"/>
    </row>
    <row r="131" spans="2:18" x14ac:dyDescent="0.25">
      <c r="B131" s="16"/>
      <c r="C131" s="16"/>
      <c r="D131" s="16"/>
      <c r="E131" s="16"/>
      <c r="F131" s="16"/>
      <c r="G131" s="16"/>
      <c r="H131" s="16"/>
      <c r="I131" s="16"/>
      <c r="K131" s="16"/>
      <c r="L131" s="16"/>
      <c r="M131" s="16"/>
      <c r="N131" s="16"/>
      <c r="O131" s="16"/>
      <c r="P131" s="16"/>
      <c r="Q131" s="16"/>
      <c r="R131" s="16"/>
    </row>
    <row r="132" spans="2:18" x14ac:dyDescent="0.25">
      <c r="B132" s="16"/>
      <c r="C132" s="16"/>
      <c r="D132" s="16"/>
      <c r="E132" s="16"/>
      <c r="F132" s="16"/>
      <c r="G132" s="16"/>
      <c r="H132" s="16"/>
      <c r="I132" s="16"/>
      <c r="K132" s="16"/>
      <c r="L132" s="16"/>
      <c r="M132" s="16"/>
      <c r="N132" s="16"/>
      <c r="O132" s="16"/>
      <c r="P132" s="16"/>
      <c r="Q132" s="16"/>
      <c r="R132" s="16"/>
    </row>
    <row r="133" spans="2:18" x14ac:dyDescent="0.25">
      <c r="B133" s="16"/>
      <c r="C133" s="16"/>
      <c r="D133" s="16"/>
      <c r="E133" s="16"/>
      <c r="F133" s="16"/>
      <c r="G133" s="16"/>
      <c r="H133" s="16"/>
      <c r="I133" s="16"/>
      <c r="K133" s="16"/>
      <c r="L133" s="16"/>
      <c r="M133" s="16"/>
      <c r="N133" s="16"/>
      <c r="O133" s="16"/>
      <c r="P133" s="16"/>
      <c r="Q133" s="16"/>
      <c r="R133" s="16"/>
    </row>
    <row r="134" spans="2:18" x14ac:dyDescent="0.25">
      <c r="B134" s="16"/>
      <c r="C134" s="16"/>
      <c r="D134" s="16"/>
      <c r="E134" s="16"/>
      <c r="F134" s="16"/>
      <c r="G134" s="16"/>
      <c r="H134" s="16"/>
      <c r="I134" s="16"/>
      <c r="K134" s="16"/>
      <c r="L134" s="16"/>
      <c r="M134" s="16"/>
      <c r="N134" s="16"/>
      <c r="O134" s="16"/>
      <c r="P134" s="16"/>
      <c r="Q134" s="16"/>
      <c r="R134" s="16"/>
    </row>
    <row r="135" spans="2:18" x14ac:dyDescent="0.25">
      <c r="B135" s="16"/>
      <c r="C135" s="16"/>
      <c r="D135" s="16"/>
      <c r="E135" s="16"/>
      <c r="F135" s="16"/>
      <c r="G135" s="16"/>
      <c r="H135" s="16"/>
      <c r="I135" s="16"/>
      <c r="K135" s="16"/>
      <c r="L135" s="16"/>
      <c r="M135" s="16"/>
      <c r="N135" s="16"/>
      <c r="O135" s="16"/>
      <c r="P135" s="16"/>
      <c r="Q135" s="16"/>
      <c r="R135" s="16"/>
    </row>
    <row r="136" spans="2:18" x14ac:dyDescent="0.25">
      <c r="B136" s="16"/>
      <c r="C136" s="16"/>
      <c r="D136" s="16"/>
      <c r="E136" s="16"/>
      <c r="F136" s="16"/>
      <c r="G136" s="16"/>
      <c r="H136" s="16"/>
      <c r="I136" s="16"/>
      <c r="K136" s="16"/>
      <c r="L136" s="16"/>
      <c r="M136" s="16"/>
      <c r="N136" s="16"/>
      <c r="O136" s="16"/>
      <c r="P136" s="16"/>
      <c r="Q136" s="16"/>
      <c r="R136" s="16"/>
    </row>
    <row r="137" spans="2:18" x14ac:dyDescent="0.25">
      <c r="B137" s="16"/>
      <c r="C137" s="16"/>
      <c r="D137" s="16"/>
      <c r="E137" s="16"/>
      <c r="F137" s="16"/>
      <c r="G137" s="16"/>
      <c r="H137" s="16"/>
      <c r="I137" s="16"/>
      <c r="K137" s="16"/>
      <c r="L137" s="16"/>
      <c r="M137" s="16"/>
      <c r="N137" s="16"/>
      <c r="O137" s="16"/>
      <c r="P137" s="16"/>
      <c r="Q137" s="16"/>
      <c r="R137" s="16"/>
    </row>
    <row r="138" spans="2:18" x14ac:dyDescent="0.25">
      <c r="B138" s="16"/>
      <c r="C138" s="16"/>
      <c r="D138" s="16"/>
      <c r="E138" s="16"/>
      <c r="F138" s="16"/>
      <c r="G138" s="16"/>
      <c r="H138" s="16"/>
      <c r="I138" s="16"/>
      <c r="K138" s="16"/>
      <c r="L138" s="16"/>
      <c r="M138" s="16"/>
      <c r="N138" s="16"/>
      <c r="O138" s="16"/>
      <c r="P138" s="16"/>
      <c r="Q138" s="16"/>
      <c r="R138" s="16"/>
    </row>
    <row r="139" spans="2:18" x14ac:dyDescent="0.25">
      <c r="B139" s="16"/>
      <c r="C139" s="16"/>
      <c r="D139" s="16"/>
      <c r="E139" s="16"/>
      <c r="F139" s="16"/>
      <c r="G139" s="16"/>
      <c r="H139" s="16"/>
      <c r="I139" s="16"/>
      <c r="K139" s="16"/>
      <c r="L139" s="16"/>
      <c r="M139" s="16"/>
      <c r="N139" s="16"/>
      <c r="O139" s="16"/>
      <c r="P139" s="16"/>
      <c r="Q139" s="16"/>
      <c r="R139" s="16"/>
    </row>
    <row r="140" spans="2:18" x14ac:dyDescent="0.25">
      <c r="B140" s="16"/>
      <c r="C140" s="16"/>
      <c r="D140" s="16"/>
      <c r="E140" s="16"/>
      <c r="F140" s="16"/>
      <c r="G140" s="16"/>
      <c r="H140" s="16"/>
      <c r="I140" s="16"/>
      <c r="K140" s="16"/>
      <c r="L140" s="16"/>
      <c r="M140" s="16"/>
      <c r="N140" s="16"/>
      <c r="O140" s="16"/>
      <c r="P140" s="16"/>
      <c r="Q140" s="16"/>
      <c r="R140" s="16"/>
    </row>
    <row r="141" spans="2:18" x14ac:dyDescent="0.25">
      <c r="B141" s="16"/>
      <c r="C141" s="16"/>
      <c r="D141" s="16"/>
      <c r="E141" s="16"/>
      <c r="F141" s="16"/>
      <c r="G141" s="16"/>
      <c r="H141" s="16"/>
      <c r="I141" s="16"/>
      <c r="K141" s="16"/>
      <c r="L141" s="16"/>
      <c r="M141" s="16"/>
      <c r="N141" s="16"/>
      <c r="O141" s="16"/>
      <c r="P141" s="16"/>
      <c r="Q141" s="16"/>
      <c r="R141" s="16"/>
    </row>
    <row r="142" spans="2:18" x14ac:dyDescent="0.25">
      <c r="B142" s="16"/>
      <c r="C142" s="16"/>
      <c r="D142" s="16"/>
      <c r="E142" s="16"/>
      <c r="F142" s="16"/>
      <c r="G142" s="16"/>
      <c r="H142" s="16"/>
      <c r="I142" s="16"/>
      <c r="K142" s="16"/>
      <c r="L142" s="16"/>
      <c r="M142" s="16"/>
      <c r="N142" s="16"/>
      <c r="O142" s="16"/>
      <c r="P142" s="16"/>
      <c r="Q142" s="16"/>
      <c r="R142" s="16"/>
    </row>
    <row r="143" spans="2:18" x14ac:dyDescent="0.25">
      <c r="B143" s="16"/>
      <c r="C143" s="16"/>
      <c r="D143" s="16"/>
      <c r="E143" s="16"/>
      <c r="F143" s="16"/>
      <c r="G143" s="16"/>
      <c r="H143" s="16"/>
      <c r="I143" s="16"/>
      <c r="K143" s="16"/>
      <c r="L143" s="16"/>
      <c r="M143" s="16"/>
      <c r="N143" s="16"/>
      <c r="O143" s="16"/>
      <c r="P143" s="16"/>
      <c r="Q143" s="16"/>
      <c r="R143" s="16"/>
    </row>
    <row r="144" spans="2:18" x14ac:dyDescent="0.25">
      <c r="B144" s="16"/>
      <c r="C144" s="16"/>
      <c r="D144" s="16"/>
      <c r="E144" s="16"/>
      <c r="F144" s="16"/>
      <c r="G144" s="16"/>
      <c r="H144" s="16"/>
      <c r="I144" s="16"/>
      <c r="K144" s="16"/>
      <c r="L144" s="16"/>
      <c r="M144" s="16"/>
      <c r="N144" s="16"/>
      <c r="O144" s="16"/>
      <c r="P144" s="16"/>
      <c r="Q144" s="16"/>
      <c r="R144" s="16"/>
    </row>
    <row r="145" spans="2:18" x14ac:dyDescent="0.25">
      <c r="B145" s="16"/>
      <c r="C145" s="16"/>
      <c r="D145" s="16"/>
      <c r="E145" s="16"/>
      <c r="F145" s="16"/>
      <c r="G145" s="16"/>
      <c r="H145" s="16"/>
      <c r="I145" s="16"/>
      <c r="K145" s="16"/>
      <c r="L145" s="16"/>
      <c r="M145" s="16"/>
      <c r="N145" s="16"/>
      <c r="O145" s="16"/>
      <c r="P145" s="16"/>
      <c r="Q145" s="16"/>
      <c r="R145" s="16"/>
    </row>
    <row r="146" spans="2:18" x14ac:dyDescent="0.25">
      <c r="B146" s="16"/>
      <c r="C146" s="16"/>
      <c r="D146" s="16"/>
      <c r="E146" s="16"/>
      <c r="F146" s="16"/>
      <c r="G146" s="16"/>
      <c r="H146" s="16"/>
      <c r="I146" s="16"/>
      <c r="K146" s="16"/>
      <c r="L146" s="16"/>
      <c r="M146" s="16"/>
      <c r="N146" s="16"/>
      <c r="O146" s="16"/>
      <c r="P146" s="16"/>
      <c r="Q146" s="16"/>
      <c r="R146" s="16"/>
    </row>
    <row r="147" spans="2:18" x14ac:dyDescent="0.25">
      <c r="B147" s="16"/>
      <c r="C147" s="16"/>
      <c r="D147" s="16"/>
      <c r="E147" s="16"/>
      <c r="F147" s="16"/>
      <c r="G147" s="16"/>
      <c r="H147" s="16"/>
      <c r="I147" s="16"/>
      <c r="K147" s="16"/>
      <c r="L147" s="16"/>
      <c r="M147" s="16"/>
      <c r="N147" s="16"/>
      <c r="O147" s="16"/>
      <c r="P147" s="16"/>
      <c r="Q147" s="16"/>
      <c r="R147" s="16"/>
    </row>
    <row r="148" spans="2:18" x14ac:dyDescent="0.25">
      <c r="B148" s="16"/>
      <c r="C148" s="16"/>
      <c r="D148" s="16"/>
      <c r="E148" s="16"/>
      <c r="F148" s="16"/>
      <c r="G148" s="16"/>
      <c r="H148" s="16"/>
      <c r="I148" s="16"/>
      <c r="K148" s="16"/>
      <c r="L148" s="16"/>
      <c r="M148" s="16"/>
      <c r="N148" s="16"/>
      <c r="O148" s="16"/>
      <c r="P148" s="16"/>
      <c r="Q148" s="16"/>
      <c r="R148" s="16"/>
    </row>
    <row r="149" spans="2:18" x14ac:dyDescent="0.25">
      <c r="B149" s="16"/>
      <c r="C149" s="16"/>
      <c r="D149" s="16"/>
      <c r="E149" s="16"/>
      <c r="F149" s="16"/>
      <c r="G149" s="16"/>
      <c r="H149" s="16"/>
      <c r="I149" s="16"/>
      <c r="K149" s="16"/>
      <c r="L149" s="16"/>
      <c r="M149" s="16"/>
      <c r="N149" s="16"/>
      <c r="O149" s="16"/>
      <c r="P149" s="16"/>
      <c r="Q149" s="16"/>
      <c r="R149" s="16"/>
    </row>
    <row r="150" spans="2:18" x14ac:dyDescent="0.25">
      <c r="B150" s="16"/>
      <c r="C150" s="16"/>
      <c r="D150" s="16"/>
      <c r="E150" s="16"/>
      <c r="F150" s="16"/>
      <c r="G150" s="16"/>
      <c r="H150" s="16"/>
      <c r="I150" s="16"/>
      <c r="K150" s="16"/>
      <c r="L150" s="16"/>
      <c r="M150" s="16"/>
      <c r="N150" s="16"/>
      <c r="O150" s="16"/>
      <c r="P150" s="16"/>
      <c r="Q150" s="16"/>
      <c r="R150" s="16"/>
    </row>
    <row r="151" spans="2:18" x14ac:dyDescent="0.25">
      <c r="B151" s="16"/>
      <c r="C151" s="16"/>
      <c r="D151" s="16"/>
      <c r="E151" s="16"/>
      <c r="F151" s="16"/>
      <c r="G151" s="16"/>
      <c r="H151" s="16"/>
      <c r="I151" s="16"/>
      <c r="K151" s="16"/>
      <c r="L151" s="16"/>
      <c r="M151" s="16"/>
      <c r="N151" s="16"/>
      <c r="O151" s="16"/>
      <c r="P151" s="16"/>
      <c r="Q151" s="16"/>
      <c r="R151" s="16"/>
    </row>
    <row r="152" spans="2:18" x14ac:dyDescent="0.25">
      <c r="B152" s="16"/>
      <c r="C152" s="16"/>
      <c r="D152" s="16"/>
      <c r="E152" s="16"/>
      <c r="F152" s="16"/>
      <c r="G152" s="16"/>
      <c r="H152" s="16"/>
      <c r="I152" s="16"/>
      <c r="K152" s="16"/>
      <c r="L152" s="16"/>
      <c r="M152" s="16"/>
      <c r="N152" s="16"/>
      <c r="O152" s="16"/>
      <c r="P152" s="16"/>
      <c r="Q152" s="16"/>
      <c r="R152" s="16"/>
    </row>
    <row r="153" spans="2:18" x14ac:dyDescent="0.25">
      <c r="B153" s="16"/>
      <c r="C153" s="16"/>
      <c r="D153" s="16"/>
      <c r="E153" s="16"/>
      <c r="F153" s="16"/>
      <c r="G153" s="16"/>
      <c r="H153" s="16"/>
      <c r="I153" s="16"/>
      <c r="K153" s="16"/>
      <c r="L153" s="16"/>
      <c r="M153" s="16"/>
      <c r="N153" s="16"/>
      <c r="O153" s="16"/>
      <c r="P153" s="16"/>
      <c r="Q153" s="16"/>
      <c r="R153" s="16"/>
    </row>
    <row r="154" spans="2:18" x14ac:dyDescent="0.25">
      <c r="B154" s="16"/>
      <c r="C154" s="16"/>
      <c r="D154" s="16"/>
      <c r="E154" s="16"/>
      <c r="F154" s="16"/>
      <c r="G154" s="16"/>
      <c r="H154" s="16"/>
      <c r="I154" s="16"/>
      <c r="K154" s="16"/>
      <c r="L154" s="16"/>
      <c r="M154" s="16"/>
      <c r="N154" s="16"/>
      <c r="O154" s="16"/>
      <c r="P154" s="16"/>
      <c r="Q154" s="16"/>
      <c r="R154" s="16"/>
    </row>
    <row r="155" spans="2:18" x14ac:dyDescent="0.25">
      <c r="B155" s="16"/>
      <c r="C155" s="16"/>
      <c r="D155" s="16"/>
      <c r="E155" s="16"/>
      <c r="F155" s="16"/>
      <c r="G155" s="16"/>
      <c r="H155" s="16"/>
      <c r="I155" s="16"/>
      <c r="K155" s="16"/>
      <c r="L155" s="16"/>
      <c r="M155" s="16"/>
      <c r="N155" s="16"/>
      <c r="O155" s="16"/>
      <c r="P155" s="16"/>
      <c r="Q155" s="16"/>
      <c r="R155" s="16"/>
    </row>
    <row r="156" spans="2:18" x14ac:dyDescent="0.25">
      <c r="B156" s="16"/>
      <c r="C156" s="16"/>
      <c r="D156" s="16"/>
      <c r="E156" s="16"/>
      <c r="F156" s="16"/>
      <c r="G156" s="16"/>
      <c r="H156" s="16"/>
      <c r="I156" s="16"/>
      <c r="K156" s="16"/>
      <c r="L156" s="16"/>
      <c r="M156" s="16"/>
      <c r="N156" s="16"/>
      <c r="O156" s="16"/>
      <c r="P156" s="16"/>
      <c r="Q156" s="16"/>
      <c r="R156" s="16"/>
    </row>
    <row r="157" spans="2:18" x14ac:dyDescent="0.25">
      <c r="B157" s="16"/>
      <c r="C157" s="16"/>
      <c r="D157" s="16"/>
      <c r="E157" s="16"/>
      <c r="F157" s="16"/>
      <c r="G157" s="16"/>
      <c r="H157" s="16"/>
      <c r="I157" s="16"/>
      <c r="K157" s="16"/>
      <c r="L157" s="16"/>
      <c r="M157" s="16"/>
      <c r="N157" s="16"/>
      <c r="O157" s="16"/>
      <c r="P157" s="16"/>
      <c r="Q157" s="16"/>
      <c r="R157" s="16"/>
    </row>
    <row r="158" spans="2:18" x14ac:dyDescent="0.25">
      <c r="B158" s="16"/>
      <c r="C158" s="16"/>
      <c r="D158" s="16"/>
      <c r="E158" s="16"/>
      <c r="F158" s="16"/>
      <c r="G158" s="16"/>
      <c r="H158" s="16"/>
      <c r="I158" s="16"/>
      <c r="K158" s="16"/>
      <c r="L158" s="16"/>
      <c r="M158" s="16"/>
      <c r="N158" s="16"/>
      <c r="O158" s="16"/>
      <c r="P158" s="16"/>
      <c r="Q158" s="16"/>
      <c r="R158" s="16"/>
    </row>
    <row r="159" spans="2:18" x14ac:dyDescent="0.25">
      <c r="B159" s="16"/>
      <c r="C159" s="16"/>
      <c r="D159" s="16"/>
      <c r="E159" s="16"/>
      <c r="F159" s="16"/>
      <c r="G159" s="16"/>
      <c r="H159" s="16"/>
      <c r="I159" s="16"/>
      <c r="K159" s="16"/>
      <c r="L159" s="16"/>
      <c r="M159" s="16"/>
      <c r="N159" s="16"/>
      <c r="O159" s="16"/>
      <c r="P159" s="16"/>
      <c r="Q159" s="16"/>
      <c r="R159" s="16"/>
    </row>
    <row r="160" spans="2:18" x14ac:dyDescent="0.25">
      <c r="B160" s="16"/>
      <c r="C160" s="16"/>
      <c r="D160" s="16"/>
      <c r="E160" s="16"/>
      <c r="F160" s="16"/>
      <c r="G160" s="16"/>
      <c r="H160" s="16"/>
      <c r="I160" s="16"/>
      <c r="K160" s="16"/>
      <c r="L160" s="16"/>
      <c r="M160" s="16"/>
      <c r="N160" s="16"/>
      <c r="O160" s="16"/>
      <c r="P160" s="16"/>
      <c r="Q160" s="16"/>
      <c r="R160" s="16"/>
    </row>
    <row r="161" spans="2:18" x14ac:dyDescent="0.25">
      <c r="B161" s="16"/>
      <c r="C161" s="16"/>
      <c r="D161" s="16"/>
      <c r="E161" s="16"/>
      <c r="F161" s="16"/>
      <c r="G161" s="16"/>
      <c r="H161" s="16"/>
      <c r="I161" s="16"/>
      <c r="K161" s="16"/>
      <c r="L161" s="16"/>
      <c r="M161" s="16"/>
      <c r="N161" s="16"/>
      <c r="O161" s="16"/>
      <c r="P161" s="16"/>
      <c r="Q161" s="16"/>
      <c r="R161" s="16"/>
    </row>
    <row r="162" spans="2:18" x14ac:dyDescent="0.25">
      <c r="B162" s="16"/>
      <c r="C162" s="16"/>
      <c r="D162" s="16"/>
      <c r="E162" s="16"/>
      <c r="F162" s="16"/>
      <c r="G162" s="16"/>
      <c r="H162" s="16"/>
      <c r="I162" s="16"/>
      <c r="K162" s="16"/>
      <c r="L162" s="16"/>
      <c r="M162" s="16"/>
      <c r="N162" s="16"/>
      <c r="O162" s="16"/>
      <c r="P162" s="16"/>
      <c r="Q162" s="16"/>
      <c r="R162" s="16"/>
    </row>
    <row r="163" spans="2:18" x14ac:dyDescent="0.25">
      <c r="B163" s="16"/>
      <c r="C163" s="16"/>
      <c r="D163" s="16"/>
      <c r="E163" s="16"/>
      <c r="F163" s="16"/>
      <c r="G163" s="16"/>
      <c r="H163" s="16"/>
      <c r="I163" s="16"/>
      <c r="K163" s="16"/>
      <c r="L163" s="16"/>
      <c r="M163" s="16"/>
      <c r="N163" s="16"/>
      <c r="O163" s="16"/>
      <c r="P163" s="16"/>
      <c r="Q163" s="16"/>
      <c r="R163" s="16"/>
    </row>
    <row r="164" spans="2:18" x14ac:dyDescent="0.25">
      <c r="B164" s="16"/>
      <c r="C164" s="16"/>
      <c r="D164" s="16"/>
      <c r="E164" s="16"/>
      <c r="F164" s="16"/>
      <c r="G164" s="16"/>
      <c r="H164" s="16"/>
      <c r="I164" s="16"/>
      <c r="K164" s="16"/>
      <c r="L164" s="16"/>
      <c r="M164" s="16"/>
      <c r="N164" s="16"/>
      <c r="O164" s="16"/>
      <c r="P164" s="16"/>
      <c r="Q164" s="16"/>
      <c r="R164" s="16"/>
    </row>
    <row r="165" spans="2:18" x14ac:dyDescent="0.25">
      <c r="B165" s="16"/>
      <c r="C165" s="16"/>
      <c r="D165" s="16"/>
      <c r="E165" s="16"/>
      <c r="F165" s="16"/>
      <c r="G165" s="16"/>
      <c r="H165" s="16"/>
      <c r="I165" s="16"/>
      <c r="K165" s="16"/>
      <c r="L165" s="16"/>
      <c r="M165" s="16"/>
      <c r="N165" s="16"/>
      <c r="O165" s="16"/>
      <c r="P165" s="16"/>
      <c r="Q165" s="16"/>
      <c r="R165" s="16"/>
    </row>
    <row r="166" spans="2:18" x14ac:dyDescent="0.25">
      <c r="B166" s="16"/>
      <c r="C166" s="16"/>
      <c r="D166" s="16"/>
      <c r="E166" s="16"/>
      <c r="F166" s="16"/>
      <c r="G166" s="16"/>
      <c r="H166" s="16"/>
      <c r="I166" s="16"/>
      <c r="K166" s="16"/>
      <c r="L166" s="16"/>
      <c r="M166" s="16"/>
      <c r="N166" s="16"/>
      <c r="O166" s="16"/>
      <c r="P166" s="16"/>
      <c r="Q166" s="16"/>
      <c r="R166" s="16"/>
    </row>
    <row r="167" spans="2:18" x14ac:dyDescent="0.25">
      <c r="B167" s="16"/>
      <c r="C167" s="16"/>
      <c r="D167" s="16"/>
      <c r="E167" s="16"/>
      <c r="F167" s="16"/>
      <c r="G167" s="16"/>
      <c r="H167" s="16"/>
      <c r="I167" s="16"/>
      <c r="K167" s="16"/>
      <c r="L167" s="16"/>
      <c r="M167" s="16"/>
      <c r="N167" s="16"/>
      <c r="O167" s="16"/>
      <c r="P167" s="16"/>
      <c r="Q167" s="16"/>
      <c r="R167" s="16"/>
    </row>
    <row r="168" spans="2:18" x14ac:dyDescent="0.25">
      <c r="B168" s="16"/>
      <c r="C168" s="16"/>
      <c r="D168" s="16"/>
      <c r="E168" s="16"/>
      <c r="F168" s="16"/>
      <c r="G168" s="16"/>
      <c r="H168" s="16"/>
      <c r="I168" s="16"/>
      <c r="K168" s="16"/>
      <c r="L168" s="16"/>
      <c r="M168" s="16"/>
      <c r="N168" s="16"/>
      <c r="O168" s="16"/>
      <c r="P168" s="16"/>
      <c r="Q168" s="16"/>
      <c r="R168" s="16"/>
    </row>
    <row r="169" spans="2:18" x14ac:dyDescent="0.25">
      <c r="B169" s="16"/>
      <c r="C169" s="16"/>
      <c r="D169" s="16"/>
      <c r="E169" s="16"/>
      <c r="F169" s="16"/>
      <c r="G169" s="16"/>
      <c r="H169" s="16"/>
      <c r="I169" s="16"/>
      <c r="K169" s="16"/>
      <c r="L169" s="16"/>
      <c r="M169" s="16"/>
      <c r="N169" s="16"/>
      <c r="O169" s="16"/>
      <c r="P169" s="16"/>
      <c r="Q169" s="16"/>
      <c r="R169" s="16"/>
    </row>
    <row r="170" spans="2:18" x14ac:dyDescent="0.25">
      <c r="B170" s="16"/>
      <c r="C170" s="16"/>
      <c r="D170" s="16"/>
      <c r="E170" s="16"/>
      <c r="F170" s="16"/>
      <c r="G170" s="16"/>
      <c r="H170" s="16"/>
      <c r="I170" s="16"/>
      <c r="K170" s="16"/>
      <c r="L170" s="16"/>
      <c r="M170" s="16"/>
      <c r="N170" s="16"/>
      <c r="O170" s="16"/>
      <c r="P170" s="16"/>
      <c r="Q170" s="16"/>
      <c r="R170" s="16"/>
    </row>
    <row r="171" spans="2:18" x14ac:dyDescent="0.25">
      <c r="B171" s="16"/>
      <c r="C171" s="16"/>
      <c r="D171" s="16"/>
      <c r="E171" s="16"/>
      <c r="F171" s="16"/>
      <c r="G171" s="16"/>
      <c r="H171" s="16"/>
      <c r="I171" s="16"/>
      <c r="K171" s="16"/>
      <c r="L171" s="16"/>
      <c r="M171" s="16"/>
      <c r="N171" s="16"/>
      <c r="O171" s="16"/>
      <c r="P171" s="16"/>
      <c r="Q171" s="16"/>
      <c r="R171" s="16"/>
    </row>
    <row r="172" spans="2:18" x14ac:dyDescent="0.25">
      <c r="B172" s="16"/>
      <c r="C172" s="16"/>
      <c r="D172" s="16"/>
      <c r="E172" s="16"/>
      <c r="F172" s="16"/>
      <c r="G172" s="16"/>
      <c r="H172" s="16"/>
      <c r="I172" s="16"/>
      <c r="K172" s="16"/>
      <c r="L172" s="16"/>
      <c r="M172" s="16"/>
      <c r="N172" s="16"/>
      <c r="O172" s="16"/>
      <c r="P172" s="16"/>
      <c r="Q172" s="16"/>
      <c r="R172" s="16"/>
    </row>
    <row r="173" spans="2:18" x14ac:dyDescent="0.25">
      <c r="B173" s="16"/>
      <c r="C173" s="16"/>
      <c r="D173" s="16"/>
      <c r="E173" s="16"/>
      <c r="F173" s="16"/>
      <c r="G173" s="16"/>
      <c r="H173" s="16"/>
      <c r="I173" s="16"/>
      <c r="K173" s="16"/>
      <c r="L173" s="16"/>
      <c r="M173" s="16"/>
      <c r="N173" s="16"/>
      <c r="O173" s="16"/>
      <c r="P173" s="16"/>
      <c r="Q173" s="16"/>
      <c r="R173" s="16"/>
    </row>
    <row r="174" spans="2:18" x14ac:dyDescent="0.25">
      <c r="B174" s="16"/>
      <c r="C174" s="16"/>
      <c r="D174" s="16"/>
      <c r="E174" s="16"/>
      <c r="F174" s="16"/>
      <c r="G174" s="16"/>
      <c r="H174" s="16"/>
      <c r="I174" s="16"/>
      <c r="K174" s="16"/>
      <c r="L174" s="16"/>
      <c r="M174" s="16"/>
      <c r="N174" s="16"/>
      <c r="O174" s="16"/>
      <c r="P174" s="16"/>
      <c r="Q174" s="16"/>
      <c r="R174" s="16"/>
    </row>
    <row r="175" spans="2:18" x14ac:dyDescent="0.25">
      <c r="B175" s="16"/>
      <c r="C175" s="16"/>
      <c r="D175" s="16"/>
      <c r="E175" s="16"/>
      <c r="F175" s="16"/>
      <c r="G175" s="16"/>
      <c r="H175" s="16"/>
      <c r="I175" s="16"/>
      <c r="K175" s="16"/>
      <c r="L175" s="16"/>
      <c r="M175" s="16"/>
      <c r="N175" s="16"/>
      <c r="O175" s="16"/>
      <c r="P175" s="16"/>
      <c r="Q175" s="16"/>
      <c r="R175" s="16"/>
    </row>
    <row r="176" spans="2:18" x14ac:dyDescent="0.25">
      <c r="B176" s="16"/>
      <c r="C176" s="16"/>
      <c r="D176" s="16"/>
      <c r="E176" s="16"/>
      <c r="F176" s="16"/>
      <c r="G176" s="16"/>
      <c r="H176" s="16"/>
      <c r="I176" s="16"/>
      <c r="K176" s="16"/>
      <c r="L176" s="16"/>
      <c r="M176" s="16"/>
      <c r="N176" s="16"/>
      <c r="O176" s="16"/>
      <c r="P176" s="16"/>
      <c r="Q176" s="16"/>
      <c r="R176" s="16"/>
    </row>
    <row r="177" spans="2:18" x14ac:dyDescent="0.25">
      <c r="B177" s="16"/>
      <c r="C177" s="16"/>
      <c r="D177" s="16"/>
      <c r="E177" s="16"/>
      <c r="F177" s="16"/>
      <c r="G177" s="16"/>
      <c r="H177" s="16"/>
      <c r="I177" s="16"/>
      <c r="K177" s="16"/>
      <c r="L177" s="16"/>
      <c r="M177" s="16"/>
      <c r="N177" s="16"/>
      <c r="O177" s="16"/>
      <c r="P177" s="16"/>
      <c r="Q177" s="16"/>
      <c r="R177" s="16"/>
    </row>
    <row r="178" spans="2:18" x14ac:dyDescent="0.25">
      <c r="B178" s="16"/>
      <c r="C178" s="16"/>
      <c r="D178" s="16"/>
      <c r="E178" s="16"/>
      <c r="F178" s="16"/>
      <c r="G178" s="16"/>
      <c r="H178" s="16"/>
      <c r="I178" s="16"/>
      <c r="K178" s="16"/>
      <c r="L178" s="16"/>
      <c r="M178" s="16"/>
      <c r="N178" s="16"/>
      <c r="O178" s="16"/>
      <c r="P178" s="16"/>
      <c r="Q178" s="16"/>
      <c r="R178" s="16"/>
    </row>
    <row r="179" spans="2:18" x14ac:dyDescent="0.25">
      <c r="B179" s="16"/>
      <c r="C179" s="16"/>
      <c r="D179" s="16"/>
      <c r="E179" s="16"/>
      <c r="F179" s="16"/>
      <c r="G179" s="16"/>
      <c r="H179" s="16"/>
      <c r="I179" s="16"/>
      <c r="K179" s="16"/>
      <c r="L179" s="16"/>
      <c r="M179" s="16"/>
      <c r="N179" s="16"/>
      <c r="O179" s="16"/>
      <c r="P179" s="16"/>
      <c r="Q179" s="16"/>
      <c r="R179" s="16"/>
    </row>
    <row r="180" spans="2:18" x14ac:dyDescent="0.25">
      <c r="B180" s="16"/>
      <c r="C180" s="16"/>
      <c r="D180" s="16"/>
      <c r="E180" s="16"/>
      <c r="F180" s="16"/>
      <c r="G180" s="16"/>
      <c r="H180" s="16"/>
      <c r="I180" s="16"/>
      <c r="K180" s="16"/>
      <c r="L180" s="16"/>
      <c r="M180" s="16"/>
      <c r="N180" s="16"/>
      <c r="O180" s="16"/>
      <c r="P180" s="16"/>
      <c r="Q180" s="16"/>
      <c r="R180" s="16"/>
    </row>
    <row r="181" spans="2:18" x14ac:dyDescent="0.25">
      <c r="B181" s="16"/>
      <c r="C181" s="16"/>
      <c r="D181" s="16"/>
      <c r="E181" s="16"/>
      <c r="F181" s="16"/>
      <c r="G181" s="16"/>
      <c r="H181" s="16"/>
      <c r="I181" s="16"/>
      <c r="K181" s="16"/>
      <c r="L181" s="16"/>
      <c r="M181" s="16"/>
      <c r="N181" s="16"/>
      <c r="O181" s="16"/>
      <c r="P181" s="16"/>
      <c r="Q181" s="16"/>
      <c r="R181" s="16"/>
    </row>
    <row r="182" spans="2:18" x14ac:dyDescent="0.25">
      <c r="B182" s="16"/>
      <c r="C182" s="16"/>
      <c r="D182" s="16"/>
      <c r="E182" s="16"/>
      <c r="F182" s="16"/>
      <c r="G182" s="16"/>
      <c r="H182" s="16"/>
      <c r="I182" s="16"/>
      <c r="K182" s="16"/>
      <c r="L182" s="16"/>
      <c r="M182" s="16"/>
      <c r="N182" s="16"/>
      <c r="O182" s="16"/>
      <c r="P182" s="16"/>
      <c r="Q182" s="16"/>
      <c r="R182" s="16"/>
    </row>
    <row r="183" spans="2:18" x14ac:dyDescent="0.25">
      <c r="B183" s="16"/>
      <c r="C183" s="16"/>
      <c r="D183" s="16"/>
      <c r="E183" s="16"/>
      <c r="F183" s="16"/>
      <c r="G183" s="16"/>
      <c r="H183" s="16"/>
      <c r="I183" s="16"/>
      <c r="K183" s="16"/>
      <c r="L183" s="16"/>
      <c r="M183" s="16"/>
      <c r="N183" s="16"/>
      <c r="O183" s="16"/>
      <c r="P183" s="16"/>
      <c r="Q183" s="16"/>
      <c r="R183" s="16"/>
    </row>
    <row r="184" spans="2:18" x14ac:dyDescent="0.25">
      <c r="B184" s="16"/>
      <c r="C184" s="16"/>
      <c r="D184" s="16"/>
      <c r="E184" s="16"/>
      <c r="F184" s="16"/>
      <c r="G184" s="16"/>
      <c r="H184" s="16"/>
      <c r="I184" s="16"/>
      <c r="K184" s="16"/>
      <c r="L184" s="16"/>
      <c r="M184" s="16"/>
      <c r="N184" s="16"/>
      <c r="O184" s="16"/>
      <c r="P184" s="16"/>
      <c r="Q184" s="16"/>
      <c r="R184" s="16"/>
    </row>
    <row r="185" spans="2:18" x14ac:dyDescent="0.25">
      <c r="B185" s="16"/>
      <c r="C185" s="16"/>
      <c r="D185" s="16"/>
      <c r="E185" s="16"/>
      <c r="F185" s="16"/>
      <c r="G185" s="16"/>
      <c r="H185" s="16"/>
      <c r="I185" s="16"/>
      <c r="K185" s="16"/>
      <c r="L185" s="16"/>
      <c r="M185" s="16"/>
      <c r="N185" s="16"/>
      <c r="O185" s="16"/>
      <c r="P185" s="16"/>
      <c r="Q185" s="16"/>
      <c r="R185" s="16"/>
    </row>
    <row r="186" spans="2:18" x14ac:dyDescent="0.25">
      <c r="B186" s="16"/>
      <c r="C186" s="16"/>
      <c r="D186" s="16"/>
      <c r="E186" s="16"/>
      <c r="F186" s="16"/>
      <c r="G186" s="16"/>
      <c r="H186" s="16"/>
      <c r="I186" s="16"/>
      <c r="K186" s="16"/>
      <c r="L186" s="16"/>
      <c r="M186" s="16"/>
      <c r="N186" s="16"/>
      <c r="O186" s="16"/>
      <c r="P186" s="16"/>
      <c r="Q186" s="16"/>
      <c r="R186" s="16"/>
    </row>
    <row r="187" spans="2:18" x14ac:dyDescent="0.25">
      <c r="B187" s="16"/>
      <c r="C187" s="16"/>
      <c r="D187" s="16"/>
      <c r="E187" s="16"/>
      <c r="F187" s="16"/>
      <c r="G187" s="16"/>
      <c r="H187" s="16"/>
      <c r="I187" s="16"/>
      <c r="K187" s="16"/>
      <c r="L187" s="16"/>
      <c r="M187" s="16"/>
      <c r="N187" s="16"/>
      <c r="O187" s="16"/>
      <c r="P187" s="16"/>
      <c r="Q187" s="16"/>
      <c r="R187" s="16"/>
    </row>
    <row r="188" spans="2:18" x14ac:dyDescent="0.25">
      <c r="B188" s="16"/>
      <c r="C188" s="16"/>
      <c r="D188" s="16"/>
      <c r="E188" s="16"/>
      <c r="F188" s="16"/>
      <c r="G188" s="16"/>
      <c r="H188" s="16"/>
      <c r="I188" s="16"/>
      <c r="K188" s="16"/>
      <c r="L188" s="16"/>
      <c r="M188" s="16"/>
      <c r="N188" s="16"/>
      <c r="O188" s="16"/>
      <c r="P188" s="16"/>
      <c r="Q188" s="16"/>
      <c r="R188" s="16"/>
    </row>
    <row r="189" spans="2:18" x14ac:dyDescent="0.25">
      <c r="B189" s="16"/>
      <c r="C189" s="16"/>
      <c r="D189" s="16"/>
      <c r="E189" s="16"/>
      <c r="F189" s="16"/>
      <c r="G189" s="16"/>
      <c r="H189" s="16"/>
      <c r="I189" s="16"/>
      <c r="K189" s="16"/>
      <c r="L189" s="16"/>
      <c r="M189" s="16"/>
      <c r="N189" s="16"/>
      <c r="O189" s="16"/>
      <c r="P189" s="16"/>
      <c r="Q189" s="16"/>
      <c r="R189" s="16"/>
    </row>
    <row r="190" spans="2:18" x14ac:dyDescent="0.25">
      <c r="B190" s="16"/>
      <c r="C190" s="16"/>
      <c r="D190" s="16"/>
      <c r="E190" s="16"/>
      <c r="F190" s="16"/>
      <c r="G190" s="16"/>
      <c r="H190" s="16"/>
      <c r="I190" s="16"/>
      <c r="K190" s="16"/>
      <c r="L190" s="16"/>
      <c r="M190" s="16"/>
      <c r="N190" s="16"/>
      <c r="O190" s="16"/>
      <c r="P190" s="16"/>
      <c r="Q190" s="16"/>
      <c r="R190" s="16"/>
    </row>
    <row r="191" spans="2:18" x14ac:dyDescent="0.25">
      <c r="B191" s="16"/>
      <c r="C191" s="16"/>
      <c r="D191" s="16"/>
      <c r="E191" s="16"/>
      <c r="F191" s="16"/>
      <c r="G191" s="16"/>
      <c r="H191" s="16"/>
      <c r="I191" s="16"/>
      <c r="K191" s="16"/>
      <c r="L191" s="16"/>
      <c r="M191" s="16"/>
      <c r="N191" s="16"/>
      <c r="O191" s="16"/>
      <c r="P191" s="16"/>
      <c r="Q191" s="16"/>
      <c r="R191" s="16"/>
    </row>
    <row r="192" spans="2:18" x14ac:dyDescent="0.25">
      <c r="B192" s="16"/>
      <c r="C192" s="16"/>
      <c r="D192" s="16"/>
      <c r="E192" s="16"/>
      <c r="F192" s="16"/>
      <c r="G192" s="16"/>
      <c r="H192" s="16"/>
      <c r="I192" s="16"/>
      <c r="K192" s="16"/>
      <c r="L192" s="16"/>
      <c r="M192" s="16"/>
      <c r="N192" s="16"/>
      <c r="O192" s="16"/>
      <c r="P192" s="16"/>
      <c r="Q192" s="16"/>
      <c r="R192" s="16"/>
    </row>
    <row r="193" spans="2:18" x14ac:dyDescent="0.25">
      <c r="B193" s="16"/>
      <c r="C193" s="16"/>
      <c r="D193" s="16"/>
      <c r="E193" s="16"/>
      <c r="F193" s="16"/>
      <c r="G193" s="16"/>
      <c r="H193" s="16"/>
      <c r="I193" s="16"/>
      <c r="K193" s="16"/>
      <c r="L193" s="16"/>
      <c r="M193" s="16"/>
      <c r="N193" s="16"/>
      <c r="O193" s="16"/>
      <c r="P193" s="16"/>
      <c r="Q193" s="16"/>
      <c r="R193" s="16"/>
    </row>
    <row r="194" spans="2:18" x14ac:dyDescent="0.25">
      <c r="B194" s="16"/>
      <c r="C194" s="16"/>
      <c r="D194" s="16"/>
      <c r="E194" s="16"/>
      <c r="F194" s="16"/>
      <c r="G194" s="16"/>
      <c r="H194" s="16"/>
      <c r="I194" s="16"/>
      <c r="K194" s="16"/>
      <c r="L194" s="16"/>
      <c r="M194" s="16"/>
      <c r="N194" s="16"/>
      <c r="O194" s="16"/>
      <c r="P194" s="16"/>
      <c r="Q194" s="16"/>
      <c r="R194" s="16"/>
    </row>
    <row r="195" spans="2:18" x14ac:dyDescent="0.25">
      <c r="B195" s="16"/>
      <c r="C195" s="16"/>
      <c r="D195" s="16"/>
      <c r="E195" s="16"/>
      <c r="F195" s="16"/>
      <c r="G195" s="16"/>
      <c r="H195" s="16"/>
      <c r="I195" s="16"/>
      <c r="K195" s="16"/>
      <c r="L195" s="16"/>
      <c r="M195" s="16"/>
      <c r="N195" s="16"/>
      <c r="O195" s="16"/>
      <c r="P195" s="16"/>
      <c r="Q195" s="16"/>
      <c r="R195" s="16"/>
    </row>
    <row r="196" spans="2:18" x14ac:dyDescent="0.25">
      <c r="B196" s="16"/>
      <c r="C196" s="16"/>
      <c r="D196" s="16"/>
      <c r="E196" s="16"/>
      <c r="F196" s="16"/>
      <c r="G196" s="16"/>
      <c r="H196" s="16"/>
      <c r="I196" s="16"/>
      <c r="K196" s="16"/>
      <c r="L196" s="16"/>
      <c r="M196" s="16"/>
      <c r="N196" s="16"/>
      <c r="O196" s="16"/>
      <c r="P196" s="16"/>
      <c r="Q196" s="16"/>
      <c r="R196" s="16"/>
    </row>
    <row r="197" spans="2:18" x14ac:dyDescent="0.25">
      <c r="B197" s="16"/>
      <c r="C197" s="16"/>
      <c r="D197" s="16"/>
      <c r="E197" s="16"/>
      <c r="F197" s="16"/>
      <c r="G197" s="16"/>
      <c r="H197" s="16"/>
      <c r="I197" s="16"/>
      <c r="K197" s="16"/>
      <c r="L197" s="16"/>
      <c r="M197" s="16"/>
      <c r="N197" s="16"/>
      <c r="O197" s="16"/>
      <c r="P197" s="16"/>
      <c r="Q197" s="16"/>
      <c r="R197" s="16"/>
    </row>
    <row r="198" spans="2:18" x14ac:dyDescent="0.25">
      <c r="B198" s="16"/>
      <c r="C198" s="16"/>
      <c r="D198" s="16"/>
      <c r="E198" s="16"/>
      <c r="F198" s="16"/>
      <c r="G198" s="16"/>
      <c r="H198" s="16"/>
      <c r="I198" s="16"/>
      <c r="K198" s="16"/>
      <c r="L198" s="16"/>
      <c r="M198" s="16"/>
      <c r="N198" s="16"/>
      <c r="O198" s="16"/>
      <c r="P198" s="16"/>
      <c r="Q198" s="16"/>
      <c r="R198" s="16"/>
    </row>
    <row r="199" spans="2:18" x14ac:dyDescent="0.25">
      <c r="B199" s="16"/>
      <c r="C199" s="16"/>
      <c r="D199" s="16"/>
      <c r="E199" s="16"/>
      <c r="F199" s="16"/>
      <c r="G199" s="16"/>
      <c r="H199" s="16"/>
      <c r="I199" s="16"/>
      <c r="K199" s="16"/>
      <c r="L199" s="16"/>
      <c r="M199" s="16"/>
      <c r="N199" s="16"/>
      <c r="O199" s="16"/>
      <c r="P199" s="16"/>
      <c r="Q199" s="16"/>
      <c r="R199" s="16"/>
    </row>
    <row r="200" spans="2:18" x14ac:dyDescent="0.25">
      <c r="B200" s="16"/>
      <c r="C200" s="16"/>
      <c r="D200" s="16"/>
      <c r="E200" s="16"/>
      <c r="F200" s="16"/>
      <c r="G200" s="16"/>
      <c r="H200" s="16"/>
      <c r="I200" s="16"/>
      <c r="K200" s="16"/>
      <c r="L200" s="16"/>
      <c r="M200" s="16"/>
      <c r="N200" s="16"/>
      <c r="O200" s="16"/>
      <c r="P200" s="16"/>
      <c r="Q200" s="16"/>
      <c r="R200" s="16"/>
    </row>
    <row r="201" spans="2:18" x14ac:dyDescent="0.25">
      <c r="B201" s="16"/>
      <c r="C201" s="16"/>
      <c r="D201" s="16"/>
      <c r="E201" s="16"/>
      <c r="F201" s="16"/>
      <c r="G201" s="16"/>
      <c r="H201" s="16"/>
      <c r="I201" s="16"/>
      <c r="K201" s="16"/>
      <c r="L201" s="16"/>
      <c r="M201" s="16"/>
      <c r="N201" s="16"/>
      <c r="O201" s="16"/>
      <c r="P201" s="16"/>
      <c r="Q201" s="16"/>
      <c r="R201" s="16"/>
    </row>
    <row r="202" spans="2:18" x14ac:dyDescent="0.25">
      <c r="B202" s="16"/>
      <c r="C202" s="16"/>
      <c r="D202" s="16"/>
      <c r="E202" s="16"/>
      <c r="F202" s="16"/>
      <c r="G202" s="16"/>
      <c r="H202" s="16"/>
      <c r="I202" s="16"/>
      <c r="K202" s="16"/>
      <c r="L202" s="16"/>
      <c r="M202" s="16"/>
      <c r="N202" s="16"/>
      <c r="O202" s="16"/>
      <c r="P202" s="16"/>
      <c r="Q202" s="16"/>
      <c r="R202" s="16"/>
    </row>
    <row r="203" spans="2:18" x14ac:dyDescent="0.25">
      <c r="B203" s="16"/>
      <c r="C203" s="16"/>
      <c r="D203" s="16"/>
      <c r="E203" s="16"/>
      <c r="F203" s="16"/>
      <c r="G203" s="16"/>
      <c r="H203" s="16"/>
      <c r="I203" s="16"/>
      <c r="K203" s="16"/>
      <c r="L203" s="16"/>
      <c r="M203" s="16"/>
      <c r="N203" s="16"/>
      <c r="O203" s="16"/>
      <c r="P203" s="16"/>
      <c r="Q203" s="16"/>
      <c r="R203" s="16"/>
    </row>
    <row r="204" spans="2:18" x14ac:dyDescent="0.25">
      <c r="B204" s="16"/>
      <c r="C204" s="16"/>
      <c r="D204" s="16"/>
      <c r="E204" s="16"/>
      <c r="F204" s="16"/>
      <c r="G204" s="16"/>
      <c r="H204" s="16"/>
      <c r="I204" s="16"/>
      <c r="K204" s="16"/>
      <c r="L204" s="16"/>
      <c r="M204" s="16"/>
      <c r="N204" s="16"/>
      <c r="O204" s="16"/>
      <c r="P204" s="16"/>
      <c r="Q204" s="16"/>
      <c r="R204" s="16"/>
    </row>
    <row r="205" spans="2:18" x14ac:dyDescent="0.25">
      <c r="B205" s="16"/>
      <c r="C205" s="16"/>
      <c r="D205" s="16"/>
      <c r="E205" s="16"/>
      <c r="F205" s="16"/>
      <c r="G205" s="16"/>
      <c r="H205" s="16"/>
      <c r="I205" s="16"/>
      <c r="K205" s="16"/>
      <c r="L205" s="16"/>
      <c r="M205" s="16"/>
      <c r="N205" s="16"/>
      <c r="O205" s="16"/>
      <c r="P205" s="16"/>
      <c r="Q205" s="16"/>
      <c r="R205" s="16"/>
    </row>
    <row r="206" spans="2:18" x14ac:dyDescent="0.25">
      <c r="B206" s="16"/>
      <c r="C206" s="16"/>
      <c r="D206" s="16"/>
      <c r="E206" s="16"/>
      <c r="F206" s="16"/>
      <c r="G206" s="16"/>
      <c r="H206" s="16"/>
      <c r="I206" s="16"/>
      <c r="K206" s="16"/>
      <c r="L206" s="16"/>
      <c r="M206" s="16"/>
      <c r="N206" s="16"/>
      <c r="O206" s="16"/>
      <c r="P206" s="16"/>
      <c r="Q206" s="16"/>
      <c r="R206" s="16"/>
    </row>
    <row r="207" spans="2:18" x14ac:dyDescent="0.25">
      <c r="B207" s="16"/>
      <c r="C207" s="16"/>
      <c r="D207" s="16"/>
      <c r="E207" s="16"/>
      <c r="F207" s="16"/>
      <c r="G207" s="16"/>
      <c r="H207" s="16"/>
      <c r="I207" s="16"/>
      <c r="K207" s="16"/>
      <c r="L207" s="16"/>
      <c r="M207" s="16"/>
      <c r="N207" s="16"/>
      <c r="O207" s="16"/>
      <c r="P207" s="16"/>
      <c r="Q207" s="16"/>
      <c r="R207" s="16"/>
    </row>
    <row r="208" spans="2:18" x14ac:dyDescent="0.25">
      <c r="B208" s="16"/>
      <c r="C208" s="16"/>
      <c r="D208" s="16"/>
      <c r="E208" s="16"/>
      <c r="F208" s="16"/>
      <c r="G208" s="16"/>
      <c r="H208" s="16"/>
      <c r="I208" s="16"/>
      <c r="K208" s="16"/>
      <c r="L208" s="16"/>
      <c r="M208" s="16"/>
      <c r="N208" s="16"/>
      <c r="O208" s="16"/>
      <c r="P208" s="16"/>
      <c r="Q208" s="16"/>
      <c r="R208" s="16"/>
    </row>
    <row r="209" spans="2:18" x14ac:dyDescent="0.25">
      <c r="B209" s="16"/>
      <c r="C209" s="16"/>
      <c r="D209" s="16"/>
      <c r="E209" s="16"/>
      <c r="F209" s="16"/>
      <c r="G209" s="16"/>
      <c r="H209" s="16"/>
      <c r="I209" s="16"/>
      <c r="K209" s="16"/>
      <c r="L209" s="16"/>
      <c r="M209" s="16"/>
      <c r="N209" s="16"/>
      <c r="O209" s="16"/>
      <c r="P209" s="16"/>
      <c r="Q209" s="16"/>
      <c r="R209" s="16"/>
    </row>
    <row r="210" spans="2:18" x14ac:dyDescent="0.25">
      <c r="B210" s="16"/>
      <c r="C210" s="16"/>
      <c r="D210" s="16"/>
      <c r="E210" s="16"/>
      <c r="F210" s="16"/>
      <c r="G210" s="16"/>
      <c r="H210" s="16"/>
      <c r="I210" s="16"/>
      <c r="K210" s="16"/>
      <c r="L210" s="16"/>
      <c r="M210" s="16"/>
      <c r="N210" s="16"/>
      <c r="O210" s="16"/>
      <c r="P210" s="16"/>
      <c r="Q210" s="16"/>
      <c r="R210" s="16"/>
    </row>
    <row r="211" spans="2:18" x14ac:dyDescent="0.25">
      <c r="B211" s="16"/>
      <c r="C211" s="16"/>
      <c r="D211" s="16"/>
      <c r="E211" s="16"/>
      <c r="F211" s="16"/>
      <c r="G211" s="16"/>
      <c r="H211" s="16"/>
      <c r="I211" s="16"/>
      <c r="K211" s="16"/>
      <c r="L211" s="16"/>
      <c r="M211" s="16"/>
      <c r="N211" s="16"/>
      <c r="O211" s="16"/>
      <c r="P211" s="16"/>
      <c r="Q211" s="16"/>
      <c r="R211" s="16"/>
    </row>
    <row r="212" spans="2:18" x14ac:dyDescent="0.25">
      <c r="B212" s="16"/>
      <c r="C212" s="16"/>
      <c r="D212" s="16"/>
      <c r="E212" s="16"/>
      <c r="F212" s="16"/>
      <c r="G212" s="16"/>
      <c r="H212" s="16"/>
      <c r="I212" s="16"/>
      <c r="K212" s="16"/>
      <c r="L212" s="16"/>
      <c r="M212" s="16"/>
      <c r="N212" s="16"/>
      <c r="O212" s="16"/>
      <c r="P212" s="16"/>
      <c r="Q212" s="16"/>
      <c r="R212" s="16"/>
    </row>
    <row r="213" spans="2:18" x14ac:dyDescent="0.25">
      <c r="B213" s="16"/>
      <c r="C213" s="16"/>
      <c r="D213" s="16"/>
      <c r="E213" s="16"/>
      <c r="F213" s="16"/>
      <c r="G213" s="16"/>
      <c r="H213" s="16"/>
      <c r="I213" s="16"/>
      <c r="K213" s="16"/>
      <c r="L213" s="16"/>
      <c r="M213" s="16"/>
      <c r="N213" s="16"/>
      <c r="O213" s="16"/>
      <c r="P213" s="16"/>
      <c r="Q213" s="16"/>
      <c r="R213" s="16"/>
    </row>
    <row r="214" spans="2:18" x14ac:dyDescent="0.25">
      <c r="B214" s="16"/>
      <c r="C214" s="16"/>
      <c r="D214" s="16"/>
      <c r="E214" s="16"/>
      <c r="F214" s="16"/>
      <c r="G214" s="16"/>
      <c r="H214" s="16"/>
      <c r="I214" s="16"/>
      <c r="K214" s="16"/>
      <c r="L214" s="16"/>
      <c r="M214" s="16"/>
      <c r="N214" s="16"/>
      <c r="O214" s="16"/>
      <c r="P214" s="16"/>
      <c r="Q214" s="16"/>
      <c r="R214" s="16"/>
    </row>
    <row r="215" spans="2:18" x14ac:dyDescent="0.25">
      <c r="B215" s="16"/>
      <c r="C215" s="16"/>
      <c r="D215" s="16"/>
      <c r="E215" s="16"/>
      <c r="F215" s="16"/>
      <c r="G215" s="16"/>
      <c r="H215" s="16"/>
      <c r="I215" s="16"/>
      <c r="K215" s="16"/>
      <c r="L215" s="16"/>
      <c r="M215" s="16"/>
      <c r="N215" s="16"/>
      <c r="O215" s="16"/>
      <c r="P215" s="16"/>
      <c r="Q215" s="16"/>
      <c r="R215" s="16"/>
    </row>
    <row r="216" spans="2:18" x14ac:dyDescent="0.25">
      <c r="B216" s="16"/>
      <c r="C216" s="16"/>
      <c r="D216" s="16"/>
      <c r="E216" s="16"/>
      <c r="F216" s="16"/>
      <c r="G216" s="16"/>
      <c r="H216" s="16"/>
      <c r="I216" s="16"/>
      <c r="K216" s="16"/>
      <c r="L216" s="16"/>
      <c r="M216" s="16"/>
      <c r="N216" s="16"/>
      <c r="O216" s="16"/>
      <c r="P216" s="16"/>
      <c r="Q216" s="16"/>
      <c r="R216" s="16"/>
    </row>
    <row r="217" spans="2:18" x14ac:dyDescent="0.25">
      <c r="B217" s="16"/>
      <c r="C217" s="16"/>
      <c r="D217" s="16"/>
      <c r="E217" s="16"/>
      <c r="F217" s="16"/>
      <c r="G217" s="16"/>
      <c r="H217" s="16"/>
      <c r="I217" s="16"/>
      <c r="K217" s="16"/>
      <c r="L217" s="16"/>
      <c r="M217" s="16"/>
      <c r="N217" s="16"/>
      <c r="O217" s="16"/>
      <c r="P217" s="16"/>
      <c r="Q217" s="16"/>
      <c r="R217" s="16"/>
    </row>
    <row r="218" spans="2:18" x14ac:dyDescent="0.25">
      <c r="B218" s="16"/>
      <c r="C218" s="16"/>
      <c r="D218" s="16"/>
      <c r="E218" s="16"/>
      <c r="F218" s="16"/>
      <c r="G218" s="16"/>
      <c r="H218" s="16"/>
      <c r="I218" s="16"/>
      <c r="K218" s="16"/>
      <c r="L218" s="16"/>
      <c r="M218" s="16"/>
      <c r="N218" s="16"/>
      <c r="O218" s="16"/>
      <c r="P218" s="16"/>
      <c r="Q218" s="16"/>
      <c r="R218" s="16"/>
    </row>
    <row r="219" spans="2:18" x14ac:dyDescent="0.25">
      <c r="B219" s="16"/>
      <c r="C219" s="16"/>
      <c r="D219" s="16"/>
      <c r="E219" s="16"/>
      <c r="F219" s="16"/>
      <c r="G219" s="16"/>
      <c r="H219" s="16"/>
      <c r="I219" s="16"/>
      <c r="K219" s="16"/>
      <c r="L219" s="16"/>
      <c r="M219" s="16"/>
      <c r="N219" s="16"/>
      <c r="O219" s="16"/>
      <c r="P219" s="16"/>
      <c r="Q219" s="16"/>
      <c r="R219" s="16"/>
    </row>
    <row r="220" spans="2:18" x14ac:dyDescent="0.25">
      <c r="B220" s="16"/>
      <c r="C220" s="16"/>
      <c r="D220" s="16"/>
      <c r="E220" s="16"/>
      <c r="F220" s="16"/>
      <c r="G220" s="16"/>
      <c r="H220" s="16"/>
      <c r="I220" s="16"/>
      <c r="K220" s="16"/>
      <c r="L220" s="16"/>
      <c r="M220" s="16"/>
      <c r="N220" s="16"/>
      <c r="O220" s="16"/>
      <c r="P220" s="16"/>
      <c r="Q220" s="16"/>
      <c r="R220" s="16"/>
    </row>
    <row r="221" spans="2:18" x14ac:dyDescent="0.25">
      <c r="B221" s="16"/>
      <c r="C221" s="16"/>
      <c r="D221" s="16"/>
      <c r="E221" s="16"/>
      <c r="F221" s="16"/>
      <c r="G221" s="16"/>
      <c r="H221" s="16"/>
      <c r="I221" s="16"/>
      <c r="K221" s="16"/>
      <c r="L221" s="16"/>
      <c r="M221" s="16"/>
      <c r="N221" s="16"/>
      <c r="O221" s="16"/>
      <c r="P221" s="16"/>
      <c r="Q221" s="16"/>
      <c r="R221" s="16"/>
    </row>
    <row r="222" spans="2:18" x14ac:dyDescent="0.25">
      <c r="B222" s="16"/>
      <c r="C222" s="16"/>
      <c r="D222" s="16"/>
      <c r="E222" s="16"/>
      <c r="F222" s="16"/>
      <c r="G222" s="16"/>
      <c r="H222" s="16"/>
      <c r="I222" s="16"/>
      <c r="K222" s="16"/>
      <c r="L222" s="16"/>
      <c r="M222" s="16"/>
      <c r="N222" s="16"/>
      <c r="O222" s="16"/>
      <c r="P222" s="16"/>
      <c r="Q222" s="16"/>
      <c r="R222" s="16"/>
    </row>
    <row r="223" spans="2:18" x14ac:dyDescent="0.25">
      <c r="B223" s="16"/>
      <c r="C223" s="16"/>
      <c r="D223" s="16"/>
      <c r="E223" s="16"/>
      <c r="F223" s="16"/>
      <c r="G223" s="16"/>
      <c r="H223" s="16"/>
      <c r="I223" s="16"/>
      <c r="K223" s="16"/>
      <c r="L223" s="16"/>
      <c r="M223" s="16"/>
      <c r="N223" s="16"/>
      <c r="O223" s="16"/>
      <c r="P223" s="16"/>
      <c r="Q223" s="16"/>
      <c r="R223" s="16"/>
    </row>
    <row r="224" spans="2:18" x14ac:dyDescent="0.25">
      <c r="B224" s="16"/>
      <c r="C224" s="16"/>
      <c r="D224" s="16"/>
      <c r="E224" s="16"/>
      <c r="F224" s="16"/>
      <c r="G224" s="16"/>
      <c r="H224" s="16"/>
      <c r="I224" s="16"/>
      <c r="K224" s="16"/>
      <c r="L224" s="16"/>
      <c r="M224" s="16"/>
      <c r="N224" s="16"/>
      <c r="O224" s="16"/>
      <c r="P224" s="16"/>
      <c r="Q224" s="16"/>
      <c r="R224" s="16"/>
    </row>
    <row r="225" spans="2:18" x14ac:dyDescent="0.25">
      <c r="B225" s="16"/>
      <c r="C225" s="16"/>
      <c r="D225" s="16"/>
      <c r="E225" s="16"/>
      <c r="F225" s="16"/>
      <c r="G225" s="16"/>
      <c r="H225" s="16"/>
      <c r="I225" s="16"/>
      <c r="K225" s="16"/>
      <c r="L225" s="16"/>
      <c r="M225" s="16"/>
      <c r="N225" s="16"/>
      <c r="O225" s="16"/>
      <c r="P225" s="16"/>
      <c r="Q225" s="16"/>
      <c r="R225" s="16"/>
    </row>
    <row r="226" spans="2:18" x14ac:dyDescent="0.25">
      <c r="B226" s="16"/>
      <c r="C226" s="16"/>
      <c r="D226" s="16"/>
      <c r="E226" s="16"/>
      <c r="F226" s="16"/>
      <c r="G226" s="16"/>
      <c r="H226" s="16"/>
      <c r="I226" s="16"/>
      <c r="K226" s="16"/>
      <c r="L226" s="16"/>
      <c r="M226" s="16"/>
      <c r="N226" s="16"/>
      <c r="O226" s="16"/>
      <c r="P226" s="16"/>
      <c r="Q226" s="16"/>
      <c r="R226" s="16"/>
    </row>
    <row r="227" spans="2:18" x14ac:dyDescent="0.25">
      <c r="B227" s="16"/>
      <c r="C227" s="16"/>
      <c r="D227" s="16"/>
      <c r="E227" s="16"/>
      <c r="F227" s="16"/>
      <c r="G227" s="16"/>
      <c r="H227" s="16"/>
      <c r="I227" s="16"/>
      <c r="K227" s="16"/>
      <c r="L227" s="16"/>
      <c r="M227" s="16"/>
      <c r="N227" s="16"/>
      <c r="O227" s="16"/>
      <c r="P227" s="16"/>
      <c r="Q227" s="16"/>
      <c r="R227" s="16"/>
    </row>
    <row r="228" spans="2:18" x14ac:dyDescent="0.25">
      <c r="B228" s="16"/>
      <c r="C228" s="16"/>
      <c r="D228" s="16"/>
      <c r="E228" s="16"/>
      <c r="F228" s="16"/>
      <c r="G228" s="16"/>
      <c r="H228" s="16"/>
      <c r="I228" s="16"/>
      <c r="K228" s="16"/>
      <c r="L228" s="16"/>
      <c r="M228" s="16"/>
      <c r="N228" s="16"/>
      <c r="O228" s="16"/>
      <c r="P228" s="16"/>
      <c r="Q228" s="16"/>
      <c r="R228" s="16"/>
    </row>
    <row r="229" spans="2:18" x14ac:dyDescent="0.25">
      <c r="B229" s="16"/>
      <c r="C229" s="16"/>
      <c r="D229" s="16"/>
      <c r="E229" s="16"/>
      <c r="F229" s="16"/>
      <c r="G229" s="16"/>
      <c r="H229" s="16"/>
      <c r="I229" s="16"/>
      <c r="K229" s="16"/>
      <c r="L229" s="16"/>
      <c r="M229" s="16"/>
      <c r="N229" s="16"/>
      <c r="O229" s="16"/>
      <c r="P229" s="16"/>
      <c r="Q229" s="16"/>
      <c r="R229" s="16"/>
    </row>
    <row r="230" spans="2:18" x14ac:dyDescent="0.25">
      <c r="B230" s="16"/>
      <c r="C230" s="16"/>
      <c r="D230" s="16"/>
      <c r="E230" s="16"/>
      <c r="F230" s="16"/>
      <c r="G230" s="16"/>
      <c r="H230" s="16"/>
      <c r="I230" s="16"/>
      <c r="K230" s="16"/>
      <c r="L230" s="16"/>
      <c r="M230" s="16"/>
      <c r="N230" s="16"/>
      <c r="O230" s="16"/>
      <c r="P230" s="16"/>
      <c r="Q230" s="16"/>
      <c r="R230" s="16"/>
    </row>
    <row r="231" spans="2:18" x14ac:dyDescent="0.25">
      <c r="B231" s="16"/>
      <c r="C231" s="16"/>
      <c r="D231" s="16"/>
      <c r="E231" s="16"/>
      <c r="F231" s="16"/>
      <c r="G231" s="16"/>
      <c r="H231" s="16"/>
      <c r="I231" s="16"/>
      <c r="K231" s="16"/>
      <c r="L231" s="16"/>
      <c r="M231" s="16"/>
      <c r="N231" s="16"/>
      <c r="O231" s="16"/>
      <c r="P231" s="16"/>
      <c r="Q231" s="16"/>
      <c r="R231" s="16"/>
    </row>
    <row r="232" spans="2:18" x14ac:dyDescent="0.25">
      <c r="B232" s="16"/>
      <c r="C232" s="16"/>
      <c r="D232" s="16"/>
      <c r="E232" s="16"/>
      <c r="F232" s="16"/>
      <c r="G232" s="16"/>
      <c r="H232" s="16"/>
      <c r="I232" s="16"/>
      <c r="K232" s="16"/>
      <c r="L232" s="16"/>
      <c r="M232" s="16"/>
      <c r="N232" s="16"/>
      <c r="O232" s="16"/>
      <c r="P232" s="16"/>
      <c r="Q232" s="16"/>
      <c r="R232" s="16"/>
    </row>
    <row r="233" spans="2:18" x14ac:dyDescent="0.25">
      <c r="B233" s="16"/>
      <c r="C233" s="16"/>
      <c r="D233" s="16"/>
      <c r="E233" s="16"/>
      <c r="F233" s="16"/>
      <c r="G233" s="16"/>
      <c r="H233" s="16"/>
      <c r="I233" s="16"/>
      <c r="K233" s="16"/>
      <c r="L233" s="16"/>
      <c r="M233" s="16"/>
      <c r="N233" s="16"/>
      <c r="O233" s="16"/>
      <c r="P233" s="16"/>
      <c r="Q233" s="16"/>
      <c r="R233" s="16"/>
    </row>
    <row r="234" spans="2:18" x14ac:dyDescent="0.25">
      <c r="B234" s="16"/>
      <c r="C234" s="16"/>
      <c r="D234" s="16"/>
      <c r="E234" s="16"/>
      <c r="F234" s="16"/>
      <c r="G234" s="16"/>
      <c r="H234" s="16"/>
      <c r="I234" s="16"/>
      <c r="K234" s="16"/>
      <c r="L234" s="16"/>
      <c r="M234" s="16"/>
      <c r="N234" s="16"/>
      <c r="O234" s="16"/>
      <c r="P234" s="16"/>
      <c r="Q234" s="16"/>
      <c r="R234" s="16"/>
    </row>
    <row r="235" spans="2:18" x14ac:dyDescent="0.25">
      <c r="B235" s="16"/>
      <c r="C235" s="16"/>
      <c r="D235" s="16"/>
      <c r="E235" s="16"/>
      <c r="F235" s="16"/>
      <c r="G235" s="16"/>
      <c r="H235" s="16"/>
      <c r="I235" s="16"/>
      <c r="K235" s="16"/>
      <c r="L235" s="16"/>
      <c r="M235" s="16"/>
      <c r="N235" s="16"/>
      <c r="O235" s="16"/>
      <c r="P235" s="16"/>
      <c r="Q235" s="16"/>
      <c r="R235" s="16"/>
    </row>
    <row r="236" spans="2:18" x14ac:dyDescent="0.25">
      <c r="B236" s="16"/>
      <c r="C236" s="16"/>
      <c r="D236" s="16"/>
      <c r="E236" s="16"/>
      <c r="F236" s="16"/>
      <c r="G236" s="16"/>
      <c r="H236" s="16"/>
      <c r="I236" s="16"/>
      <c r="K236" s="16"/>
      <c r="L236" s="16"/>
      <c r="M236" s="16"/>
      <c r="N236" s="16"/>
      <c r="O236" s="16"/>
      <c r="P236" s="16"/>
      <c r="Q236" s="16"/>
      <c r="R236" s="16"/>
    </row>
    <row r="237" spans="2:18" x14ac:dyDescent="0.25">
      <c r="B237" s="16"/>
      <c r="C237" s="16"/>
      <c r="D237" s="16"/>
      <c r="E237" s="16"/>
      <c r="F237" s="16"/>
      <c r="G237" s="16"/>
      <c r="H237" s="16"/>
      <c r="I237" s="16"/>
      <c r="K237" s="16"/>
      <c r="L237" s="16"/>
      <c r="M237" s="16"/>
      <c r="N237" s="16"/>
      <c r="O237" s="16"/>
      <c r="P237" s="16"/>
      <c r="Q237" s="16"/>
      <c r="R237" s="16"/>
    </row>
    <row r="238" spans="2:18" x14ac:dyDescent="0.25">
      <c r="B238" s="16"/>
      <c r="C238" s="16"/>
      <c r="D238" s="16"/>
      <c r="E238" s="16"/>
      <c r="F238" s="16"/>
      <c r="G238" s="16"/>
      <c r="H238" s="16"/>
      <c r="I238" s="16"/>
      <c r="K238" s="16"/>
      <c r="L238" s="16"/>
      <c r="M238" s="16"/>
      <c r="N238" s="16"/>
      <c r="O238" s="16"/>
      <c r="P238" s="16"/>
      <c r="Q238" s="16"/>
      <c r="R238" s="16"/>
    </row>
    <row r="239" spans="2:18" x14ac:dyDescent="0.25">
      <c r="B239" s="16"/>
      <c r="C239" s="16"/>
      <c r="D239" s="16"/>
      <c r="E239" s="16"/>
      <c r="F239" s="16"/>
      <c r="G239" s="16"/>
      <c r="H239" s="16"/>
      <c r="I239" s="16"/>
      <c r="K239" s="16"/>
      <c r="L239" s="16"/>
      <c r="M239" s="16"/>
      <c r="N239" s="16"/>
      <c r="O239" s="16"/>
      <c r="P239" s="16"/>
      <c r="Q239" s="16"/>
      <c r="R239" s="16"/>
    </row>
    <row r="240" spans="2:18" x14ac:dyDescent="0.25">
      <c r="B240" s="16"/>
      <c r="C240" s="16"/>
      <c r="D240" s="16"/>
      <c r="E240" s="16"/>
      <c r="F240" s="16"/>
      <c r="G240" s="16"/>
      <c r="H240" s="16"/>
      <c r="I240" s="16"/>
      <c r="K240" s="16"/>
      <c r="L240" s="16"/>
      <c r="M240" s="16"/>
      <c r="N240" s="16"/>
      <c r="O240" s="16"/>
      <c r="P240" s="16"/>
      <c r="Q240" s="16"/>
      <c r="R240" s="16"/>
    </row>
    <row r="241" spans="2:18" x14ac:dyDescent="0.25">
      <c r="B241" s="16"/>
      <c r="C241" s="16"/>
      <c r="D241" s="16"/>
      <c r="E241" s="16"/>
      <c r="F241" s="16"/>
      <c r="G241" s="16"/>
      <c r="H241" s="16"/>
      <c r="I241" s="16"/>
      <c r="K241" s="16"/>
      <c r="L241" s="16"/>
      <c r="M241" s="16"/>
      <c r="N241" s="16"/>
      <c r="O241" s="16"/>
      <c r="P241" s="16"/>
      <c r="Q241" s="16"/>
      <c r="R241" s="16"/>
    </row>
    <row r="242" spans="2:18" x14ac:dyDescent="0.25">
      <c r="B242" s="16"/>
      <c r="C242" s="16"/>
      <c r="D242" s="16"/>
      <c r="E242" s="16"/>
      <c r="F242" s="16"/>
      <c r="G242" s="16"/>
      <c r="H242" s="16"/>
      <c r="I242" s="16"/>
      <c r="K242" s="16"/>
      <c r="L242" s="16"/>
      <c r="M242" s="16"/>
      <c r="N242" s="16"/>
      <c r="O242" s="16"/>
      <c r="P242" s="16"/>
      <c r="Q242" s="16"/>
      <c r="R242" s="16"/>
    </row>
    <row r="243" spans="2:18" x14ac:dyDescent="0.25">
      <c r="B243" s="16"/>
      <c r="C243" s="16"/>
      <c r="D243" s="16"/>
      <c r="E243" s="16"/>
      <c r="F243" s="16"/>
      <c r="G243" s="16"/>
      <c r="H243" s="16"/>
      <c r="I243" s="16"/>
      <c r="K243" s="16"/>
      <c r="L243" s="16"/>
      <c r="M243" s="16"/>
      <c r="N243" s="16"/>
      <c r="O243" s="16"/>
      <c r="P243" s="16"/>
      <c r="Q243" s="16"/>
      <c r="R243" s="16"/>
    </row>
    <row r="244" spans="2:18" x14ac:dyDescent="0.25">
      <c r="B244" s="16"/>
      <c r="C244" s="16"/>
      <c r="D244" s="16"/>
      <c r="E244" s="16"/>
      <c r="F244" s="16"/>
      <c r="G244" s="16"/>
      <c r="H244" s="16"/>
      <c r="I244" s="16"/>
      <c r="K244" s="16"/>
      <c r="L244" s="16"/>
      <c r="M244" s="16"/>
      <c r="N244" s="16"/>
      <c r="O244" s="16"/>
      <c r="P244" s="16"/>
      <c r="Q244" s="16"/>
      <c r="R244" s="16"/>
    </row>
    <row r="245" spans="2:18" x14ac:dyDescent="0.25">
      <c r="B245" s="16"/>
      <c r="C245" s="16"/>
      <c r="D245" s="16"/>
      <c r="E245" s="16"/>
      <c r="F245" s="16"/>
      <c r="G245" s="16"/>
      <c r="H245" s="16"/>
      <c r="I245" s="16"/>
      <c r="K245" s="16"/>
      <c r="L245" s="16"/>
      <c r="M245" s="16"/>
      <c r="N245" s="16"/>
      <c r="O245" s="16"/>
      <c r="P245" s="16"/>
      <c r="Q245" s="16"/>
      <c r="R245" s="16"/>
    </row>
    <row r="246" spans="2:18" x14ac:dyDescent="0.25">
      <c r="B246" s="16"/>
      <c r="C246" s="16"/>
      <c r="D246" s="16"/>
      <c r="E246" s="16"/>
      <c r="F246" s="16"/>
      <c r="G246" s="16"/>
      <c r="H246" s="16"/>
      <c r="I246" s="16"/>
      <c r="K246" s="16"/>
      <c r="L246" s="16"/>
      <c r="M246" s="16"/>
      <c r="N246" s="16"/>
      <c r="O246" s="16"/>
      <c r="P246" s="16"/>
      <c r="Q246" s="16"/>
      <c r="R246" s="16"/>
    </row>
    <row r="247" spans="2:18" x14ac:dyDescent="0.25">
      <c r="B247" s="16"/>
      <c r="C247" s="16"/>
      <c r="D247" s="16"/>
      <c r="E247" s="16"/>
      <c r="F247" s="16"/>
      <c r="G247" s="16"/>
      <c r="H247" s="16"/>
      <c r="I247" s="16"/>
      <c r="K247" s="16"/>
      <c r="L247" s="16"/>
      <c r="M247" s="16"/>
      <c r="N247" s="16"/>
      <c r="O247" s="16"/>
      <c r="P247" s="16"/>
      <c r="Q247" s="16"/>
      <c r="R247" s="16"/>
    </row>
    <row r="248" spans="2:18" x14ac:dyDescent="0.25">
      <c r="B248" s="16"/>
      <c r="C248" s="16"/>
      <c r="D248" s="16"/>
      <c r="E248" s="16"/>
      <c r="F248" s="16"/>
      <c r="G248" s="16"/>
      <c r="H248" s="16"/>
      <c r="I248" s="16"/>
      <c r="K248" s="16"/>
      <c r="L248" s="16"/>
      <c r="M248" s="16"/>
      <c r="N248" s="16"/>
      <c r="O248" s="16"/>
      <c r="P248" s="16"/>
      <c r="Q248" s="16"/>
      <c r="R248" s="16"/>
    </row>
    <row r="249" spans="2:18" x14ac:dyDescent="0.25">
      <c r="B249" s="16"/>
      <c r="C249" s="16"/>
      <c r="D249" s="16"/>
      <c r="E249" s="16"/>
      <c r="F249" s="16"/>
      <c r="G249" s="16"/>
      <c r="H249" s="16"/>
      <c r="I249" s="16"/>
      <c r="K249" s="16"/>
      <c r="L249" s="16"/>
      <c r="M249" s="16"/>
      <c r="N249" s="16"/>
      <c r="O249" s="16"/>
      <c r="P249" s="16"/>
      <c r="Q249" s="16"/>
      <c r="R249" s="16"/>
    </row>
    <row r="250" spans="2:18" x14ac:dyDescent="0.25">
      <c r="B250" s="16"/>
      <c r="C250" s="16"/>
      <c r="D250" s="16"/>
      <c r="E250" s="16"/>
      <c r="F250" s="16"/>
      <c r="G250" s="16"/>
      <c r="H250" s="16"/>
      <c r="I250" s="16"/>
      <c r="K250" s="16"/>
      <c r="L250" s="16"/>
      <c r="M250" s="16"/>
      <c r="N250" s="16"/>
      <c r="O250" s="16"/>
      <c r="P250" s="16"/>
      <c r="Q250" s="16"/>
      <c r="R250" s="16"/>
    </row>
    <row r="251" spans="2:18" x14ac:dyDescent="0.25">
      <c r="B251" s="16"/>
      <c r="C251" s="16"/>
      <c r="D251" s="16"/>
      <c r="E251" s="16"/>
      <c r="F251" s="16"/>
      <c r="G251" s="16"/>
      <c r="H251" s="16"/>
      <c r="I251" s="16"/>
      <c r="K251" s="16"/>
      <c r="L251" s="16"/>
      <c r="M251" s="16"/>
      <c r="N251" s="16"/>
      <c r="O251" s="16"/>
      <c r="P251" s="16"/>
      <c r="Q251" s="16"/>
      <c r="R251" s="16"/>
    </row>
    <row r="252" spans="2:18" x14ac:dyDescent="0.25">
      <c r="B252" s="16"/>
      <c r="C252" s="16"/>
      <c r="D252" s="16"/>
      <c r="E252" s="16"/>
      <c r="F252" s="16"/>
      <c r="G252" s="16"/>
      <c r="H252" s="16"/>
      <c r="I252" s="16"/>
      <c r="K252" s="16"/>
      <c r="L252" s="16"/>
      <c r="M252" s="16"/>
      <c r="N252" s="16"/>
      <c r="O252" s="16"/>
      <c r="P252" s="16"/>
      <c r="Q252" s="16"/>
      <c r="R252" s="16"/>
    </row>
    <row r="253" spans="2:18" x14ac:dyDescent="0.25">
      <c r="B253" s="16"/>
      <c r="C253" s="16"/>
      <c r="D253" s="16"/>
      <c r="E253" s="16"/>
      <c r="F253" s="16"/>
      <c r="G253" s="16"/>
      <c r="H253" s="16"/>
      <c r="I253" s="16"/>
      <c r="K253" s="16"/>
      <c r="L253" s="16"/>
      <c r="M253" s="16"/>
      <c r="N253" s="16"/>
      <c r="O253" s="16"/>
      <c r="P253" s="16"/>
      <c r="Q253" s="16"/>
      <c r="R253" s="16"/>
    </row>
    <row r="254" spans="2:18" x14ac:dyDescent="0.25">
      <c r="B254" s="16"/>
      <c r="C254" s="16"/>
      <c r="D254" s="16"/>
      <c r="E254" s="16"/>
      <c r="F254" s="16"/>
      <c r="G254" s="16"/>
      <c r="H254" s="16"/>
      <c r="I254" s="16"/>
      <c r="K254" s="16"/>
      <c r="L254" s="16"/>
      <c r="M254" s="16"/>
      <c r="N254" s="16"/>
      <c r="O254" s="16"/>
      <c r="P254" s="16"/>
      <c r="Q254" s="16"/>
      <c r="R254" s="16"/>
    </row>
    <row r="255" spans="2:18" x14ac:dyDescent="0.25">
      <c r="B255" s="16"/>
      <c r="C255" s="16"/>
      <c r="D255" s="16"/>
      <c r="E255" s="16"/>
      <c r="F255" s="16"/>
      <c r="G255" s="16"/>
      <c r="H255" s="16"/>
      <c r="I255" s="16"/>
      <c r="K255" s="16"/>
      <c r="L255" s="16"/>
      <c r="M255" s="16"/>
      <c r="N255" s="16"/>
      <c r="O255" s="16"/>
      <c r="P255" s="16"/>
      <c r="Q255" s="16"/>
      <c r="R255" s="16"/>
    </row>
    <row r="256" spans="2:18" x14ac:dyDescent="0.25">
      <c r="B256" s="16"/>
      <c r="C256" s="16"/>
      <c r="D256" s="16"/>
      <c r="E256" s="16"/>
      <c r="F256" s="16"/>
      <c r="G256" s="16"/>
      <c r="H256" s="16"/>
      <c r="I256" s="16"/>
      <c r="K256" s="16"/>
      <c r="L256" s="16"/>
      <c r="M256" s="16"/>
      <c r="N256" s="16"/>
      <c r="O256" s="16"/>
      <c r="P256" s="16"/>
      <c r="Q256" s="16"/>
      <c r="R256" s="16"/>
    </row>
    <row r="257" spans="2:18" x14ac:dyDescent="0.25">
      <c r="B257" s="16"/>
      <c r="C257" s="16"/>
      <c r="D257" s="16"/>
      <c r="E257" s="16"/>
      <c r="F257" s="16"/>
      <c r="G257" s="16"/>
      <c r="H257" s="16"/>
      <c r="I257" s="16"/>
      <c r="K257" s="16"/>
      <c r="L257" s="16"/>
      <c r="M257" s="16"/>
      <c r="N257" s="16"/>
      <c r="O257" s="16"/>
      <c r="P257" s="16"/>
      <c r="Q257" s="16"/>
      <c r="R257" s="16"/>
    </row>
    <row r="258" spans="2:18" x14ac:dyDescent="0.25">
      <c r="B258" s="16"/>
      <c r="C258" s="16"/>
      <c r="D258" s="16"/>
      <c r="E258" s="16"/>
      <c r="F258" s="16"/>
      <c r="G258" s="16"/>
      <c r="H258" s="16"/>
      <c r="I258" s="16"/>
      <c r="K258" s="16"/>
      <c r="L258" s="16"/>
      <c r="M258" s="16"/>
      <c r="N258" s="16"/>
      <c r="O258" s="16"/>
      <c r="P258" s="16"/>
      <c r="Q258" s="16"/>
      <c r="R258" s="16"/>
    </row>
    <row r="259" spans="2:18" x14ac:dyDescent="0.25">
      <c r="B259" s="16"/>
      <c r="C259" s="16"/>
      <c r="D259" s="16"/>
      <c r="E259" s="16"/>
      <c r="F259" s="16"/>
      <c r="G259" s="16"/>
      <c r="H259" s="16"/>
      <c r="I259" s="16"/>
      <c r="K259" s="16"/>
      <c r="L259" s="16"/>
      <c r="M259" s="16"/>
      <c r="N259" s="16"/>
      <c r="O259" s="16"/>
      <c r="P259" s="16"/>
      <c r="Q259" s="16"/>
      <c r="R259" s="16"/>
    </row>
    <row r="260" spans="2:18" x14ac:dyDescent="0.25">
      <c r="B260" s="16"/>
      <c r="C260" s="16"/>
      <c r="D260" s="16"/>
      <c r="E260" s="16"/>
      <c r="F260" s="16"/>
      <c r="G260" s="16"/>
      <c r="H260" s="16"/>
      <c r="I260" s="16"/>
      <c r="K260" s="16"/>
      <c r="L260" s="16"/>
      <c r="M260" s="16"/>
      <c r="N260" s="16"/>
      <c r="O260" s="16"/>
      <c r="P260" s="16"/>
      <c r="Q260" s="16"/>
      <c r="R260" s="16"/>
    </row>
    <row r="261" spans="2:18" x14ac:dyDescent="0.25">
      <c r="B261" s="16"/>
      <c r="C261" s="16"/>
      <c r="D261" s="16"/>
      <c r="E261" s="16"/>
      <c r="F261" s="16"/>
      <c r="G261" s="16"/>
      <c r="H261" s="16"/>
      <c r="I261" s="16"/>
      <c r="K261" s="16"/>
      <c r="L261" s="16"/>
      <c r="M261" s="16"/>
      <c r="N261" s="16"/>
      <c r="O261" s="16"/>
      <c r="P261" s="16"/>
      <c r="Q261" s="16"/>
      <c r="R261" s="16"/>
    </row>
    <row r="262" spans="2:18" x14ac:dyDescent="0.25">
      <c r="B262" s="16"/>
      <c r="C262" s="16"/>
      <c r="D262" s="16"/>
      <c r="E262" s="16"/>
      <c r="F262" s="16"/>
      <c r="G262" s="16"/>
      <c r="H262" s="16"/>
      <c r="I262" s="16"/>
      <c r="K262" s="16"/>
      <c r="L262" s="16"/>
      <c r="M262" s="16"/>
      <c r="N262" s="16"/>
      <c r="O262" s="16"/>
      <c r="P262" s="16"/>
      <c r="Q262" s="16"/>
      <c r="R262" s="16"/>
    </row>
    <row r="263" spans="2:18" x14ac:dyDescent="0.25">
      <c r="B263" s="16"/>
      <c r="C263" s="16"/>
      <c r="D263" s="16"/>
      <c r="E263" s="16"/>
      <c r="F263" s="16"/>
      <c r="G263" s="16"/>
      <c r="H263" s="16"/>
      <c r="I263" s="16"/>
      <c r="K263" s="16"/>
      <c r="L263" s="16"/>
      <c r="M263" s="16"/>
      <c r="N263" s="16"/>
      <c r="O263" s="16"/>
      <c r="P263" s="16"/>
      <c r="Q263" s="16"/>
      <c r="R263" s="16"/>
    </row>
    <row r="264" spans="2:18" x14ac:dyDescent="0.25">
      <c r="B264" s="16"/>
      <c r="C264" s="16"/>
      <c r="D264" s="16"/>
      <c r="E264" s="16"/>
      <c r="F264" s="16"/>
      <c r="G264" s="16"/>
      <c r="H264" s="16"/>
      <c r="I264" s="16"/>
      <c r="K264" s="16"/>
      <c r="L264" s="16"/>
      <c r="M264" s="16"/>
      <c r="N264" s="16"/>
      <c r="O264" s="16"/>
      <c r="P264" s="16"/>
      <c r="Q264" s="16"/>
      <c r="R264" s="16"/>
    </row>
    <row r="265" spans="2:18" x14ac:dyDescent="0.25">
      <c r="B265" s="16"/>
      <c r="C265" s="16"/>
      <c r="D265" s="16"/>
      <c r="E265" s="16"/>
      <c r="F265" s="16"/>
      <c r="G265" s="16"/>
      <c r="H265" s="16"/>
      <c r="I265" s="16"/>
      <c r="K265" s="16"/>
      <c r="L265" s="16"/>
      <c r="M265" s="16"/>
      <c r="N265" s="16"/>
      <c r="O265" s="16"/>
      <c r="P265" s="16"/>
      <c r="Q265" s="16"/>
      <c r="R265" s="16"/>
    </row>
    <row r="266" spans="2:18" x14ac:dyDescent="0.25">
      <c r="B266" s="16"/>
      <c r="C266" s="16"/>
      <c r="D266" s="16"/>
      <c r="E266" s="16"/>
      <c r="F266" s="16"/>
      <c r="G266" s="16"/>
      <c r="H266" s="16"/>
      <c r="I266" s="16"/>
      <c r="K266" s="16"/>
      <c r="L266" s="16"/>
      <c r="M266" s="16"/>
      <c r="N266" s="16"/>
      <c r="O266" s="16"/>
      <c r="P266" s="16"/>
      <c r="Q266" s="16"/>
      <c r="R266" s="16"/>
    </row>
    <row r="267" spans="2:18" x14ac:dyDescent="0.25">
      <c r="B267" s="16"/>
      <c r="C267" s="16"/>
      <c r="D267" s="16"/>
      <c r="E267" s="16"/>
      <c r="F267" s="16"/>
      <c r="G267" s="16"/>
      <c r="H267" s="16"/>
      <c r="I267" s="16"/>
      <c r="K267" s="16"/>
      <c r="L267" s="16"/>
      <c r="M267" s="16"/>
      <c r="N267" s="16"/>
      <c r="O267" s="16"/>
      <c r="P267" s="16"/>
      <c r="Q267" s="16"/>
      <c r="R267" s="16"/>
    </row>
    <row r="268" spans="2:18" x14ac:dyDescent="0.25">
      <c r="B268" s="16"/>
      <c r="C268" s="16"/>
      <c r="D268" s="16"/>
      <c r="E268" s="16"/>
      <c r="F268" s="16"/>
      <c r="G268" s="16"/>
      <c r="H268" s="16"/>
      <c r="I268" s="16"/>
      <c r="K268" s="16"/>
      <c r="L268" s="16"/>
      <c r="M268" s="16"/>
      <c r="N268" s="16"/>
      <c r="O268" s="16"/>
      <c r="P268" s="16"/>
      <c r="Q268" s="16"/>
      <c r="R268" s="16"/>
    </row>
    <row r="269" spans="2:18" x14ac:dyDescent="0.25">
      <c r="B269" s="16"/>
      <c r="C269" s="16"/>
      <c r="D269" s="16"/>
      <c r="E269" s="16"/>
      <c r="F269" s="16"/>
      <c r="G269" s="16"/>
      <c r="H269" s="16"/>
      <c r="I269" s="16"/>
      <c r="K269" s="16"/>
      <c r="L269" s="16"/>
      <c r="M269" s="16"/>
      <c r="N269" s="16"/>
      <c r="O269" s="16"/>
      <c r="P269" s="16"/>
      <c r="Q269" s="16"/>
      <c r="R269" s="16"/>
    </row>
    <row r="270" spans="2:18" x14ac:dyDescent="0.25">
      <c r="B270" s="16"/>
      <c r="C270" s="16"/>
      <c r="D270" s="16"/>
      <c r="E270" s="16"/>
      <c r="F270" s="16"/>
      <c r="G270" s="16"/>
      <c r="H270" s="16"/>
      <c r="I270" s="16"/>
      <c r="K270" s="16"/>
      <c r="L270" s="16"/>
      <c r="M270" s="16"/>
      <c r="N270" s="16"/>
      <c r="O270" s="16"/>
      <c r="P270" s="16"/>
      <c r="Q270" s="16"/>
      <c r="R270" s="16"/>
    </row>
    <row r="271" spans="2:18" x14ac:dyDescent="0.25">
      <c r="B271" s="16"/>
      <c r="C271" s="16"/>
      <c r="D271" s="16"/>
      <c r="E271" s="16"/>
      <c r="F271" s="16"/>
      <c r="G271" s="16"/>
      <c r="H271" s="16"/>
      <c r="I271" s="16"/>
      <c r="K271" s="16"/>
      <c r="L271" s="16"/>
      <c r="M271" s="16"/>
      <c r="N271" s="16"/>
      <c r="O271" s="16"/>
      <c r="P271" s="16"/>
      <c r="Q271" s="16"/>
      <c r="R271" s="16"/>
    </row>
    <row r="272" spans="2:18" x14ac:dyDescent="0.25">
      <c r="B272" s="16"/>
      <c r="C272" s="16"/>
      <c r="D272" s="16"/>
      <c r="E272" s="16"/>
      <c r="F272" s="16"/>
      <c r="G272" s="16"/>
      <c r="H272" s="16"/>
      <c r="I272" s="16"/>
      <c r="K272" s="16"/>
      <c r="L272" s="16"/>
      <c r="M272" s="16"/>
      <c r="N272" s="16"/>
      <c r="O272" s="16"/>
      <c r="P272" s="16"/>
      <c r="Q272" s="16"/>
      <c r="R272" s="16"/>
    </row>
    <row r="273" spans="2:18" x14ac:dyDescent="0.25">
      <c r="B273" s="16"/>
      <c r="C273" s="16"/>
      <c r="D273" s="16"/>
      <c r="E273" s="16"/>
      <c r="F273" s="16"/>
      <c r="G273" s="16"/>
      <c r="H273" s="16"/>
      <c r="I273" s="16"/>
      <c r="K273" s="16"/>
      <c r="L273" s="16"/>
      <c r="M273" s="16"/>
      <c r="N273" s="16"/>
      <c r="O273" s="16"/>
      <c r="P273" s="16"/>
      <c r="Q273" s="16"/>
      <c r="R273" s="16"/>
    </row>
    <row r="274" spans="2:18" x14ac:dyDescent="0.25">
      <c r="B274" s="16"/>
      <c r="C274" s="16"/>
      <c r="D274" s="16"/>
      <c r="E274" s="16"/>
      <c r="F274" s="16"/>
      <c r="G274" s="16"/>
      <c r="H274" s="16"/>
      <c r="I274" s="16"/>
      <c r="K274" s="16"/>
      <c r="L274" s="16"/>
      <c r="M274" s="16"/>
      <c r="N274" s="16"/>
      <c r="O274" s="16"/>
      <c r="P274" s="16"/>
      <c r="Q274" s="16"/>
      <c r="R274" s="16"/>
    </row>
    <row r="275" spans="2:18" x14ac:dyDescent="0.25">
      <c r="B275" s="16"/>
      <c r="C275" s="16"/>
      <c r="D275" s="16"/>
      <c r="E275" s="16"/>
      <c r="F275" s="16"/>
      <c r="G275" s="16"/>
      <c r="H275" s="16"/>
      <c r="I275" s="16"/>
      <c r="K275" s="16"/>
      <c r="L275" s="16"/>
      <c r="M275" s="16"/>
      <c r="N275" s="16"/>
      <c r="O275" s="16"/>
      <c r="P275" s="16"/>
      <c r="Q275" s="16"/>
      <c r="R275" s="16"/>
    </row>
    <row r="276" spans="2:18" x14ac:dyDescent="0.25">
      <c r="B276" s="16"/>
      <c r="C276" s="16"/>
      <c r="D276" s="16"/>
      <c r="E276" s="16"/>
      <c r="F276" s="16"/>
      <c r="G276" s="16"/>
      <c r="H276" s="16"/>
      <c r="I276" s="16"/>
      <c r="K276" s="16"/>
      <c r="L276" s="16"/>
      <c r="M276" s="16"/>
      <c r="N276" s="16"/>
      <c r="O276" s="16"/>
      <c r="P276" s="16"/>
      <c r="Q276" s="16"/>
      <c r="R276" s="16"/>
    </row>
    <row r="277" spans="2:18" x14ac:dyDescent="0.25">
      <c r="B277" s="16"/>
      <c r="C277" s="16"/>
      <c r="D277" s="16"/>
      <c r="E277" s="16"/>
      <c r="F277" s="16"/>
      <c r="G277" s="16"/>
      <c r="H277" s="16"/>
      <c r="I277" s="16"/>
      <c r="K277" s="16"/>
      <c r="L277" s="16"/>
      <c r="M277" s="16"/>
      <c r="N277" s="16"/>
      <c r="O277" s="16"/>
      <c r="P277" s="16"/>
      <c r="Q277" s="16"/>
      <c r="R277" s="16"/>
    </row>
    <row r="278" spans="2:18" x14ac:dyDescent="0.25">
      <c r="B278" s="16"/>
      <c r="C278" s="16"/>
      <c r="D278" s="16"/>
      <c r="E278" s="16"/>
      <c r="F278" s="16"/>
      <c r="G278" s="16"/>
      <c r="H278" s="16"/>
      <c r="I278" s="16"/>
      <c r="K278" s="16"/>
      <c r="L278" s="16"/>
      <c r="M278" s="16"/>
      <c r="N278" s="16"/>
      <c r="O278" s="16"/>
      <c r="P278" s="16"/>
      <c r="Q278" s="16"/>
      <c r="R278" s="16"/>
    </row>
    <row r="279" spans="2:18" x14ac:dyDescent="0.25">
      <c r="B279" s="16"/>
      <c r="C279" s="16"/>
      <c r="D279" s="16"/>
      <c r="E279" s="16"/>
      <c r="F279" s="16"/>
      <c r="G279" s="16"/>
      <c r="H279" s="16"/>
      <c r="I279" s="16"/>
      <c r="K279" s="16"/>
      <c r="L279" s="16"/>
      <c r="M279" s="16"/>
      <c r="N279" s="16"/>
      <c r="O279" s="16"/>
      <c r="P279" s="16"/>
      <c r="Q279" s="16"/>
      <c r="R279" s="16"/>
    </row>
    <row r="280" spans="2:18" x14ac:dyDescent="0.25">
      <c r="B280" s="16"/>
      <c r="C280" s="16"/>
      <c r="D280" s="16"/>
      <c r="E280" s="16"/>
      <c r="F280" s="16"/>
      <c r="G280" s="16"/>
      <c r="H280" s="16"/>
      <c r="I280" s="16"/>
      <c r="K280" s="16"/>
      <c r="L280" s="16"/>
      <c r="M280" s="16"/>
      <c r="N280" s="16"/>
      <c r="O280" s="16"/>
      <c r="P280" s="16"/>
      <c r="Q280" s="16"/>
      <c r="R280" s="16"/>
    </row>
    <row r="281" spans="2:18" x14ac:dyDescent="0.25">
      <c r="B281" s="16"/>
      <c r="C281" s="16"/>
      <c r="D281" s="16"/>
      <c r="E281" s="16"/>
      <c r="F281" s="16"/>
      <c r="G281" s="16"/>
      <c r="H281" s="16"/>
      <c r="I281" s="16"/>
      <c r="K281" s="16"/>
      <c r="L281" s="16"/>
      <c r="M281" s="16"/>
      <c r="N281" s="16"/>
      <c r="O281" s="16"/>
      <c r="P281" s="16"/>
      <c r="Q281" s="16"/>
      <c r="R281" s="16"/>
    </row>
    <row r="282" spans="2:18" x14ac:dyDescent="0.25">
      <c r="B282" s="16"/>
      <c r="C282" s="16"/>
      <c r="D282" s="16"/>
      <c r="E282" s="16"/>
      <c r="F282" s="16"/>
      <c r="G282" s="16"/>
      <c r="H282" s="16"/>
      <c r="I282" s="16"/>
      <c r="K282" s="16"/>
      <c r="L282" s="16"/>
      <c r="M282" s="16"/>
      <c r="N282" s="16"/>
      <c r="O282" s="16"/>
      <c r="P282" s="16"/>
      <c r="Q282" s="16"/>
      <c r="R282" s="16"/>
    </row>
    <row r="283" spans="2:18" x14ac:dyDescent="0.25">
      <c r="B283" s="16"/>
      <c r="C283" s="16"/>
      <c r="D283" s="16"/>
      <c r="E283" s="16"/>
      <c r="F283" s="16"/>
      <c r="G283" s="16"/>
      <c r="H283" s="16"/>
      <c r="I283" s="16"/>
      <c r="K283" s="16"/>
      <c r="L283" s="16"/>
      <c r="M283" s="16"/>
      <c r="N283" s="16"/>
      <c r="O283" s="16"/>
      <c r="P283" s="16"/>
      <c r="Q283" s="16"/>
      <c r="R283" s="16"/>
    </row>
    <row r="284" spans="2:18" x14ac:dyDescent="0.25">
      <c r="B284" s="16"/>
      <c r="C284" s="16"/>
      <c r="D284" s="16"/>
      <c r="E284" s="16"/>
      <c r="F284" s="16"/>
      <c r="G284" s="16"/>
      <c r="H284" s="16"/>
      <c r="I284" s="16"/>
      <c r="K284" s="16"/>
      <c r="L284" s="16"/>
      <c r="M284" s="16"/>
      <c r="N284" s="16"/>
      <c r="O284" s="16"/>
      <c r="P284" s="16"/>
      <c r="Q284" s="16"/>
      <c r="R284" s="16"/>
    </row>
    <row r="285" spans="2:18" x14ac:dyDescent="0.25">
      <c r="B285" s="16"/>
      <c r="C285" s="16"/>
      <c r="D285" s="16"/>
      <c r="E285" s="16"/>
      <c r="F285" s="16"/>
      <c r="G285" s="16"/>
      <c r="H285" s="16"/>
      <c r="I285" s="16"/>
      <c r="K285" s="16"/>
      <c r="L285" s="16"/>
      <c r="M285" s="16"/>
      <c r="N285" s="16"/>
      <c r="O285" s="16"/>
      <c r="P285" s="16"/>
      <c r="Q285" s="16"/>
      <c r="R285" s="16"/>
    </row>
    <row r="286" spans="2:18" x14ac:dyDescent="0.25">
      <c r="B286" s="16"/>
      <c r="C286" s="16"/>
      <c r="D286" s="16"/>
      <c r="E286" s="16"/>
      <c r="F286" s="16"/>
      <c r="G286" s="16"/>
      <c r="H286" s="16"/>
      <c r="I286" s="16"/>
      <c r="K286" s="16"/>
      <c r="L286" s="16"/>
      <c r="M286" s="16"/>
      <c r="N286" s="16"/>
      <c r="O286" s="16"/>
      <c r="P286" s="16"/>
      <c r="Q286" s="16"/>
      <c r="R286" s="16"/>
    </row>
    <row r="287" spans="2:18" x14ac:dyDescent="0.25">
      <c r="B287" s="16"/>
      <c r="C287" s="16"/>
      <c r="D287" s="16"/>
      <c r="E287" s="16"/>
      <c r="F287" s="16"/>
      <c r="G287" s="16"/>
      <c r="H287" s="16"/>
      <c r="I287" s="16"/>
      <c r="K287" s="16"/>
      <c r="L287" s="16"/>
      <c r="M287" s="16"/>
      <c r="N287" s="16"/>
      <c r="O287" s="16"/>
      <c r="P287" s="16"/>
      <c r="Q287" s="16"/>
      <c r="R287" s="16"/>
    </row>
    <row r="288" spans="2:18" x14ac:dyDescent="0.25">
      <c r="B288" s="16"/>
      <c r="C288" s="16"/>
      <c r="D288" s="16"/>
      <c r="E288" s="16"/>
      <c r="F288" s="16"/>
      <c r="G288" s="16"/>
      <c r="H288" s="16"/>
      <c r="I288" s="16"/>
      <c r="K288" s="16"/>
      <c r="L288" s="16"/>
      <c r="M288" s="16"/>
      <c r="N288" s="16"/>
      <c r="O288" s="16"/>
      <c r="P288" s="16"/>
      <c r="Q288" s="16"/>
      <c r="R288" s="16"/>
    </row>
    <row r="289" spans="2:18" x14ac:dyDescent="0.25">
      <c r="B289" s="16"/>
      <c r="C289" s="16"/>
      <c r="D289" s="16"/>
      <c r="E289" s="16"/>
      <c r="F289" s="16"/>
      <c r="G289" s="16"/>
      <c r="H289" s="16"/>
      <c r="I289" s="16"/>
      <c r="K289" s="16"/>
      <c r="L289" s="16"/>
      <c r="M289" s="16"/>
      <c r="N289" s="16"/>
      <c r="O289" s="16"/>
      <c r="P289" s="16"/>
      <c r="Q289" s="16"/>
      <c r="R289" s="16"/>
    </row>
    <row r="290" spans="2:18" x14ac:dyDescent="0.25">
      <c r="B290" s="16"/>
      <c r="C290" s="16"/>
      <c r="D290" s="16"/>
      <c r="E290" s="16"/>
      <c r="F290" s="16"/>
      <c r="G290" s="16"/>
      <c r="H290" s="16"/>
      <c r="I290" s="16"/>
      <c r="K290" s="16"/>
      <c r="L290" s="16"/>
      <c r="M290" s="16"/>
      <c r="N290" s="16"/>
      <c r="O290" s="16"/>
      <c r="P290" s="16"/>
      <c r="Q290" s="16"/>
      <c r="R290" s="16"/>
    </row>
    <row r="291" spans="2:18" x14ac:dyDescent="0.25">
      <c r="B291" s="16"/>
      <c r="C291" s="16"/>
      <c r="D291" s="16"/>
      <c r="E291" s="16"/>
      <c r="F291" s="16"/>
      <c r="G291" s="16"/>
      <c r="H291" s="16"/>
      <c r="I291" s="16"/>
      <c r="K291" s="16"/>
      <c r="L291" s="16"/>
      <c r="M291" s="16"/>
      <c r="N291" s="16"/>
      <c r="O291" s="16"/>
      <c r="P291" s="16"/>
      <c r="Q291" s="16"/>
      <c r="R291" s="16"/>
    </row>
    <row r="292" spans="2:18" x14ac:dyDescent="0.25">
      <c r="B292" s="16"/>
      <c r="C292" s="16"/>
      <c r="D292" s="16"/>
      <c r="E292" s="16"/>
      <c r="F292" s="16"/>
      <c r="G292" s="16"/>
      <c r="H292" s="16"/>
      <c r="I292" s="16"/>
      <c r="K292" s="16"/>
      <c r="L292" s="16"/>
      <c r="M292" s="16"/>
      <c r="N292" s="16"/>
      <c r="O292" s="16"/>
      <c r="P292" s="16"/>
      <c r="Q292" s="16"/>
      <c r="R292" s="16"/>
    </row>
    <row r="293" spans="2:18" x14ac:dyDescent="0.25">
      <c r="B293" s="16"/>
      <c r="C293" s="16"/>
      <c r="D293" s="16"/>
      <c r="E293" s="16"/>
      <c r="F293" s="16"/>
      <c r="G293" s="16"/>
      <c r="H293" s="16"/>
      <c r="I293" s="16"/>
      <c r="K293" s="16"/>
      <c r="L293" s="16"/>
      <c r="M293" s="16"/>
      <c r="N293" s="16"/>
      <c r="O293" s="16"/>
      <c r="P293" s="16"/>
      <c r="Q293" s="16"/>
      <c r="R293" s="16"/>
    </row>
    <row r="294" spans="2:18" x14ac:dyDescent="0.25">
      <c r="B294" s="16"/>
      <c r="C294" s="16"/>
      <c r="D294" s="16"/>
      <c r="E294" s="16"/>
      <c r="F294" s="16"/>
      <c r="G294" s="16"/>
      <c r="H294" s="16"/>
      <c r="I294" s="16"/>
      <c r="K294" s="16"/>
      <c r="L294" s="16"/>
      <c r="M294" s="16"/>
      <c r="N294" s="16"/>
      <c r="O294" s="16"/>
      <c r="P294" s="16"/>
      <c r="Q294" s="16"/>
      <c r="R294" s="16"/>
    </row>
    <row r="295" spans="2:18" x14ac:dyDescent="0.25">
      <c r="B295" s="16"/>
      <c r="C295" s="16"/>
      <c r="D295" s="16"/>
      <c r="E295" s="16"/>
      <c r="F295" s="16"/>
      <c r="G295" s="16"/>
      <c r="H295" s="16"/>
      <c r="I295" s="16"/>
      <c r="K295" s="16"/>
      <c r="L295" s="16"/>
      <c r="M295" s="16"/>
      <c r="N295" s="16"/>
      <c r="O295" s="16"/>
      <c r="P295" s="16"/>
      <c r="Q295" s="16"/>
      <c r="R295" s="16"/>
    </row>
    <row r="296" spans="2:18" x14ac:dyDescent="0.25">
      <c r="B296" s="16"/>
      <c r="C296" s="16"/>
      <c r="D296" s="16"/>
      <c r="E296" s="16"/>
      <c r="F296" s="16"/>
      <c r="G296" s="16"/>
      <c r="H296" s="16"/>
      <c r="I296" s="16"/>
      <c r="K296" s="16"/>
      <c r="L296" s="16"/>
      <c r="M296" s="16"/>
      <c r="N296" s="16"/>
      <c r="O296" s="16"/>
      <c r="P296" s="16"/>
      <c r="Q296" s="16"/>
      <c r="R296" s="16"/>
    </row>
    <row r="297" spans="2:18" x14ac:dyDescent="0.25">
      <c r="B297" s="16"/>
      <c r="C297" s="16"/>
      <c r="D297" s="16"/>
      <c r="E297" s="16"/>
      <c r="F297" s="16"/>
      <c r="G297" s="16"/>
      <c r="H297" s="16"/>
      <c r="I297" s="16"/>
      <c r="K297" s="16"/>
      <c r="L297" s="16"/>
      <c r="M297" s="16"/>
      <c r="N297" s="16"/>
      <c r="O297" s="16"/>
      <c r="P297" s="16"/>
      <c r="Q297" s="16"/>
      <c r="R297" s="16"/>
    </row>
    <row r="298" spans="2:18" x14ac:dyDescent="0.25">
      <c r="B298" s="16"/>
      <c r="C298" s="16"/>
      <c r="D298" s="16"/>
      <c r="E298" s="16"/>
      <c r="F298" s="16"/>
      <c r="G298" s="16"/>
      <c r="H298" s="16"/>
      <c r="I298" s="16"/>
      <c r="K298" s="16"/>
      <c r="L298" s="16"/>
      <c r="M298" s="16"/>
      <c r="N298" s="16"/>
      <c r="O298" s="16"/>
      <c r="P298" s="16"/>
      <c r="Q298" s="16"/>
      <c r="R298" s="16"/>
    </row>
    <row r="299" spans="2:18" x14ac:dyDescent="0.25">
      <c r="B299" s="16"/>
      <c r="C299" s="16"/>
      <c r="D299" s="16"/>
      <c r="E299" s="16"/>
      <c r="F299" s="16"/>
      <c r="G299" s="16"/>
      <c r="H299" s="16"/>
      <c r="I299" s="16"/>
      <c r="K299" s="16"/>
      <c r="L299" s="16"/>
      <c r="M299" s="16"/>
      <c r="N299" s="16"/>
      <c r="O299" s="16"/>
      <c r="P299" s="16"/>
      <c r="Q299" s="16"/>
      <c r="R299" s="16"/>
    </row>
    <row r="300" spans="2:18" x14ac:dyDescent="0.25">
      <c r="B300" s="16"/>
      <c r="C300" s="16"/>
      <c r="D300" s="16"/>
      <c r="E300" s="16"/>
      <c r="F300" s="16"/>
      <c r="G300" s="16"/>
      <c r="H300" s="16"/>
      <c r="I300" s="16"/>
      <c r="K300" s="16"/>
      <c r="L300" s="16"/>
      <c r="M300" s="16"/>
      <c r="N300" s="16"/>
      <c r="O300" s="16"/>
      <c r="P300" s="16"/>
      <c r="Q300" s="16"/>
      <c r="R300" s="16"/>
    </row>
    <row r="301" spans="2:18" x14ac:dyDescent="0.25">
      <c r="B301" s="16"/>
      <c r="C301" s="16"/>
      <c r="D301" s="16"/>
      <c r="E301" s="16"/>
      <c r="F301" s="16"/>
      <c r="G301" s="16"/>
      <c r="H301" s="16"/>
      <c r="I301" s="16"/>
      <c r="K301" s="16"/>
      <c r="L301" s="16"/>
      <c r="M301" s="16"/>
      <c r="N301" s="16"/>
      <c r="O301" s="16"/>
      <c r="P301" s="16"/>
      <c r="Q301" s="16"/>
      <c r="R301" s="16"/>
    </row>
    <row r="302" spans="2:18" x14ac:dyDescent="0.25">
      <c r="B302" s="16"/>
      <c r="C302" s="16"/>
      <c r="D302" s="16"/>
      <c r="E302" s="16"/>
      <c r="F302" s="16"/>
      <c r="G302" s="16"/>
      <c r="H302" s="16"/>
      <c r="I302" s="16"/>
      <c r="K302" s="16"/>
      <c r="L302" s="16"/>
      <c r="M302" s="16"/>
      <c r="N302" s="16"/>
      <c r="O302" s="16"/>
      <c r="P302" s="16"/>
      <c r="Q302" s="16"/>
      <c r="R302" s="16"/>
    </row>
    <row r="303" spans="2:18" x14ac:dyDescent="0.25">
      <c r="B303" s="16"/>
      <c r="C303" s="16"/>
      <c r="D303" s="16"/>
      <c r="E303" s="16"/>
      <c r="F303" s="16"/>
      <c r="G303" s="16"/>
      <c r="H303" s="16"/>
      <c r="I303" s="16"/>
      <c r="K303" s="16"/>
      <c r="L303" s="16"/>
      <c r="M303" s="16"/>
      <c r="N303" s="16"/>
      <c r="O303" s="16"/>
      <c r="P303" s="16"/>
      <c r="Q303" s="16"/>
      <c r="R303" s="16"/>
    </row>
    <row r="304" spans="2:18" x14ac:dyDescent="0.25">
      <c r="B304" s="16"/>
      <c r="C304" s="16"/>
      <c r="D304" s="16"/>
      <c r="E304" s="16"/>
      <c r="F304" s="16"/>
      <c r="G304" s="16"/>
      <c r="H304" s="16"/>
      <c r="I304" s="16"/>
      <c r="K304" s="16"/>
      <c r="L304" s="16"/>
      <c r="M304" s="16"/>
      <c r="N304" s="16"/>
      <c r="O304" s="16"/>
      <c r="P304" s="16"/>
      <c r="Q304" s="16"/>
      <c r="R304" s="16"/>
    </row>
    <row r="305" spans="2:18" x14ac:dyDescent="0.25">
      <c r="B305" s="16"/>
      <c r="C305" s="16"/>
      <c r="D305" s="16"/>
      <c r="E305" s="16"/>
      <c r="F305" s="16"/>
      <c r="G305" s="16"/>
      <c r="H305" s="16"/>
      <c r="I305" s="16"/>
      <c r="K305" s="16"/>
      <c r="L305" s="16"/>
      <c r="M305" s="16"/>
      <c r="N305" s="16"/>
      <c r="O305" s="16"/>
      <c r="P305" s="16"/>
      <c r="Q305" s="16"/>
      <c r="R305" s="16"/>
    </row>
    <row r="306" spans="2:18" x14ac:dyDescent="0.25">
      <c r="B306" s="16"/>
      <c r="C306" s="16"/>
      <c r="D306" s="16"/>
      <c r="E306" s="16"/>
      <c r="F306" s="16"/>
      <c r="G306" s="16"/>
      <c r="H306" s="16"/>
      <c r="I306" s="16"/>
      <c r="K306" s="16"/>
      <c r="L306" s="16"/>
      <c r="M306" s="16"/>
      <c r="N306" s="16"/>
      <c r="O306" s="16"/>
      <c r="P306" s="16"/>
      <c r="Q306" s="16"/>
      <c r="R306" s="16"/>
    </row>
    <row r="307" spans="2:18" x14ac:dyDescent="0.25">
      <c r="B307" s="16"/>
      <c r="C307" s="16"/>
      <c r="D307" s="16"/>
      <c r="E307" s="16"/>
      <c r="F307" s="16"/>
      <c r="G307" s="16"/>
      <c r="H307" s="16"/>
      <c r="I307" s="16"/>
      <c r="K307" s="16"/>
      <c r="L307" s="16"/>
      <c r="M307" s="16"/>
      <c r="N307" s="16"/>
      <c r="O307" s="16"/>
      <c r="P307" s="16"/>
      <c r="Q307" s="16"/>
      <c r="R307" s="16"/>
    </row>
    <row r="308" spans="2:18" x14ac:dyDescent="0.25">
      <c r="B308" s="16"/>
      <c r="C308" s="16"/>
      <c r="D308" s="16"/>
      <c r="E308" s="16"/>
      <c r="F308" s="16"/>
      <c r="G308" s="16"/>
      <c r="H308" s="16"/>
      <c r="I308" s="16"/>
      <c r="K308" s="16"/>
      <c r="L308" s="16"/>
      <c r="M308" s="16"/>
      <c r="N308" s="16"/>
      <c r="O308" s="16"/>
      <c r="P308" s="16"/>
      <c r="Q308" s="16"/>
      <c r="R308" s="16"/>
    </row>
    <row r="309" spans="2:18" x14ac:dyDescent="0.25">
      <c r="B309" s="16"/>
      <c r="C309" s="16"/>
      <c r="D309" s="16"/>
      <c r="E309" s="16"/>
      <c r="F309" s="16"/>
      <c r="G309" s="16"/>
      <c r="H309" s="16"/>
      <c r="I309" s="16"/>
      <c r="K309" s="16"/>
      <c r="L309" s="16"/>
      <c r="M309" s="16"/>
      <c r="N309" s="16"/>
      <c r="O309" s="16"/>
      <c r="P309" s="16"/>
      <c r="Q309" s="16"/>
      <c r="R309" s="16"/>
    </row>
    <row r="310" spans="2:18" x14ac:dyDescent="0.25">
      <c r="B310" s="16"/>
      <c r="C310" s="16"/>
      <c r="D310" s="16"/>
      <c r="E310" s="16"/>
      <c r="F310" s="16"/>
      <c r="G310" s="16"/>
      <c r="H310" s="16"/>
      <c r="I310" s="16"/>
      <c r="K310" s="16"/>
      <c r="L310" s="16"/>
      <c r="M310" s="16"/>
      <c r="N310" s="16"/>
      <c r="O310" s="16"/>
      <c r="P310" s="16"/>
      <c r="Q310" s="16"/>
      <c r="R310" s="16"/>
    </row>
    <row r="311" spans="2:18" x14ac:dyDescent="0.25">
      <c r="B311" s="16"/>
      <c r="C311" s="16"/>
      <c r="D311" s="16"/>
      <c r="E311" s="16"/>
      <c r="F311" s="16"/>
      <c r="G311" s="16"/>
      <c r="H311" s="16"/>
      <c r="I311" s="16"/>
      <c r="K311" s="16"/>
      <c r="L311" s="16"/>
      <c r="M311" s="16"/>
      <c r="N311" s="16"/>
      <c r="O311" s="16"/>
      <c r="P311" s="16"/>
      <c r="Q311" s="16"/>
      <c r="R311" s="16"/>
    </row>
    <row r="312" spans="2:18" x14ac:dyDescent="0.25">
      <c r="B312" s="16"/>
      <c r="C312" s="16"/>
      <c r="D312" s="16"/>
      <c r="E312" s="16"/>
      <c r="F312" s="16"/>
      <c r="G312" s="16"/>
      <c r="H312" s="16"/>
      <c r="I312" s="16"/>
      <c r="K312" s="16"/>
      <c r="L312" s="16"/>
      <c r="M312" s="16"/>
      <c r="N312" s="16"/>
      <c r="O312" s="16"/>
      <c r="P312" s="16"/>
      <c r="Q312" s="16"/>
      <c r="R312" s="16"/>
    </row>
    <row r="313" spans="2:18" x14ac:dyDescent="0.25">
      <c r="B313" s="16"/>
      <c r="C313" s="16"/>
      <c r="D313" s="16"/>
      <c r="E313" s="16"/>
      <c r="F313" s="16"/>
      <c r="G313" s="16"/>
      <c r="H313" s="16"/>
      <c r="I313" s="16"/>
      <c r="K313" s="16"/>
      <c r="L313" s="16"/>
      <c r="M313" s="16"/>
      <c r="N313" s="16"/>
      <c r="O313" s="16"/>
      <c r="P313" s="16"/>
      <c r="Q313" s="16"/>
      <c r="R313" s="16"/>
    </row>
    <row r="314" spans="2:18" x14ac:dyDescent="0.25">
      <c r="B314" s="16"/>
      <c r="C314" s="16"/>
      <c r="D314" s="16"/>
      <c r="E314" s="16"/>
      <c r="F314" s="16"/>
      <c r="G314" s="16"/>
      <c r="H314" s="16"/>
      <c r="I314" s="16"/>
      <c r="K314" s="16"/>
      <c r="L314" s="16"/>
      <c r="M314" s="16"/>
      <c r="N314" s="16"/>
      <c r="O314" s="16"/>
      <c r="P314" s="16"/>
      <c r="Q314" s="16"/>
      <c r="R314" s="16"/>
    </row>
    <row r="315" spans="2:18" x14ac:dyDescent="0.25">
      <c r="B315" s="16"/>
      <c r="C315" s="16"/>
      <c r="D315" s="16"/>
      <c r="E315" s="16"/>
      <c r="F315" s="16"/>
      <c r="G315" s="16"/>
      <c r="H315" s="16"/>
      <c r="I315" s="16"/>
      <c r="K315" s="16"/>
      <c r="L315" s="16"/>
      <c r="M315" s="16"/>
      <c r="N315" s="16"/>
      <c r="O315" s="16"/>
      <c r="P315" s="16"/>
      <c r="Q315" s="16"/>
      <c r="R315" s="16"/>
    </row>
    <row r="316" spans="2:18" x14ac:dyDescent="0.25">
      <c r="B316" s="16"/>
      <c r="C316" s="16"/>
      <c r="D316" s="16"/>
      <c r="E316" s="16"/>
      <c r="F316" s="16"/>
      <c r="G316" s="16"/>
      <c r="H316" s="16"/>
      <c r="I316" s="16"/>
      <c r="K316" s="16"/>
      <c r="L316" s="16"/>
      <c r="M316" s="16"/>
      <c r="N316" s="16"/>
      <c r="O316" s="16"/>
      <c r="P316" s="16"/>
      <c r="Q316" s="16"/>
      <c r="R316" s="16"/>
    </row>
    <row r="317" spans="2:18" x14ac:dyDescent="0.25">
      <c r="B317" s="16"/>
      <c r="C317" s="16"/>
      <c r="D317" s="16"/>
      <c r="E317" s="16"/>
      <c r="F317" s="16"/>
      <c r="G317" s="16"/>
      <c r="H317" s="16"/>
      <c r="I317" s="16"/>
      <c r="K317" s="16"/>
      <c r="L317" s="16"/>
      <c r="M317" s="16"/>
      <c r="N317" s="16"/>
      <c r="O317" s="16"/>
      <c r="P317" s="16"/>
      <c r="Q317" s="16"/>
      <c r="R317" s="16"/>
    </row>
    <row r="318" spans="2:18" x14ac:dyDescent="0.25">
      <c r="B318" s="16"/>
      <c r="C318" s="16"/>
      <c r="D318" s="16"/>
      <c r="E318" s="16"/>
      <c r="F318" s="16"/>
      <c r="G318" s="16"/>
      <c r="H318" s="16"/>
      <c r="I318" s="16"/>
      <c r="K318" s="16"/>
      <c r="L318" s="16"/>
      <c r="M318" s="16"/>
      <c r="N318" s="16"/>
      <c r="O318" s="16"/>
      <c r="P318" s="16"/>
      <c r="Q318" s="16"/>
      <c r="R318" s="16"/>
    </row>
    <row r="319" spans="2:18" x14ac:dyDescent="0.25">
      <c r="B319" s="16"/>
      <c r="C319" s="16"/>
      <c r="D319" s="16"/>
      <c r="E319" s="16"/>
      <c r="F319" s="16"/>
      <c r="G319" s="16"/>
      <c r="H319" s="16"/>
      <c r="I319" s="16"/>
      <c r="K319" s="16"/>
      <c r="L319" s="16"/>
      <c r="M319" s="16"/>
      <c r="N319" s="16"/>
      <c r="O319" s="16"/>
      <c r="P319" s="16"/>
      <c r="Q319" s="16"/>
      <c r="R319" s="16"/>
    </row>
    <row r="320" spans="2:18" x14ac:dyDescent="0.25">
      <c r="B320" s="16"/>
      <c r="C320" s="16"/>
      <c r="D320" s="16"/>
      <c r="E320" s="16"/>
      <c r="F320" s="16"/>
      <c r="G320" s="16"/>
      <c r="H320" s="16"/>
      <c r="I320" s="16"/>
      <c r="K320" s="16"/>
      <c r="L320" s="16"/>
      <c r="M320" s="16"/>
      <c r="N320" s="16"/>
      <c r="O320" s="16"/>
      <c r="P320" s="16"/>
      <c r="Q320" s="16"/>
      <c r="R320" s="16"/>
    </row>
    <row r="321" spans="2:18" x14ac:dyDescent="0.25">
      <c r="B321" s="16"/>
      <c r="C321" s="16"/>
      <c r="D321" s="16"/>
      <c r="E321" s="16"/>
      <c r="F321" s="16"/>
      <c r="G321" s="16"/>
      <c r="H321" s="16"/>
      <c r="I321" s="16"/>
      <c r="K321" s="16"/>
      <c r="L321" s="16"/>
      <c r="M321" s="16"/>
      <c r="N321" s="16"/>
      <c r="O321" s="16"/>
      <c r="P321" s="16"/>
      <c r="Q321" s="16"/>
      <c r="R321" s="16"/>
    </row>
    <row r="322" spans="2:18" x14ac:dyDescent="0.25">
      <c r="B322" s="16"/>
      <c r="C322" s="16"/>
      <c r="D322" s="16"/>
      <c r="E322" s="16"/>
      <c r="F322" s="16"/>
      <c r="G322" s="16"/>
      <c r="H322" s="16"/>
      <c r="I322" s="16"/>
      <c r="K322" s="16"/>
      <c r="L322" s="16"/>
      <c r="M322" s="16"/>
      <c r="N322" s="16"/>
      <c r="O322" s="16"/>
      <c r="P322" s="16"/>
      <c r="Q322" s="16"/>
      <c r="R322" s="16"/>
    </row>
    <row r="323" spans="2:18" x14ac:dyDescent="0.25">
      <c r="B323" s="16"/>
      <c r="C323" s="16"/>
      <c r="D323" s="16"/>
      <c r="E323" s="16"/>
      <c r="F323" s="16"/>
      <c r="G323" s="16"/>
      <c r="H323" s="16"/>
      <c r="I323" s="16"/>
      <c r="K323" s="16"/>
      <c r="L323" s="16"/>
      <c r="M323" s="16"/>
      <c r="N323" s="16"/>
      <c r="O323" s="16"/>
      <c r="P323" s="16"/>
      <c r="Q323" s="16"/>
      <c r="R323" s="16"/>
    </row>
    <row r="324" spans="2:18" x14ac:dyDescent="0.25">
      <c r="B324" s="16"/>
      <c r="C324" s="16"/>
      <c r="D324" s="16"/>
      <c r="E324" s="16"/>
      <c r="F324" s="16"/>
      <c r="G324" s="16"/>
      <c r="H324" s="16"/>
      <c r="I324" s="16"/>
      <c r="K324" s="16"/>
      <c r="L324" s="16"/>
      <c r="M324" s="16"/>
      <c r="N324" s="16"/>
      <c r="O324" s="16"/>
      <c r="P324" s="16"/>
      <c r="Q324" s="16"/>
      <c r="R324" s="16"/>
    </row>
    <row r="325" spans="2:18" x14ac:dyDescent="0.25">
      <c r="B325" s="16"/>
      <c r="C325" s="16"/>
      <c r="D325" s="16"/>
      <c r="E325" s="16"/>
      <c r="F325" s="16"/>
      <c r="G325" s="16"/>
      <c r="H325" s="16"/>
      <c r="I325" s="16"/>
      <c r="K325" s="16"/>
      <c r="L325" s="16"/>
      <c r="M325" s="16"/>
      <c r="N325" s="16"/>
      <c r="O325" s="16"/>
      <c r="P325" s="16"/>
      <c r="Q325" s="16"/>
      <c r="R325" s="16"/>
    </row>
  </sheetData>
  <sheetProtection algorithmName="SHA-512" hashValue="KdF95xOsKEVBgiXINkD9JvAllKYc+51d0KhQpVLOVltDPfCw7dOKv/Jzxg+1d0uWlriKU7d9y65E+nXeJH59XA==" saltValue="M/jQVT3/V8hlHCHPwgptgQ==" spinCount="100000" sheet="1" objects="1" scenarios="1" formatColumns="0" formatRows="0" selectLockedCells="1"/>
  <phoneticPr fontId="16" type="noConversion"/>
  <conditionalFormatting sqref="B5:I5 B14:I14 B23:I23 B32:I32 B41:I41 B50:I50">
    <cfRule type="expression" dxfId="220" priority="1">
      <formula>LEFT(B5,LEN($T$13))=$T$13</formula>
    </cfRule>
    <cfRule type="expression" dxfId="219" priority="2">
      <formula>LEFT(B5,LEN($U$13))=$U$13</formula>
    </cfRule>
    <cfRule type="expression" dxfId="218" priority="3">
      <formula>LEFT(B5,LEN($V$13))=$V$13</formula>
    </cfRule>
    <cfRule type="expression" dxfId="217" priority="4">
      <formula>LEFT(B5,LEN($W$13))=$W$13</formula>
    </cfRule>
    <cfRule type="expression" dxfId="216" priority="5">
      <formula>LEFT(B5,LEN($X$13))=$X$13</formula>
    </cfRule>
    <cfRule type="expression" dxfId="215" priority="6">
      <formula>LEFT(B5,LEN($Y$13))=$Y$13</formula>
    </cfRule>
    <cfRule type="expression" dxfId="214" priority="39">
      <formula>LEFT(TEXT(B5,"@"),LEN(TEXT($T$15,"@")))=TEXT($T$15,"@")</formula>
    </cfRule>
    <cfRule type="expression" dxfId="213" priority="40">
      <formula>LEFT(TEXT(B5,"@"),LEN(TEXT($U$15,"@")))=TEXT($U$15,"@")</formula>
    </cfRule>
    <cfRule type="expression" dxfId="212" priority="41">
      <formula>LEFT(TEXT(B5,"@"),LEN(TEXT($V$15,"@")))=TEXT($V$15,"@")</formula>
    </cfRule>
    <cfRule type="expression" dxfId="211" priority="42">
      <formula>LEFT(TEXT(B5,"@"),LEN(TEXT($W$15,"@")))=TEXT($W$15,"@")</formula>
    </cfRule>
    <cfRule type="expression" dxfId="210" priority="43">
      <formula>LEFT(TEXT(B5,"@"),LEN(TEXT($X$15,"@")))=TEXT($X$15,"@")</formula>
    </cfRule>
    <cfRule type="expression" dxfId="209" priority="44">
      <formula>LEFT(TEXT(B5,"@"),LEN(TEXT($Y$15,"@")))=TEXT($Y$15,"@")</formula>
    </cfRule>
  </conditionalFormatting>
  <conditionalFormatting sqref="B6:I6 B15:I15 B24:I24 B33:I33 B42:I42 B51:I51">
    <cfRule type="cellIs" dxfId="208" priority="33" operator="equal">
      <formula>$Y$16</formula>
    </cfRule>
    <cfRule type="cellIs" dxfId="207" priority="34" operator="equal">
      <formula>$X$16</formula>
    </cfRule>
    <cfRule type="cellIs" dxfId="206" priority="35" operator="equal">
      <formula>$W$16</formula>
    </cfRule>
    <cfRule type="cellIs" dxfId="205" priority="36" operator="equal">
      <formula>$V$16</formula>
    </cfRule>
    <cfRule type="cellIs" dxfId="204" priority="37" operator="equal">
      <formula>$U$16</formula>
    </cfRule>
    <cfRule type="cellIs" dxfId="203" priority="38" operator="equal">
      <formula>$T$16</formula>
    </cfRule>
  </conditionalFormatting>
  <conditionalFormatting sqref="B7:I7 B16:I16 B25:I25 B34:I34 B43:I43 B52:I52">
    <cfRule type="cellIs" dxfId="202" priority="26" operator="equal">
      <formula>$Y$17</formula>
    </cfRule>
    <cfRule type="cellIs" dxfId="201" priority="28" operator="equal">
      <formula>$X$17</formula>
    </cfRule>
    <cfRule type="cellIs" dxfId="200" priority="29" operator="equal">
      <formula>$W$17</formula>
    </cfRule>
    <cfRule type="cellIs" dxfId="199" priority="30" operator="equal">
      <formula>$V$17</formula>
    </cfRule>
    <cfRule type="cellIs" dxfId="198" priority="31" operator="equal">
      <formula>$U$17</formula>
    </cfRule>
    <cfRule type="cellIs" dxfId="197" priority="32" operator="equal">
      <formula>$T$17</formula>
    </cfRule>
  </conditionalFormatting>
  <conditionalFormatting sqref="B8:I8 B17:I17 B26:I26 B35:I35 B44:I44 B53:I53">
    <cfRule type="cellIs" dxfId="196" priority="20" operator="equal">
      <formula>$Y$18</formula>
    </cfRule>
    <cfRule type="cellIs" dxfId="195" priority="21" operator="equal">
      <formula>$X$18</formula>
    </cfRule>
    <cfRule type="cellIs" dxfId="194" priority="22" operator="equal">
      <formula>$W$18</formula>
    </cfRule>
    <cfRule type="cellIs" dxfId="193" priority="23" operator="equal">
      <formula>$V$18</formula>
    </cfRule>
    <cfRule type="cellIs" dxfId="192" priority="24" operator="equal">
      <formula>$U$18</formula>
    </cfRule>
    <cfRule type="cellIs" dxfId="191" priority="25" operator="equal">
      <formula>$T$18</formula>
    </cfRule>
  </conditionalFormatting>
  <conditionalFormatting sqref="B9:I9 B18:I18 B27:I27 B54:I54 B45:I45 B36:I36">
    <cfRule type="colorScale" priority="19">
      <colorScale>
        <cfvo type="num" val="$T$4"/>
        <cfvo type="num" val="$T$7"/>
        <cfvo type="num" val="$T$8"/>
        <color theme="0"/>
        <color rgb="FF3C69BA"/>
        <color theme="4" tint="-0.249977111117893"/>
      </colorScale>
    </cfRule>
  </conditionalFormatting>
  <conditionalFormatting sqref="B3:I3 B12:I12 B21:I21 B30:I30 B39:I39 B48:I48">
    <cfRule type="expression" dxfId="190" priority="51">
      <formula>LEFT(TEXT(B3,"@"),LEN(TEXT($Y$13,"@")))=TEXT($Y$13,"@")</formula>
    </cfRule>
    <cfRule type="expression" dxfId="189" priority="52">
      <formula>LEFT(TEXT(B3,"@"),LEN(TEXT($X$13,"@")))=TEXT($X$13,"@")</formula>
    </cfRule>
    <cfRule type="expression" dxfId="188" priority="53">
      <formula>LEFT(TEXT(B3,"@"),LEN(TEXT($W$13,"@")))=TEXT($W$13,"@")</formula>
    </cfRule>
    <cfRule type="expression" dxfId="187" priority="54">
      <formula>LEFT(TEXT(B3,"@"),LEN(TEXT($V$13,"@")))=TEXT($V$13,"@")</formula>
    </cfRule>
    <cfRule type="expression" dxfId="186" priority="55">
      <formula>LEFT(TEXT(B3,"@"),LEN(TEXT($U$13,"@")))=TEXT($U$13,"@")</formula>
    </cfRule>
    <cfRule type="expression" dxfId="185" priority="56">
      <formula>LEFT(TEXT(B3,"@"),LEN(TEXT($T$13,"@")))=TEXT($T$13,"@")</formula>
    </cfRule>
  </conditionalFormatting>
  <conditionalFormatting sqref="B4:I4 B13:I13 B22:I22 B31:I31 B40:I40 B49:I49">
    <cfRule type="cellIs" dxfId="184" priority="45" operator="equal">
      <formula>$Y$14</formula>
    </cfRule>
    <cfRule type="cellIs" dxfId="183" priority="46" operator="equal">
      <formula>$X$14</formula>
    </cfRule>
    <cfRule type="cellIs" dxfId="182" priority="47" operator="equal">
      <formula>$W$14</formula>
    </cfRule>
    <cfRule type="cellIs" dxfId="181" priority="48" operator="equal">
      <formula>$V$14</formula>
    </cfRule>
    <cfRule type="cellIs" dxfId="180" priority="49" operator="equal">
      <formula>$U$14</formula>
    </cfRule>
    <cfRule type="cellIs" dxfId="179" priority="50" operator="equal">
      <formula>$T$14</formula>
    </cfRule>
  </conditionalFormatting>
  <printOptions horizontalCentered="1" verticalCentered="1" gridLines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2" r:id="rId4" name="Button 14">
              <controlPr defaultSize="0" print="0" autoFill="0" autoPict="0" macro="[0]!print_the_tab">
                <anchor>
                  <from>
                    <xdr:col>10</xdr:col>
                    <xdr:colOff>409575</xdr:colOff>
                    <xdr:row>20</xdr:row>
                    <xdr:rowOff>9525</xdr:rowOff>
                  </from>
                  <to>
                    <xdr:col>17</xdr:col>
                    <xdr:colOff>200025</xdr:colOff>
                    <xdr:row>29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5" name="Button 23">
              <controlPr defaultSize="0" print="0" autoFill="0" autoPict="0" macro="[0]!Capture_Name">
                <anchor>
                  <from>
                    <xdr:col>0</xdr:col>
                    <xdr:colOff>152400</xdr:colOff>
                    <xdr:row>0</xdr:row>
                    <xdr:rowOff>28575</xdr:rowOff>
                  </from>
                  <to>
                    <xdr:col>0</xdr:col>
                    <xdr:colOff>876300</xdr:colOff>
                    <xdr:row>0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6" name="Button 24">
              <controlPr defaultSize="0" print="0" autoFill="0" autoPict="0" macro="[0]!Capture_Conc">
                <anchor>
                  <from>
                    <xdr:col>0</xdr:col>
                    <xdr:colOff>933450</xdr:colOff>
                    <xdr:row>0</xdr:row>
                    <xdr:rowOff>28575</xdr:rowOff>
                  </from>
                  <to>
                    <xdr:col>2</xdr:col>
                    <xdr:colOff>133350</xdr:colOff>
                    <xdr:row>0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7" name="Button 25">
              <controlPr defaultSize="0" print="0" autoFill="0" autoPict="0" macro="[0]!Detect_Name">
                <anchor>
                  <from>
                    <xdr:col>2</xdr:col>
                    <xdr:colOff>190500</xdr:colOff>
                    <xdr:row>0</xdr:row>
                    <xdr:rowOff>28575</xdr:rowOff>
                  </from>
                  <to>
                    <xdr:col>3</xdr:col>
                    <xdr:colOff>333375</xdr:colOff>
                    <xdr:row>0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8" name="Button 28">
              <controlPr defaultSize="0" print="0" autoFill="0" autoPict="0" macro="[0]!Sample_Name">
                <anchor>
                  <from>
                    <xdr:col>6</xdr:col>
                    <xdr:colOff>209550</xdr:colOff>
                    <xdr:row>0</xdr:row>
                    <xdr:rowOff>28575</xdr:rowOff>
                  </from>
                  <to>
                    <xdr:col>7</xdr:col>
                    <xdr:colOff>352425</xdr:colOff>
                    <xdr:row>0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9" name="Button 31">
              <controlPr defaultSize="0" print="0" autoFill="0" autoPict="0" macro="[0]!Detect_Conc">
                <anchor>
                  <from>
                    <xdr:col>3</xdr:col>
                    <xdr:colOff>390525</xdr:colOff>
                    <xdr:row>0</xdr:row>
                    <xdr:rowOff>28575</xdr:rowOff>
                  </from>
                  <to>
                    <xdr:col>4</xdr:col>
                    <xdr:colOff>533400</xdr:colOff>
                    <xdr:row>0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0" name="Button 32">
              <controlPr defaultSize="0" print="0" autoFill="0" autoPict="0" macro="[0]!Sample_Diluent">
                <anchor>
                  <from>
                    <xdr:col>5</xdr:col>
                    <xdr:colOff>9525</xdr:colOff>
                    <xdr:row>0</xdr:row>
                    <xdr:rowOff>28575</xdr:rowOff>
                  </from>
                  <to>
                    <xdr:col>6</xdr:col>
                    <xdr:colOff>152400</xdr:colOff>
                    <xdr:row>0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11" name="Button 33">
              <controlPr defaultSize="0" print="0" autoFill="0" autoPict="0" macro="[0]!Sample_Conc">
                <anchor>
                  <from>
                    <xdr:col>7</xdr:col>
                    <xdr:colOff>409575</xdr:colOff>
                    <xdr:row>0</xdr:row>
                    <xdr:rowOff>28575</xdr:rowOff>
                  </from>
                  <to>
                    <xdr:col>8</xdr:col>
                    <xdr:colOff>552450</xdr:colOff>
                    <xdr:row>0</xdr:row>
                    <xdr:rowOff>390525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B7FDD1-9D90-4A2F-B327-92B6E0638D58}">
  <sheetPr codeName="Sheet3"/>
  <dimension ref="A1:LH241"/>
  <sheetViews>
    <sheetView showGridLines="0" showRuler="0" zoomScale="75" zoomScaleNormal="75" workbookViewId="0">
      <selection activeCell="F2" sqref="F2:G2"/>
    </sheetView>
  </sheetViews>
  <sheetFormatPr defaultColWidth="8.5703125" defaultRowHeight="15" x14ac:dyDescent="0.25"/>
  <cols>
    <col min="1" max="1" width="11.42578125" style="147" customWidth="1"/>
    <col min="2" max="2" width="14.28515625" style="1" customWidth="1"/>
    <col min="3" max="3" width="15.7109375" style="1" customWidth="1"/>
    <col min="4" max="4" width="2.85546875" style="1" customWidth="1"/>
    <col min="5" max="5" width="42.85546875" style="146" customWidth="1"/>
    <col min="6" max="6" width="8.5703125" style="146" customWidth="1"/>
    <col min="7" max="7" width="22.85546875" style="146" customWidth="1"/>
    <col min="8" max="14" width="15.7109375" style="146" customWidth="1"/>
    <col min="15" max="15" width="14.5703125" style="146" customWidth="1"/>
    <col min="16" max="16" width="15.7109375" style="146" customWidth="1"/>
    <col min="17" max="17" width="12.28515625" style="146" customWidth="1"/>
    <col min="18" max="18" width="15.7109375" style="146" customWidth="1"/>
    <col min="19" max="19" width="12.28515625" style="146" customWidth="1"/>
    <col min="20" max="20" width="15.7109375" style="17" customWidth="1"/>
    <col min="21" max="21" width="12.28515625" style="17" customWidth="1"/>
    <col min="22" max="22" width="15.7109375" style="17" customWidth="1"/>
    <col min="23" max="23" width="12.28515625" style="17" customWidth="1"/>
    <col min="24" max="24" width="15.7109375" style="17" customWidth="1"/>
    <col min="25" max="25" width="11.85546875" style="17" bestFit="1" customWidth="1"/>
    <col min="26" max="26" width="15.7109375" style="17" customWidth="1"/>
    <col min="27" max="27" width="11.85546875" style="17" bestFit="1" customWidth="1"/>
    <col min="28" max="28" width="15.85546875" style="17" bestFit="1" customWidth="1"/>
    <col min="29" max="29" width="11.85546875" style="60" bestFit="1" customWidth="1"/>
    <col min="30" max="30" width="15.85546875" style="60" bestFit="1" customWidth="1"/>
    <col min="31" max="31" width="10.7109375" style="60" bestFit="1" customWidth="1"/>
    <col min="32" max="32" width="23" style="60" customWidth="1"/>
    <col min="33" max="37" width="10.140625" style="60" customWidth="1"/>
    <col min="38" max="38" width="16" style="60" bestFit="1" customWidth="1"/>
    <col min="39" max="39" width="16.5703125" style="60" bestFit="1" customWidth="1"/>
    <col min="40" max="40" width="15.42578125" style="60" bestFit="1" customWidth="1"/>
    <col min="41" max="41" width="16" style="60" bestFit="1" customWidth="1"/>
    <col min="42" max="50" width="15.42578125" style="60" bestFit="1" customWidth="1"/>
    <col min="51" max="51" width="14.42578125" style="60" bestFit="1" customWidth="1"/>
    <col min="52" max="53" width="15" style="60" bestFit="1" customWidth="1"/>
    <col min="54" max="54" width="15.42578125" style="60" bestFit="1" customWidth="1"/>
    <col min="55" max="56" width="15" style="60" bestFit="1" customWidth="1"/>
    <col min="57" max="58" width="15.42578125" style="60" bestFit="1" customWidth="1"/>
    <col min="59" max="59" width="14.42578125" style="60" bestFit="1" customWidth="1"/>
    <col min="60" max="60" width="15" style="60" bestFit="1" customWidth="1"/>
    <col min="61" max="63" width="14.42578125" style="60" bestFit="1" customWidth="1"/>
    <col min="64" max="64" width="13.85546875" style="60" bestFit="1" customWidth="1"/>
    <col min="65" max="65" width="15" style="60" bestFit="1" customWidth="1"/>
    <col min="66" max="66" width="14" style="60" bestFit="1" customWidth="1"/>
    <col min="67" max="67" width="13.140625" style="60" bestFit="1" customWidth="1"/>
    <col min="68" max="69" width="13.42578125" style="60" bestFit="1" customWidth="1"/>
    <col min="70" max="71" width="13.140625" style="60" bestFit="1" customWidth="1"/>
    <col min="72" max="74" width="13.42578125" style="60" bestFit="1" customWidth="1"/>
    <col min="75" max="75" width="14" style="60" bestFit="1" customWidth="1"/>
    <col min="76" max="76" width="13.42578125" style="60" bestFit="1" customWidth="1"/>
    <col min="77" max="78" width="14" style="60" bestFit="1" customWidth="1"/>
    <col min="79" max="79" width="13.42578125" style="60" bestFit="1" customWidth="1"/>
    <col min="80" max="82" width="14" style="60" bestFit="1" customWidth="1"/>
    <col min="83" max="84" width="13.42578125" style="60" bestFit="1" customWidth="1"/>
    <col min="85" max="86" width="13.140625" style="60" bestFit="1" customWidth="1"/>
    <col min="87" max="87" width="13.42578125" style="60" bestFit="1" customWidth="1"/>
    <col min="88" max="88" width="12" style="60" bestFit="1" customWidth="1"/>
    <col min="89" max="89" width="13.42578125" style="60" bestFit="1" customWidth="1"/>
    <col min="90" max="90" width="13.140625" style="60" bestFit="1" customWidth="1"/>
    <col min="91" max="91" width="13.42578125" style="60" bestFit="1" customWidth="1"/>
    <col min="92" max="92" width="14" style="60" bestFit="1" customWidth="1"/>
    <col min="93" max="93" width="13.42578125" style="60" bestFit="1" customWidth="1"/>
    <col min="94" max="96" width="14" style="60" bestFit="1" customWidth="1"/>
    <col min="97" max="97" width="13.42578125" style="60" bestFit="1" customWidth="1"/>
    <col min="98" max="99" width="14" style="60" bestFit="1" customWidth="1"/>
    <col min="100" max="100" width="13.42578125" style="60" bestFit="1" customWidth="1"/>
    <col min="101" max="101" width="14" style="60" bestFit="1" customWidth="1"/>
    <col min="102" max="102" width="13.42578125" style="60" bestFit="1" customWidth="1"/>
    <col min="103" max="103" width="14" style="60" bestFit="1" customWidth="1"/>
    <col min="104" max="104" width="13.42578125" style="60" bestFit="1" customWidth="1"/>
    <col min="105" max="106" width="14" style="60" bestFit="1" customWidth="1"/>
    <col min="107" max="107" width="13.140625" style="60" bestFit="1" customWidth="1"/>
    <col min="108" max="109" width="12.85546875" style="60" bestFit="1" customWidth="1"/>
    <col min="110" max="110" width="12.42578125" style="60" bestFit="1" customWidth="1"/>
    <col min="111" max="111" width="13.42578125" style="60" bestFit="1" customWidth="1"/>
    <col min="112" max="112" width="13.140625" style="60" bestFit="1" customWidth="1"/>
    <col min="113" max="113" width="13.42578125" style="60" bestFit="1" customWidth="1"/>
    <col min="114" max="118" width="14" style="60" bestFit="1" customWidth="1"/>
    <col min="119" max="120" width="13.42578125" style="60" bestFit="1" customWidth="1"/>
    <col min="121" max="122" width="14" style="60" bestFit="1" customWidth="1"/>
    <col min="123" max="123" width="13.42578125" style="60" bestFit="1" customWidth="1"/>
    <col min="124" max="128" width="14" style="60" bestFit="1" customWidth="1"/>
    <col min="129" max="132" width="13.140625" style="60" bestFit="1" customWidth="1"/>
    <col min="133" max="134" width="13.42578125" style="60" bestFit="1" customWidth="1"/>
    <col min="135" max="135" width="13.140625" style="60" bestFit="1" customWidth="1"/>
    <col min="136" max="136" width="12.85546875" style="60" bestFit="1" customWidth="1"/>
    <col min="137" max="137" width="13.42578125" style="60" bestFit="1" customWidth="1"/>
    <col min="138" max="138" width="14" style="60" bestFit="1" customWidth="1"/>
    <col min="139" max="140" width="13.42578125" style="60" bestFit="1" customWidth="1"/>
    <col min="141" max="143" width="14" style="60" bestFit="1" customWidth="1"/>
    <col min="144" max="145" width="13.42578125" style="60" bestFit="1" customWidth="1"/>
    <col min="146" max="146" width="14" style="60" bestFit="1" customWidth="1"/>
    <col min="147" max="147" width="13.42578125" style="60" bestFit="1" customWidth="1"/>
    <col min="148" max="149" width="14" style="60" bestFit="1" customWidth="1"/>
    <col min="150" max="150" width="13.42578125" style="60" bestFit="1" customWidth="1"/>
    <col min="151" max="153" width="14" style="60" bestFit="1" customWidth="1"/>
    <col min="154" max="158" width="13.42578125" style="60" bestFit="1" customWidth="1"/>
    <col min="159" max="159" width="13.140625" style="60" bestFit="1" customWidth="1"/>
    <col min="160" max="160" width="13.42578125" style="60" bestFit="1" customWidth="1"/>
    <col min="161" max="161" width="13.140625" style="60" bestFit="1" customWidth="1"/>
    <col min="162" max="166" width="14" style="60" bestFit="1" customWidth="1"/>
    <col min="167" max="167" width="13.42578125" style="60" bestFit="1" customWidth="1"/>
    <col min="168" max="168" width="14" style="60" bestFit="1" customWidth="1"/>
    <col min="169" max="169" width="13.42578125" style="60" bestFit="1" customWidth="1"/>
    <col min="170" max="173" width="14" style="60" bestFit="1" customWidth="1"/>
    <col min="174" max="174" width="13.42578125" style="60" bestFit="1" customWidth="1"/>
    <col min="175" max="177" width="14" style="60" bestFit="1" customWidth="1"/>
    <col min="178" max="179" width="13.42578125" style="60" bestFit="1" customWidth="1"/>
    <col min="180" max="180" width="13.140625" style="60" bestFit="1" customWidth="1"/>
    <col min="181" max="184" width="13.42578125" style="60" bestFit="1" customWidth="1"/>
    <col min="185" max="186" width="12.85546875" style="60" bestFit="1" customWidth="1"/>
    <col min="187" max="187" width="13.42578125" style="60" bestFit="1" customWidth="1"/>
    <col min="188" max="191" width="14" style="60" bestFit="1" customWidth="1"/>
    <col min="192" max="193" width="13.42578125" style="60" bestFit="1" customWidth="1"/>
    <col min="194" max="203" width="14" style="60" bestFit="1" customWidth="1"/>
    <col min="204" max="208" width="13.42578125" style="60" bestFit="1" customWidth="1"/>
    <col min="209" max="209" width="13.140625" style="60" bestFit="1" customWidth="1"/>
    <col min="210" max="210" width="13.42578125" style="60" bestFit="1" customWidth="1"/>
    <col min="211" max="227" width="14" style="60" bestFit="1" customWidth="1"/>
    <col min="228" max="232" width="13.42578125" style="60" bestFit="1" customWidth="1"/>
    <col min="233" max="233" width="13.140625" style="60" bestFit="1" customWidth="1"/>
    <col min="234" max="234" width="13.42578125" style="60" bestFit="1" customWidth="1"/>
    <col min="235" max="254" width="14" style="60" bestFit="1" customWidth="1"/>
    <col min="255" max="265" width="13.42578125" style="60" bestFit="1" customWidth="1"/>
    <col min="266" max="320" width="14" style="60" bestFit="1" customWidth="1"/>
    <col min="321" max="16384" width="8.5703125" style="1"/>
  </cols>
  <sheetData>
    <row r="1" spans="1:320" s="17" customFormat="1" ht="23.1" customHeight="1" x14ac:dyDescent="0.35">
      <c r="A1" s="383"/>
      <c r="B1" s="376" t="s">
        <v>125</v>
      </c>
      <c r="C1" s="377"/>
      <c r="D1" s="377"/>
      <c r="E1" s="377"/>
      <c r="F1" s="377"/>
      <c r="G1" s="378"/>
      <c r="H1" s="156"/>
      <c r="I1" s="156"/>
      <c r="J1" s="156"/>
      <c r="K1" s="156"/>
      <c r="L1" s="156"/>
      <c r="M1" s="156"/>
      <c r="N1" s="156"/>
      <c r="O1" s="156"/>
      <c r="P1" s="156"/>
      <c r="Q1" s="156"/>
      <c r="R1" s="156"/>
      <c r="S1" s="156"/>
      <c r="AC1" s="60"/>
      <c r="AD1" s="60"/>
      <c r="AE1" s="60"/>
      <c r="AF1" s="60"/>
      <c r="AG1" s="60"/>
      <c r="AH1" s="60"/>
      <c r="AI1" s="60"/>
      <c r="AJ1" s="60"/>
      <c r="AK1" s="60"/>
      <c r="AL1" s="60"/>
      <c r="AM1" s="60"/>
      <c r="AN1" s="60"/>
      <c r="AO1" s="60"/>
      <c r="AP1" s="60"/>
      <c r="AQ1" s="60"/>
      <c r="AR1" s="60"/>
      <c r="AS1" s="60"/>
      <c r="AT1" s="60"/>
      <c r="AU1" s="60"/>
      <c r="AV1" s="60"/>
      <c r="AW1" s="60"/>
      <c r="AX1" s="60"/>
      <c r="AY1" s="60"/>
      <c r="AZ1" s="60"/>
      <c r="BA1" s="60"/>
      <c r="BB1" s="60"/>
      <c r="BC1" s="60"/>
      <c r="BD1" s="60"/>
      <c r="BE1" s="60"/>
      <c r="BF1" s="60"/>
      <c r="BG1" s="60"/>
      <c r="BH1" s="60"/>
      <c r="BI1" s="60"/>
      <c r="BJ1" s="60"/>
      <c r="BK1" s="60"/>
      <c r="BL1" s="60"/>
      <c r="BM1" s="60"/>
      <c r="BN1" s="60"/>
      <c r="BO1" s="60"/>
      <c r="BP1" s="60"/>
      <c r="BQ1" s="60"/>
      <c r="BR1" s="60"/>
      <c r="BS1" s="60"/>
      <c r="BT1" s="60"/>
      <c r="BU1" s="60"/>
      <c r="BV1" s="60"/>
      <c r="BW1" s="60"/>
      <c r="BX1" s="60"/>
      <c r="BY1" s="60"/>
      <c r="BZ1" s="60"/>
      <c r="CA1" s="60"/>
      <c r="CB1" s="60"/>
      <c r="CC1" s="60"/>
      <c r="CD1" s="60"/>
      <c r="CE1" s="60"/>
      <c r="CF1" s="60"/>
      <c r="CG1" s="60"/>
      <c r="CH1" s="60"/>
      <c r="CI1" s="60"/>
      <c r="CJ1" s="60"/>
      <c r="CK1" s="60"/>
      <c r="CL1" s="60"/>
      <c r="CM1" s="60"/>
      <c r="CN1" s="60"/>
      <c r="CO1" s="60"/>
      <c r="CP1" s="60"/>
      <c r="CQ1" s="60"/>
      <c r="CR1" s="60"/>
      <c r="CS1" s="60"/>
      <c r="CT1" s="60"/>
      <c r="CU1" s="60"/>
      <c r="CV1" s="60"/>
      <c r="CW1" s="60"/>
      <c r="CX1" s="60"/>
      <c r="CY1" s="60"/>
      <c r="CZ1" s="60"/>
      <c r="DA1" s="60"/>
      <c r="DB1" s="60"/>
      <c r="DC1" s="60"/>
      <c r="DD1" s="60"/>
      <c r="DE1" s="60"/>
      <c r="DF1" s="60"/>
      <c r="DG1" s="60"/>
      <c r="DH1" s="60"/>
      <c r="DI1" s="60"/>
      <c r="DJ1" s="60"/>
      <c r="DK1" s="60"/>
      <c r="DL1" s="60"/>
      <c r="DM1" s="60"/>
      <c r="DN1" s="60"/>
      <c r="DO1" s="60"/>
      <c r="DP1" s="60"/>
      <c r="DQ1" s="60"/>
      <c r="DR1" s="60"/>
      <c r="DS1" s="60"/>
      <c r="DT1" s="60"/>
      <c r="DU1" s="60"/>
      <c r="DV1" s="60"/>
      <c r="DW1" s="60"/>
      <c r="DX1" s="60"/>
      <c r="DY1" s="60"/>
      <c r="DZ1" s="60"/>
      <c r="EA1" s="60"/>
      <c r="EB1" s="60"/>
      <c r="EC1" s="60"/>
      <c r="ED1" s="60"/>
      <c r="EE1" s="60"/>
      <c r="EF1" s="60"/>
      <c r="EG1" s="60"/>
      <c r="EH1" s="60"/>
      <c r="EI1" s="60"/>
      <c r="EJ1" s="60"/>
      <c r="EK1" s="60"/>
      <c r="EL1" s="60"/>
      <c r="EM1" s="60"/>
      <c r="EN1" s="60"/>
      <c r="EO1" s="60"/>
      <c r="EP1" s="60"/>
      <c r="EQ1" s="60"/>
      <c r="ER1" s="60"/>
      <c r="ES1" s="60"/>
      <c r="ET1" s="60"/>
      <c r="EU1" s="60"/>
      <c r="EV1" s="60"/>
      <c r="EW1" s="60"/>
      <c r="EX1" s="60"/>
      <c r="EY1" s="60"/>
      <c r="EZ1" s="60"/>
      <c r="FA1" s="60"/>
      <c r="FB1" s="60"/>
      <c r="FC1" s="60"/>
      <c r="FD1" s="60"/>
      <c r="FE1" s="60"/>
      <c r="FF1" s="60"/>
      <c r="FG1" s="60"/>
      <c r="FH1" s="60"/>
      <c r="FI1" s="60"/>
      <c r="FJ1" s="60"/>
      <c r="FK1" s="60"/>
      <c r="FL1" s="60"/>
      <c r="FM1" s="60"/>
      <c r="FN1" s="60"/>
      <c r="FO1" s="60"/>
      <c r="FP1" s="60"/>
      <c r="FQ1" s="60"/>
      <c r="FR1" s="60"/>
      <c r="FS1" s="60"/>
      <c r="FT1" s="60"/>
      <c r="FU1" s="60"/>
      <c r="FV1" s="60"/>
      <c r="FW1" s="60"/>
      <c r="FX1" s="60"/>
      <c r="FY1" s="60"/>
      <c r="FZ1" s="60"/>
      <c r="GA1" s="60"/>
      <c r="GB1" s="60"/>
      <c r="GC1" s="60"/>
      <c r="GD1" s="60"/>
      <c r="GE1" s="60"/>
      <c r="GF1" s="60"/>
      <c r="GG1" s="60"/>
      <c r="GH1" s="60"/>
      <c r="GI1" s="60"/>
      <c r="GJ1" s="60"/>
      <c r="GK1" s="60"/>
      <c r="GL1" s="60"/>
      <c r="GM1" s="60"/>
      <c r="GN1" s="60"/>
      <c r="GO1" s="60"/>
      <c r="GP1" s="60"/>
      <c r="GQ1" s="60"/>
      <c r="GR1" s="60"/>
      <c r="GS1" s="60"/>
      <c r="GT1" s="60"/>
      <c r="GU1" s="60"/>
      <c r="GV1" s="60"/>
      <c r="GW1" s="60"/>
      <c r="GX1" s="60"/>
      <c r="GY1" s="60"/>
      <c r="GZ1" s="60"/>
      <c r="HA1" s="60"/>
      <c r="HB1" s="60"/>
      <c r="HC1" s="60"/>
      <c r="HD1" s="60"/>
      <c r="HE1" s="60"/>
      <c r="HF1" s="60"/>
      <c r="HG1" s="60"/>
      <c r="HH1" s="60"/>
      <c r="HI1" s="60"/>
      <c r="HJ1" s="60"/>
      <c r="HK1" s="60"/>
      <c r="HL1" s="60"/>
      <c r="HM1" s="60"/>
      <c r="HN1" s="60"/>
      <c r="HO1" s="60"/>
      <c r="HP1" s="60"/>
      <c r="HQ1" s="60"/>
      <c r="HR1" s="60"/>
      <c r="HS1" s="60"/>
      <c r="HT1" s="60"/>
      <c r="HU1" s="60"/>
      <c r="HV1" s="60"/>
      <c r="HW1" s="60"/>
      <c r="HX1" s="60"/>
      <c r="HY1" s="60"/>
      <c r="HZ1" s="60"/>
      <c r="IA1" s="60"/>
      <c r="IB1" s="60"/>
      <c r="IC1" s="60"/>
      <c r="ID1" s="60"/>
      <c r="IE1" s="60"/>
      <c r="IF1" s="60"/>
      <c r="IG1" s="60"/>
      <c r="IH1" s="60"/>
      <c r="II1" s="60"/>
      <c r="IJ1" s="60"/>
      <c r="IK1" s="60"/>
      <c r="IL1" s="60"/>
      <c r="IM1" s="60"/>
      <c r="IN1" s="60"/>
      <c r="IO1" s="60"/>
      <c r="IP1" s="60"/>
      <c r="IQ1" s="60"/>
      <c r="IR1" s="60"/>
      <c r="IS1" s="60"/>
      <c r="IT1" s="60"/>
      <c r="IU1" s="60"/>
      <c r="IV1" s="60"/>
      <c r="IW1" s="60"/>
      <c r="IX1" s="60"/>
      <c r="IY1" s="60"/>
      <c r="IZ1" s="60"/>
      <c r="JA1" s="60"/>
      <c r="JB1" s="60"/>
      <c r="JC1" s="60"/>
      <c r="JD1" s="60"/>
      <c r="JE1" s="60"/>
      <c r="JF1" s="60"/>
      <c r="JG1" s="60"/>
      <c r="JH1" s="60"/>
      <c r="JI1" s="60"/>
      <c r="JJ1" s="60"/>
      <c r="JK1" s="60"/>
      <c r="JL1" s="60"/>
      <c r="JM1" s="60"/>
      <c r="JN1" s="60"/>
      <c r="JO1" s="60"/>
      <c r="JP1" s="60"/>
      <c r="JQ1" s="60"/>
      <c r="JR1" s="60"/>
      <c r="JS1" s="60"/>
      <c r="JT1" s="60"/>
      <c r="JU1" s="60"/>
      <c r="JV1" s="60"/>
      <c r="JW1" s="60"/>
      <c r="JX1" s="60"/>
      <c r="JY1" s="60"/>
      <c r="JZ1" s="60"/>
      <c r="KA1" s="60"/>
      <c r="KB1" s="60"/>
      <c r="KC1" s="60"/>
      <c r="KD1" s="60"/>
      <c r="KE1" s="60"/>
      <c r="KF1" s="60"/>
      <c r="KG1" s="60"/>
      <c r="KH1" s="60"/>
      <c r="KI1" s="60"/>
      <c r="KJ1" s="60"/>
      <c r="KK1" s="60"/>
      <c r="KL1" s="60"/>
      <c r="KM1" s="60"/>
      <c r="KN1" s="60"/>
      <c r="KO1" s="60"/>
      <c r="KP1" s="60"/>
      <c r="KQ1" s="60"/>
      <c r="KR1" s="60"/>
      <c r="KS1" s="60"/>
      <c r="KT1" s="60"/>
      <c r="KU1" s="60"/>
      <c r="KV1" s="60"/>
      <c r="KW1" s="60"/>
      <c r="KX1" s="60"/>
      <c r="KY1" s="60"/>
      <c r="KZ1" s="60"/>
      <c r="LA1" s="60"/>
      <c r="LB1" s="60"/>
      <c r="LC1" s="60"/>
      <c r="LD1" s="60"/>
      <c r="LE1" s="60"/>
      <c r="LF1" s="60"/>
      <c r="LG1" s="60"/>
      <c r="LH1" s="60"/>
    </row>
    <row r="2" spans="1:320" s="17" customFormat="1" ht="49.9" customHeight="1" x14ac:dyDescent="0.25">
      <c r="A2" s="383"/>
      <c r="B2" s="386" t="s">
        <v>116</v>
      </c>
      <c r="C2" s="387"/>
      <c r="D2" s="387"/>
      <c r="E2" s="387"/>
      <c r="F2" s="388">
        <v>2000</v>
      </c>
      <c r="G2" s="389"/>
      <c r="H2" s="343" t="s">
        <v>126</v>
      </c>
      <c r="I2" s="344"/>
      <c r="J2" s="344"/>
      <c r="K2" s="315"/>
      <c r="L2" s="315"/>
      <c r="M2" s="315"/>
      <c r="N2" s="315"/>
      <c r="O2" s="156"/>
      <c r="P2" s="156"/>
      <c r="Q2" s="156"/>
      <c r="R2" s="156"/>
      <c r="S2" s="156"/>
      <c r="U2" s="156"/>
      <c r="W2" s="156"/>
      <c r="Y2" s="156"/>
      <c r="AA2" s="156"/>
      <c r="AC2" s="156"/>
      <c r="AE2" s="156"/>
      <c r="AF2" s="60"/>
      <c r="AG2" s="60"/>
      <c r="AH2" s="60"/>
      <c r="AI2" s="60"/>
      <c r="AJ2" s="60"/>
      <c r="AK2" s="60"/>
      <c r="AL2" s="60"/>
      <c r="AM2" s="60"/>
      <c r="AN2" s="60"/>
      <c r="AO2" s="60"/>
      <c r="AP2" s="60"/>
      <c r="AQ2" s="60"/>
      <c r="AR2" s="60"/>
      <c r="AS2" s="60"/>
      <c r="AT2" s="60"/>
      <c r="AU2" s="60"/>
      <c r="AV2" s="60"/>
      <c r="AW2" s="60"/>
      <c r="AX2" s="60"/>
      <c r="AY2" s="60"/>
      <c r="AZ2" s="60"/>
      <c r="BA2" s="60"/>
      <c r="BB2" s="60"/>
      <c r="BC2" s="60"/>
      <c r="BD2" s="60"/>
      <c r="BE2" s="60"/>
      <c r="BF2" s="60"/>
      <c r="BG2" s="60"/>
      <c r="BH2" s="60"/>
      <c r="BI2" s="60"/>
      <c r="BJ2" s="60"/>
      <c r="BK2" s="60"/>
      <c r="BL2" s="60"/>
      <c r="BM2" s="60"/>
      <c r="BN2" s="60"/>
      <c r="BO2" s="60"/>
      <c r="BP2" s="60"/>
      <c r="BQ2" s="60"/>
      <c r="BR2" s="60"/>
      <c r="BS2" s="60"/>
      <c r="BT2" s="60"/>
      <c r="BU2" s="60"/>
      <c r="BV2" s="60"/>
      <c r="BW2" s="60"/>
      <c r="BX2" s="60"/>
      <c r="BY2" s="60"/>
      <c r="BZ2" s="60"/>
      <c r="CA2" s="60"/>
      <c r="CB2" s="60"/>
      <c r="CC2" s="60"/>
      <c r="CD2" s="60"/>
      <c r="CE2" s="60"/>
      <c r="CF2" s="60"/>
      <c r="CG2" s="60"/>
      <c r="CH2" s="60"/>
      <c r="CI2" s="60"/>
      <c r="CJ2" s="60"/>
      <c r="CK2" s="60"/>
      <c r="CL2" s="60"/>
      <c r="CM2" s="60"/>
      <c r="CN2" s="60"/>
      <c r="CO2" s="60"/>
      <c r="CP2" s="60"/>
      <c r="CQ2" s="60"/>
      <c r="CR2" s="60"/>
      <c r="CS2" s="60"/>
      <c r="CT2" s="60"/>
      <c r="CU2" s="60"/>
      <c r="CV2" s="60"/>
      <c r="CW2" s="60"/>
      <c r="CX2" s="60"/>
      <c r="CY2" s="60"/>
      <c r="CZ2" s="60"/>
      <c r="DA2" s="60"/>
      <c r="DB2" s="60"/>
      <c r="DC2" s="60"/>
      <c r="DD2" s="60"/>
      <c r="DE2" s="60"/>
      <c r="DF2" s="60"/>
      <c r="DG2" s="60"/>
      <c r="DH2" s="60"/>
      <c r="DI2" s="60"/>
      <c r="DJ2" s="60"/>
      <c r="DK2" s="60"/>
      <c r="DL2" s="60"/>
      <c r="DM2" s="60"/>
      <c r="DN2" s="60"/>
      <c r="DO2" s="60"/>
      <c r="DP2" s="60"/>
      <c r="DQ2" s="60"/>
      <c r="DR2" s="60"/>
      <c r="DS2" s="60"/>
      <c r="DT2" s="60"/>
      <c r="DU2" s="60"/>
      <c r="DV2" s="60"/>
      <c r="DW2" s="60"/>
      <c r="DX2" s="60"/>
      <c r="DY2" s="60"/>
      <c r="DZ2" s="60"/>
      <c r="EA2" s="60"/>
      <c r="EB2" s="60"/>
      <c r="EC2" s="60"/>
      <c r="ED2" s="60"/>
      <c r="EE2" s="60"/>
      <c r="EF2" s="60"/>
      <c r="EG2" s="60"/>
      <c r="EH2" s="60"/>
      <c r="EI2" s="60"/>
      <c r="EJ2" s="60"/>
      <c r="EK2" s="60"/>
      <c r="EL2" s="60"/>
      <c r="EM2" s="60"/>
      <c r="EN2" s="60"/>
      <c r="EO2" s="60"/>
      <c r="EP2" s="60"/>
      <c r="EQ2" s="60"/>
      <c r="ER2" s="60"/>
      <c r="ES2" s="60"/>
      <c r="ET2" s="60"/>
      <c r="EU2" s="60"/>
      <c r="EV2" s="60"/>
      <c r="EW2" s="60"/>
      <c r="EX2" s="60"/>
      <c r="EY2" s="60"/>
      <c r="EZ2" s="60"/>
      <c r="FA2" s="60"/>
      <c r="FB2" s="60"/>
      <c r="FC2" s="60"/>
      <c r="FD2" s="60"/>
      <c r="FE2" s="60"/>
      <c r="FF2" s="60"/>
      <c r="FG2" s="60"/>
      <c r="FH2" s="60"/>
      <c r="FI2" s="60"/>
      <c r="FJ2" s="60"/>
      <c r="FK2" s="60"/>
      <c r="FL2" s="60"/>
      <c r="FM2" s="60"/>
      <c r="FN2" s="60"/>
      <c r="FO2" s="60"/>
      <c r="FP2" s="60"/>
      <c r="FQ2" s="60"/>
      <c r="FR2" s="60"/>
      <c r="FS2" s="60"/>
      <c r="FT2" s="60"/>
      <c r="FU2" s="60"/>
      <c r="FV2" s="60"/>
      <c r="FW2" s="60"/>
      <c r="FX2" s="60"/>
      <c r="FY2" s="60"/>
      <c r="FZ2" s="60"/>
      <c r="GA2" s="60"/>
      <c r="GB2" s="60"/>
      <c r="GC2" s="60"/>
      <c r="GD2" s="60"/>
      <c r="GE2" s="60"/>
      <c r="GF2" s="60"/>
      <c r="GG2" s="60"/>
      <c r="GH2" s="60"/>
      <c r="GI2" s="60"/>
      <c r="GJ2" s="60"/>
      <c r="GK2" s="60"/>
      <c r="GL2" s="60"/>
      <c r="GM2" s="60"/>
      <c r="GN2" s="60"/>
      <c r="GO2" s="60"/>
      <c r="GP2" s="60"/>
      <c r="GQ2" s="60"/>
      <c r="GR2" s="60"/>
      <c r="GS2" s="60"/>
      <c r="GT2" s="60"/>
      <c r="GU2" s="60"/>
      <c r="GV2" s="60"/>
      <c r="GW2" s="60"/>
      <c r="GX2" s="60"/>
      <c r="GY2" s="60"/>
      <c r="GZ2" s="60"/>
      <c r="HA2" s="60"/>
      <c r="HB2" s="60"/>
      <c r="HC2" s="60"/>
      <c r="HD2" s="60"/>
      <c r="HE2" s="60"/>
      <c r="HF2" s="60"/>
      <c r="HG2" s="60"/>
      <c r="HH2" s="60"/>
      <c r="HI2" s="60"/>
      <c r="HJ2" s="60"/>
      <c r="HK2" s="60"/>
      <c r="HL2" s="60"/>
      <c r="HM2" s="60"/>
      <c r="HN2" s="60"/>
      <c r="HO2" s="60"/>
      <c r="HP2" s="60"/>
      <c r="HQ2" s="60"/>
      <c r="HR2" s="60"/>
      <c r="HS2" s="60"/>
      <c r="HT2" s="60"/>
      <c r="HU2" s="60"/>
      <c r="HV2" s="60"/>
      <c r="HW2" s="60"/>
      <c r="HX2" s="60"/>
      <c r="HY2" s="60"/>
      <c r="HZ2" s="60"/>
      <c r="IA2" s="60"/>
      <c r="IB2" s="60"/>
      <c r="IC2" s="60"/>
      <c r="ID2" s="60"/>
      <c r="IE2" s="60"/>
      <c r="IF2" s="60"/>
      <c r="IG2" s="60"/>
      <c r="IH2" s="60"/>
      <c r="II2" s="60"/>
      <c r="IJ2" s="60"/>
      <c r="IK2" s="60"/>
      <c r="IL2" s="60"/>
      <c r="IM2" s="60"/>
      <c r="IN2" s="60"/>
      <c r="IO2" s="60"/>
      <c r="IP2" s="60"/>
      <c r="IQ2" s="60"/>
      <c r="IR2" s="60"/>
      <c r="IS2" s="60"/>
      <c r="IT2" s="60"/>
      <c r="IU2" s="60"/>
      <c r="IV2" s="60"/>
      <c r="IW2" s="60"/>
      <c r="IX2" s="60"/>
      <c r="IY2" s="60"/>
      <c r="IZ2" s="60"/>
      <c r="JA2" s="60"/>
      <c r="JB2" s="60"/>
      <c r="JC2" s="60"/>
      <c r="JD2" s="60"/>
      <c r="JE2" s="60"/>
      <c r="JF2" s="60"/>
      <c r="JG2" s="60"/>
      <c r="JH2" s="60"/>
      <c r="JI2" s="60"/>
      <c r="JJ2" s="60"/>
      <c r="JK2" s="60"/>
      <c r="JL2" s="60"/>
      <c r="JM2" s="60"/>
      <c r="JN2" s="60"/>
      <c r="JO2" s="60"/>
      <c r="JP2" s="60"/>
      <c r="JQ2" s="60"/>
      <c r="JR2" s="60"/>
      <c r="JS2" s="60"/>
      <c r="JT2" s="60"/>
      <c r="JU2" s="60"/>
      <c r="JV2" s="60"/>
      <c r="JW2" s="60"/>
      <c r="JX2" s="60"/>
      <c r="JY2" s="60"/>
      <c r="JZ2" s="60"/>
      <c r="KA2" s="60"/>
      <c r="KB2" s="60"/>
      <c r="KC2" s="60"/>
      <c r="KD2" s="60"/>
      <c r="KE2" s="60"/>
      <c r="KF2" s="60"/>
      <c r="KG2" s="60"/>
      <c r="KH2" s="60"/>
      <c r="KI2" s="60"/>
      <c r="KJ2" s="60"/>
      <c r="KK2" s="60"/>
      <c r="KL2" s="60"/>
      <c r="KM2" s="60"/>
      <c r="KN2" s="60"/>
      <c r="KO2" s="60"/>
      <c r="KP2" s="60"/>
      <c r="KQ2" s="60"/>
      <c r="KR2" s="60"/>
      <c r="KS2" s="60"/>
      <c r="KT2" s="60"/>
      <c r="KU2" s="60"/>
      <c r="KV2" s="60"/>
      <c r="KW2" s="60"/>
      <c r="KX2" s="60"/>
      <c r="KY2" s="60"/>
      <c r="KZ2" s="60"/>
      <c r="LA2" s="60"/>
      <c r="LB2" s="60"/>
      <c r="LC2" s="60"/>
      <c r="LD2" s="60"/>
      <c r="LE2" s="60"/>
      <c r="LF2" s="60"/>
      <c r="LG2" s="60"/>
      <c r="LH2" s="60"/>
    </row>
    <row r="3" spans="1:320" s="237" customFormat="1" ht="18" customHeight="1" x14ac:dyDescent="0.35">
      <c r="A3" s="383"/>
      <c r="B3" s="390" t="s">
        <v>115</v>
      </c>
      <c r="C3" s="391"/>
      <c r="D3" s="391"/>
      <c r="E3" s="391"/>
      <c r="F3" s="234" t="str">
        <f>"1:"</f>
        <v>1:</v>
      </c>
      <c r="G3" s="235">
        <f>F2/MAX(Create!D15:D20)</f>
        <v>200</v>
      </c>
      <c r="H3" s="236" t="str">
        <f>IF(G3&lt;1, "This dilution is not possible", " ")</f>
        <v xml:space="preserve"> </v>
      </c>
      <c r="AF3" s="238"/>
      <c r="AG3" s="238"/>
      <c r="AH3" s="238"/>
      <c r="AI3" s="238"/>
      <c r="AJ3" s="238"/>
      <c r="AK3" s="238"/>
      <c r="AL3" s="238"/>
      <c r="AM3" s="238"/>
      <c r="AN3" s="238"/>
      <c r="AO3" s="238"/>
      <c r="AP3" s="238"/>
      <c r="AQ3" s="238"/>
      <c r="AR3" s="238"/>
      <c r="AS3" s="238"/>
      <c r="AT3" s="238"/>
      <c r="AU3" s="238"/>
      <c r="AV3" s="238"/>
      <c r="AW3" s="238"/>
      <c r="AX3" s="238"/>
      <c r="AY3" s="238"/>
      <c r="AZ3" s="238"/>
      <c r="BA3" s="238"/>
      <c r="BB3" s="238"/>
      <c r="BC3" s="238"/>
      <c r="BD3" s="238"/>
      <c r="BE3" s="238"/>
      <c r="BF3" s="238"/>
      <c r="BG3" s="238"/>
      <c r="BH3" s="238"/>
      <c r="BI3" s="238"/>
      <c r="BJ3" s="238"/>
      <c r="BK3" s="238"/>
      <c r="BL3" s="238"/>
      <c r="BM3" s="238"/>
      <c r="BN3" s="238"/>
      <c r="BO3" s="238"/>
      <c r="BP3" s="238"/>
      <c r="BQ3" s="238"/>
      <c r="BR3" s="238"/>
      <c r="BS3" s="238"/>
      <c r="BT3" s="238"/>
      <c r="BU3" s="238"/>
      <c r="BV3" s="238"/>
      <c r="BW3" s="238"/>
      <c r="BX3" s="238"/>
      <c r="BY3" s="238"/>
      <c r="BZ3" s="238"/>
      <c r="CA3" s="238"/>
      <c r="CB3" s="238"/>
      <c r="CC3" s="238"/>
      <c r="CD3" s="238"/>
      <c r="CE3" s="238"/>
      <c r="CF3" s="238"/>
      <c r="CG3" s="238"/>
      <c r="CH3" s="238"/>
      <c r="CI3" s="238"/>
      <c r="CJ3" s="238"/>
      <c r="CK3" s="238"/>
      <c r="CL3" s="238"/>
      <c r="CM3" s="238"/>
      <c r="CN3" s="238"/>
      <c r="CO3" s="238"/>
      <c r="CP3" s="238"/>
      <c r="CQ3" s="238"/>
      <c r="CR3" s="238"/>
      <c r="CS3" s="238"/>
      <c r="CT3" s="238"/>
      <c r="CU3" s="238"/>
      <c r="CV3" s="238"/>
      <c r="CW3" s="238"/>
      <c r="CX3" s="238"/>
      <c r="CY3" s="238"/>
      <c r="CZ3" s="238"/>
      <c r="DA3" s="238"/>
      <c r="DB3" s="238"/>
      <c r="DC3" s="238"/>
      <c r="DD3" s="238"/>
      <c r="DE3" s="238"/>
      <c r="DF3" s="238"/>
      <c r="DG3" s="238"/>
      <c r="DH3" s="238"/>
      <c r="DI3" s="238"/>
      <c r="DJ3" s="238"/>
      <c r="DK3" s="238"/>
      <c r="DL3" s="238"/>
      <c r="DM3" s="238"/>
      <c r="DN3" s="238"/>
      <c r="DO3" s="238"/>
      <c r="DP3" s="238"/>
      <c r="DQ3" s="238"/>
      <c r="DR3" s="238"/>
      <c r="DS3" s="238"/>
      <c r="DT3" s="238"/>
      <c r="DU3" s="238"/>
      <c r="DV3" s="238"/>
      <c r="DW3" s="238"/>
      <c r="DX3" s="238"/>
      <c r="DY3" s="238"/>
      <c r="DZ3" s="238"/>
      <c r="EA3" s="238"/>
      <c r="EB3" s="238"/>
      <c r="EC3" s="238"/>
      <c r="ED3" s="238"/>
      <c r="EE3" s="238"/>
      <c r="EF3" s="238"/>
      <c r="EG3" s="238"/>
      <c r="EH3" s="238"/>
      <c r="EI3" s="238"/>
      <c r="EJ3" s="238"/>
      <c r="EK3" s="238"/>
      <c r="EL3" s="238"/>
      <c r="EM3" s="238"/>
      <c r="EN3" s="238"/>
      <c r="EO3" s="238"/>
      <c r="EP3" s="238"/>
      <c r="EQ3" s="238"/>
      <c r="ER3" s="238"/>
      <c r="ES3" s="238"/>
      <c r="ET3" s="238"/>
      <c r="EU3" s="238"/>
      <c r="EV3" s="238"/>
      <c r="EW3" s="238"/>
      <c r="EX3" s="238"/>
      <c r="EY3" s="238"/>
      <c r="EZ3" s="238"/>
      <c r="FA3" s="238"/>
      <c r="FB3" s="238"/>
      <c r="FC3" s="238"/>
      <c r="FD3" s="238"/>
      <c r="FE3" s="238"/>
      <c r="FF3" s="238"/>
      <c r="FG3" s="238"/>
      <c r="FH3" s="238"/>
      <c r="FI3" s="238"/>
      <c r="FJ3" s="238"/>
      <c r="FK3" s="238"/>
      <c r="FL3" s="238"/>
      <c r="FM3" s="238"/>
      <c r="FN3" s="238"/>
      <c r="FO3" s="238"/>
      <c r="FP3" s="238"/>
      <c r="FQ3" s="238"/>
      <c r="FR3" s="238"/>
      <c r="FS3" s="238"/>
      <c r="FT3" s="238"/>
      <c r="FU3" s="238"/>
      <c r="FV3" s="238"/>
      <c r="FW3" s="238"/>
      <c r="FX3" s="238"/>
      <c r="FY3" s="238"/>
      <c r="FZ3" s="238"/>
      <c r="GA3" s="238"/>
      <c r="GB3" s="238"/>
      <c r="GC3" s="238"/>
      <c r="GD3" s="238"/>
      <c r="GE3" s="238"/>
      <c r="GF3" s="238"/>
      <c r="GG3" s="238"/>
      <c r="GH3" s="238"/>
      <c r="GI3" s="238"/>
      <c r="GJ3" s="238"/>
      <c r="GK3" s="238"/>
      <c r="GL3" s="238"/>
      <c r="GM3" s="238"/>
      <c r="GN3" s="238"/>
      <c r="GO3" s="238"/>
      <c r="GP3" s="238"/>
      <c r="GQ3" s="238"/>
      <c r="GR3" s="238"/>
      <c r="GS3" s="238"/>
      <c r="GT3" s="238"/>
      <c r="GU3" s="238"/>
      <c r="GV3" s="238"/>
      <c r="GW3" s="238"/>
      <c r="GX3" s="238"/>
      <c r="GY3" s="238"/>
      <c r="GZ3" s="238"/>
      <c r="HA3" s="238"/>
      <c r="HB3" s="238"/>
      <c r="HC3" s="238"/>
      <c r="HD3" s="238"/>
      <c r="HE3" s="238"/>
      <c r="HF3" s="238"/>
      <c r="HG3" s="238"/>
      <c r="HH3" s="238"/>
      <c r="HI3" s="238"/>
      <c r="HJ3" s="238"/>
      <c r="HK3" s="238"/>
      <c r="HL3" s="238"/>
      <c r="HM3" s="238"/>
      <c r="HN3" s="238"/>
      <c r="HO3" s="238"/>
      <c r="HP3" s="238"/>
      <c r="HQ3" s="238"/>
      <c r="HR3" s="238"/>
      <c r="HS3" s="238"/>
      <c r="HT3" s="238"/>
      <c r="HU3" s="238"/>
      <c r="HV3" s="238"/>
      <c r="HW3" s="238"/>
      <c r="HX3" s="238"/>
      <c r="HY3" s="238"/>
      <c r="HZ3" s="238"/>
      <c r="IA3" s="238"/>
      <c r="IB3" s="238"/>
      <c r="IC3" s="238"/>
      <c r="ID3" s="238"/>
      <c r="IE3" s="238"/>
      <c r="IF3" s="238"/>
      <c r="IG3" s="238"/>
      <c r="IH3" s="238"/>
      <c r="II3" s="238"/>
      <c r="IJ3" s="238"/>
      <c r="IK3" s="238"/>
      <c r="IL3" s="238"/>
      <c r="IM3" s="238"/>
      <c r="IN3" s="238"/>
      <c r="IO3" s="238"/>
      <c r="IP3" s="238"/>
      <c r="IQ3" s="238"/>
      <c r="IR3" s="238"/>
      <c r="IS3" s="238"/>
      <c r="IT3" s="238"/>
      <c r="IU3" s="238"/>
      <c r="IV3" s="238"/>
      <c r="IW3" s="238"/>
      <c r="IX3" s="238"/>
      <c r="IY3" s="238"/>
      <c r="IZ3" s="238"/>
      <c r="JA3" s="238"/>
      <c r="JB3" s="238"/>
      <c r="JC3" s="238"/>
      <c r="JD3" s="238"/>
      <c r="JE3" s="238"/>
      <c r="JF3" s="238"/>
      <c r="JG3" s="238"/>
      <c r="JH3" s="238"/>
      <c r="JI3" s="238"/>
      <c r="JJ3" s="238"/>
      <c r="JK3" s="238"/>
      <c r="JL3" s="238"/>
      <c r="JM3" s="238"/>
      <c r="JN3" s="238"/>
      <c r="JO3" s="238"/>
      <c r="JP3" s="238"/>
      <c r="JQ3" s="238"/>
      <c r="JR3" s="238"/>
      <c r="JS3" s="238"/>
      <c r="JT3" s="238"/>
      <c r="JU3" s="238"/>
      <c r="JV3" s="238"/>
      <c r="JW3" s="238"/>
      <c r="JX3" s="238"/>
      <c r="JY3" s="238"/>
      <c r="JZ3" s="238"/>
      <c r="KA3" s="238"/>
      <c r="KB3" s="238"/>
      <c r="KC3" s="238"/>
      <c r="KD3" s="238"/>
      <c r="KE3" s="238"/>
      <c r="KF3" s="238"/>
      <c r="KG3" s="238"/>
      <c r="KH3" s="238"/>
      <c r="KI3" s="238"/>
      <c r="KJ3" s="238"/>
      <c r="KK3" s="238"/>
      <c r="KL3" s="238"/>
      <c r="KM3" s="238"/>
      <c r="KN3" s="238"/>
      <c r="KO3" s="238"/>
      <c r="KP3" s="238"/>
      <c r="KQ3" s="238"/>
      <c r="KR3" s="238"/>
      <c r="KS3" s="238"/>
      <c r="KT3" s="238"/>
      <c r="KU3" s="238"/>
      <c r="KV3" s="238"/>
      <c r="KW3" s="238"/>
      <c r="KX3" s="238"/>
      <c r="KY3" s="238"/>
      <c r="KZ3" s="238"/>
      <c r="LA3" s="238"/>
      <c r="LB3" s="238"/>
      <c r="LC3" s="238"/>
      <c r="LD3" s="238"/>
      <c r="LE3" s="238"/>
      <c r="LF3" s="238"/>
      <c r="LG3" s="238"/>
      <c r="LH3" s="238"/>
    </row>
    <row r="4" spans="1:320" s="237" customFormat="1" ht="18" customHeight="1" x14ac:dyDescent="0.35">
      <c r="A4" s="383"/>
      <c r="B4" s="390" t="s">
        <v>114</v>
      </c>
      <c r="C4" s="391"/>
      <c r="D4" s="391"/>
      <c r="E4" s="391"/>
      <c r="F4" s="392">
        <f>Create!D15/Create!D16</f>
        <v>3.1622776601683791</v>
      </c>
      <c r="G4" s="393"/>
      <c r="H4" s="233"/>
      <c r="I4" s="167"/>
      <c r="J4" s="167">
        <v>1</v>
      </c>
      <c r="K4" s="247"/>
      <c r="L4" s="167">
        <v>2</v>
      </c>
      <c r="M4" s="167"/>
      <c r="N4" s="167">
        <v>3</v>
      </c>
      <c r="O4" s="191"/>
      <c r="P4" s="191">
        <v>4</v>
      </c>
      <c r="Q4" s="191"/>
      <c r="R4" s="191">
        <v>5</v>
      </c>
      <c r="S4" s="191"/>
      <c r="T4" s="191">
        <v>6</v>
      </c>
      <c r="U4" s="191"/>
      <c r="V4" s="191">
        <v>7</v>
      </c>
      <c r="W4" s="191"/>
      <c r="X4" s="191">
        <v>8</v>
      </c>
      <c r="Y4" s="191"/>
      <c r="Z4" s="191">
        <v>9</v>
      </c>
      <c r="AA4" s="191"/>
      <c r="AB4" s="191">
        <v>10</v>
      </c>
      <c r="AC4" s="191"/>
      <c r="AD4" s="191">
        <v>11</v>
      </c>
      <c r="AE4" s="191"/>
      <c r="AF4" s="248">
        <v>12</v>
      </c>
      <c r="AG4" s="248"/>
      <c r="AH4" s="238"/>
      <c r="AI4" s="238"/>
      <c r="AJ4" s="238"/>
      <c r="AK4" s="238"/>
      <c r="AL4" s="238"/>
      <c r="AM4" s="238"/>
      <c r="AN4" s="238"/>
      <c r="AO4" s="238"/>
      <c r="AP4" s="238"/>
      <c r="AQ4" s="238"/>
      <c r="AR4" s="238"/>
      <c r="AS4" s="238"/>
      <c r="AT4" s="238"/>
      <c r="AU4" s="238"/>
      <c r="AV4" s="238"/>
      <c r="AW4" s="238"/>
      <c r="AX4" s="238"/>
      <c r="AY4" s="238"/>
      <c r="AZ4" s="238"/>
      <c r="BA4" s="238"/>
      <c r="BB4" s="238"/>
      <c r="BC4" s="238"/>
      <c r="BD4" s="238"/>
      <c r="BE4" s="238"/>
      <c r="BF4" s="238"/>
      <c r="BG4" s="238"/>
      <c r="BH4" s="238"/>
      <c r="BI4" s="238"/>
      <c r="BJ4" s="238"/>
      <c r="BK4" s="238"/>
      <c r="BL4" s="238"/>
      <c r="BM4" s="238"/>
      <c r="BN4" s="238"/>
      <c r="BO4" s="238"/>
      <c r="BP4" s="238"/>
      <c r="BQ4" s="238"/>
      <c r="BR4" s="238"/>
      <c r="BS4" s="238"/>
      <c r="BT4" s="238"/>
      <c r="BU4" s="238"/>
      <c r="BV4" s="238"/>
      <c r="BW4" s="238"/>
      <c r="BX4" s="238"/>
      <c r="BY4" s="238"/>
      <c r="BZ4" s="238"/>
      <c r="CA4" s="238"/>
      <c r="CB4" s="238"/>
      <c r="CC4" s="238"/>
      <c r="CD4" s="238"/>
      <c r="CE4" s="238"/>
      <c r="CF4" s="238"/>
      <c r="CG4" s="238"/>
      <c r="CH4" s="238"/>
      <c r="CI4" s="238"/>
      <c r="CJ4" s="238"/>
      <c r="CK4" s="238"/>
      <c r="CL4" s="238"/>
      <c r="CM4" s="238"/>
      <c r="CN4" s="238"/>
      <c r="CO4" s="238"/>
      <c r="CP4" s="238"/>
      <c r="CQ4" s="238"/>
      <c r="CR4" s="238"/>
      <c r="CS4" s="238"/>
      <c r="CT4" s="238"/>
      <c r="CU4" s="238"/>
      <c r="CV4" s="238"/>
      <c r="CW4" s="238"/>
      <c r="CX4" s="238"/>
      <c r="CY4" s="238"/>
      <c r="CZ4" s="238"/>
      <c r="DA4" s="238"/>
      <c r="DB4" s="238"/>
      <c r="DC4" s="238"/>
      <c r="DD4" s="238"/>
      <c r="DE4" s="238"/>
      <c r="DF4" s="238"/>
      <c r="DG4" s="238"/>
      <c r="DH4" s="238"/>
      <c r="DI4" s="238"/>
      <c r="DJ4" s="238"/>
      <c r="DK4" s="238"/>
      <c r="DL4" s="238"/>
      <c r="DM4" s="238"/>
      <c r="DN4" s="238"/>
      <c r="DO4" s="238"/>
      <c r="DP4" s="238"/>
      <c r="DQ4" s="238"/>
      <c r="DR4" s="238"/>
      <c r="DS4" s="238"/>
      <c r="DT4" s="238"/>
      <c r="DU4" s="238"/>
      <c r="DV4" s="238"/>
      <c r="DW4" s="238"/>
      <c r="DX4" s="238"/>
      <c r="DY4" s="238"/>
      <c r="DZ4" s="238"/>
      <c r="EA4" s="238"/>
      <c r="EB4" s="238"/>
      <c r="EC4" s="238"/>
      <c r="ED4" s="238"/>
      <c r="EE4" s="238"/>
      <c r="EF4" s="238"/>
      <c r="EG4" s="238"/>
      <c r="EH4" s="238"/>
      <c r="EI4" s="238"/>
      <c r="EJ4" s="238"/>
      <c r="EK4" s="238"/>
      <c r="EL4" s="238"/>
      <c r="EM4" s="238"/>
      <c r="EN4" s="238"/>
      <c r="EO4" s="238"/>
      <c r="EP4" s="238"/>
      <c r="EQ4" s="238"/>
      <c r="ER4" s="238"/>
      <c r="ES4" s="238"/>
      <c r="ET4" s="238"/>
      <c r="EU4" s="238"/>
      <c r="EV4" s="238"/>
      <c r="EW4" s="238"/>
      <c r="EX4" s="238"/>
      <c r="EY4" s="238"/>
      <c r="EZ4" s="238"/>
      <c r="FA4" s="238"/>
      <c r="FB4" s="238"/>
      <c r="FC4" s="238"/>
      <c r="FD4" s="238"/>
      <c r="FE4" s="238"/>
      <c r="FF4" s="238"/>
      <c r="FG4" s="238"/>
      <c r="FH4" s="238"/>
      <c r="FI4" s="238"/>
      <c r="FJ4" s="238"/>
      <c r="FK4" s="238"/>
      <c r="FL4" s="238"/>
      <c r="FM4" s="238"/>
      <c r="FN4" s="238"/>
      <c r="FO4" s="238"/>
      <c r="FP4" s="238"/>
      <c r="FQ4" s="238"/>
      <c r="FR4" s="238"/>
      <c r="FS4" s="238"/>
      <c r="FT4" s="238"/>
      <c r="FU4" s="238"/>
      <c r="FV4" s="238"/>
      <c r="FW4" s="238"/>
      <c r="FX4" s="238"/>
      <c r="FY4" s="238"/>
      <c r="FZ4" s="238"/>
      <c r="GA4" s="238"/>
      <c r="GB4" s="238"/>
      <c r="GC4" s="238"/>
      <c r="GD4" s="238"/>
      <c r="GE4" s="238"/>
      <c r="GF4" s="238"/>
      <c r="GG4" s="238"/>
      <c r="GH4" s="238"/>
      <c r="GI4" s="238"/>
      <c r="GJ4" s="238"/>
      <c r="GK4" s="238"/>
      <c r="GL4" s="238"/>
      <c r="GM4" s="238"/>
      <c r="GN4" s="238"/>
      <c r="GO4" s="238"/>
      <c r="GP4" s="238"/>
      <c r="GQ4" s="238"/>
      <c r="GR4" s="238"/>
      <c r="GS4" s="238"/>
      <c r="GT4" s="238"/>
      <c r="GU4" s="238"/>
      <c r="GV4" s="238"/>
      <c r="GW4" s="238"/>
      <c r="GX4" s="238"/>
      <c r="GY4" s="238"/>
      <c r="GZ4" s="238"/>
      <c r="HA4" s="238"/>
      <c r="HB4" s="238"/>
      <c r="HC4" s="238"/>
      <c r="HD4" s="238"/>
      <c r="HE4" s="238"/>
      <c r="HF4" s="238"/>
      <c r="HG4" s="238"/>
      <c r="HH4" s="238"/>
      <c r="HI4" s="238"/>
      <c r="HJ4" s="238"/>
      <c r="HK4" s="238"/>
      <c r="HL4" s="238"/>
      <c r="HM4" s="238"/>
      <c r="HN4" s="238"/>
      <c r="HO4" s="238"/>
      <c r="HP4" s="238"/>
      <c r="HQ4" s="238"/>
      <c r="HR4" s="238"/>
      <c r="HS4" s="238"/>
      <c r="HT4" s="238"/>
      <c r="HU4" s="238"/>
      <c r="HV4" s="238"/>
      <c r="HW4" s="238"/>
      <c r="HX4" s="238"/>
      <c r="HY4" s="238"/>
      <c r="HZ4" s="238"/>
      <c r="IA4" s="238"/>
      <c r="IB4" s="238"/>
      <c r="IC4" s="238"/>
      <c r="ID4" s="238"/>
      <c r="IE4" s="238"/>
      <c r="IF4" s="238"/>
      <c r="IG4" s="238"/>
      <c r="IH4" s="238"/>
      <c r="II4" s="238"/>
      <c r="IJ4" s="238"/>
      <c r="IK4" s="238"/>
      <c r="IL4" s="238"/>
      <c r="IM4" s="238"/>
      <c r="IN4" s="238"/>
      <c r="IO4" s="238"/>
      <c r="IP4" s="238"/>
      <c r="IQ4" s="238"/>
      <c r="IR4" s="238"/>
      <c r="IS4" s="238"/>
      <c r="IT4" s="238"/>
      <c r="IU4" s="238"/>
      <c r="IV4" s="238"/>
      <c r="IW4" s="238"/>
      <c r="IX4" s="238"/>
      <c r="IY4" s="238"/>
      <c r="IZ4" s="238"/>
      <c r="JA4" s="238"/>
      <c r="JB4" s="238"/>
      <c r="JC4" s="238"/>
      <c r="JD4" s="238"/>
      <c r="JE4" s="238"/>
      <c r="JF4" s="238"/>
      <c r="JG4" s="238"/>
      <c r="JH4" s="238"/>
      <c r="JI4" s="238"/>
      <c r="JJ4" s="238"/>
      <c r="JK4" s="238"/>
      <c r="JL4" s="238"/>
      <c r="JM4" s="238"/>
      <c r="JN4" s="238"/>
      <c r="JO4" s="238"/>
      <c r="JP4" s="238"/>
      <c r="JQ4" s="238"/>
      <c r="JR4" s="238"/>
      <c r="JS4" s="238"/>
      <c r="JT4" s="238"/>
      <c r="JU4" s="238"/>
      <c r="JV4" s="238"/>
      <c r="JW4" s="238"/>
      <c r="JX4" s="238"/>
      <c r="JY4" s="238"/>
      <c r="JZ4" s="238"/>
      <c r="KA4" s="238"/>
      <c r="KB4" s="238"/>
      <c r="KC4" s="238"/>
      <c r="KD4" s="238"/>
      <c r="KE4" s="238"/>
      <c r="KF4" s="238"/>
      <c r="KG4" s="238"/>
      <c r="KH4" s="238"/>
      <c r="KI4" s="238"/>
      <c r="KJ4" s="238"/>
      <c r="KK4" s="238"/>
      <c r="KL4" s="238"/>
      <c r="KM4" s="238"/>
      <c r="KN4" s="238"/>
      <c r="KO4" s="238"/>
      <c r="KP4" s="238"/>
      <c r="KQ4" s="238"/>
      <c r="KR4" s="238"/>
      <c r="KS4" s="238"/>
      <c r="KT4" s="238"/>
      <c r="KU4" s="238"/>
      <c r="KV4" s="238"/>
      <c r="KW4" s="238"/>
      <c r="KX4" s="238"/>
      <c r="KY4" s="238"/>
      <c r="KZ4" s="238"/>
      <c r="LA4" s="238"/>
      <c r="LB4" s="238"/>
      <c r="LC4" s="238"/>
      <c r="LD4" s="238"/>
      <c r="LE4" s="238"/>
      <c r="LF4" s="238"/>
      <c r="LG4" s="238"/>
      <c r="LH4" s="238"/>
    </row>
    <row r="5" spans="1:320" s="237" customFormat="1" ht="18" customHeight="1" x14ac:dyDescent="0.35">
      <c r="A5" s="383"/>
      <c r="B5" s="390" t="s">
        <v>113</v>
      </c>
      <c r="C5" s="391"/>
      <c r="D5" s="391"/>
      <c r="E5" s="391"/>
      <c r="F5" s="394">
        <f>Create!D6</f>
        <v>3</v>
      </c>
      <c r="G5" s="395"/>
      <c r="H5" s="239"/>
      <c r="I5" s="346" t="str">
        <f>IF(Create!C6 = 1, "Bla", "This whole serial dilution needs to be done " &amp; Create!C6 &amp; " times, once for each Capture.")</f>
        <v>Bla</v>
      </c>
      <c r="J5" s="346"/>
      <c r="K5" s="346"/>
      <c r="L5" s="346"/>
      <c r="M5" s="346"/>
      <c r="N5" s="249"/>
      <c r="O5" s="250"/>
      <c r="P5" s="250"/>
      <c r="Q5" s="250"/>
      <c r="R5" s="249"/>
      <c r="S5" s="249"/>
      <c r="T5" s="248" t="s">
        <v>112</v>
      </c>
      <c r="U5" s="249"/>
      <c r="V5" s="248" t="s">
        <v>112</v>
      </c>
      <c r="W5" s="249"/>
      <c r="X5" s="248" t="s">
        <v>112</v>
      </c>
      <c r="Y5" s="249"/>
      <c r="Z5" s="248" t="s">
        <v>112</v>
      </c>
      <c r="AA5" s="249"/>
      <c r="AB5" s="248" t="s">
        <v>112</v>
      </c>
      <c r="AC5" s="249"/>
      <c r="AD5" s="248" t="s">
        <v>112</v>
      </c>
      <c r="AE5" s="249"/>
      <c r="AF5" s="248"/>
      <c r="AG5" s="248"/>
      <c r="AH5" s="238"/>
      <c r="AI5" s="238"/>
      <c r="AJ5" s="238"/>
      <c r="AK5" s="238"/>
      <c r="AL5" s="238"/>
      <c r="AM5" s="238"/>
      <c r="AN5" s="238"/>
      <c r="AO5" s="238"/>
      <c r="AP5" s="238"/>
      <c r="AQ5" s="238"/>
      <c r="AR5" s="238"/>
      <c r="AS5" s="238"/>
      <c r="AT5" s="238"/>
      <c r="AU5" s="238"/>
      <c r="AV5" s="238"/>
      <c r="AW5" s="238"/>
      <c r="AX5" s="238"/>
      <c r="AY5" s="238"/>
      <c r="AZ5" s="238"/>
      <c r="BA5" s="238"/>
      <c r="BB5" s="238"/>
      <c r="BC5" s="238"/>
      <c r="BD5" s="238"/>
      <c r="BE5" s="238"/>
      <c r="BF5" s="238"/>
      <c r="BG5" s="238"/>
      <c r="BH5" s="238"/>
      <c r="BI5" s="238"/>
      <c r="BJ5" s="238"/>
      <c r="BK5" s="238"/>
      <c r="BL5" s="238"/>
      <c r="BM5" s="238"/>
      <c r="BN5" s="238"/>
      <c r="BO5" s="238"/>
      <c r="BP5" s="238"/>
      <c r="BQ5" s="238"/>
      <c r="BR5" s="238"/>
      <c r="BS5" s="238"/>
      <c r="BT5" s="238"/>
      <c r="BU5" s="238"/>
      <c r="BV5" s="238"/>
      <c r="BW5" s="238"/>
      <c r="BX5" s="238"/>
      <c r="BY5" s="238"/>
      <c r="BZ5" s="238"/>
      <c r="CA5" s="238"/>
      <c r="CB5" s="238"/>
      <c r="CC5" s="238"/>
      <c r="CD5" s="238"/>
      <c r="CE5" s="238"/>
      <c r="CF5" s="238"/>
      <c r="CG5" s="238"/>
      <c r="CH5" s="238"/>
      <c r="CI5" s="238"/>
      <c r="CJ5" s="238"/>
      <c r="CK5" s="238"/>
      <c r="CL5" s="238"/>
      <c r="CM5" s="238"/>
      <c r="CN5" s="238"/>
      <c r="CO5" s="238"/>
      <c r="CP5" s="238"/>
      <c r="CQ5" s="238"/>
      <c r="CR5" s="238"/>
      <c r="CS5" s="238"/>
      <c r="CT5" s="238"/>
      <c r="CU5" s="238"/>
      <c r="CV5" s="238"/>
      <c r="CW5" s="238"/>
      <c r="CX5" s="238"/>
      <c r="CY5" s="238"/>
      <c r="CZ5" s="238"/>
      <c r="DA5" s="238"/>
      <c r="DB5" s="238"/>
      <c r="DC5" s="238"/>
      <c r="DD5" s="238"/>
      <c r="DE5" s="238"/>
      <c r="DF5" s="238"/>
      <c r="DG5" s="238"/>
      <c r="DH5" s="238"/>
      <c r="DI5" s="238"/>
      <c r="DJ5" s="238"/>
      <c r="DK5" s="238"/>
      <c r="DL5" s="238"/>
      <c r="DM5" s="238"/>
      <c r="DN5" s="238"/>
      <c r="DO5" s="238"/>
      <c r="DP5" s="238"/>
      <c r="DQ5" s="238"/>
      <c r="DR5" s="238"/>
      <c r="DS5" s="238"/>
      <c r="DT5" s="238"/>
      <c r="DU5" s="238"/>
      <c r="DV5" s="238"/>
      <c r="DW5" s="238"/>
      <c r="DX5" s="238"/>
      <c r="DY5" s="238"/>
      <c r="DZ5" s="238"/>
      <c r="EA5" s="238"/>
      <c r="EB5" s="238"/>
      <c r="EC5" s="238"/>
      <c r="ED5" s="238"/>
      <c r="EE5" s="238"/>
      <c r="EF5" s="238"/>
      <c r="EG5" s="238"/>
      <c r="EH5" s="238"/>
      <c r="EI5" s="238"/>
      <c r="EJ5" s="238"/>
      <c r="EK5" s="238"/>
      <c r="EL5" s="238"/>
      <c r="EM5" s="238"/>
      <c r="EN5" s="238"/>
      <c r="EO5" s="238"/>
      <c r="EP5" s="238"/>
      <c r="EQ5" s="238"/>
      <c r="ER5" s="238"/>
      <c r="ES5" s="238"/>
      <c r="ET5" s="238"/>
      <c r="EU5" s="238"/>
      <c r="EV5" s="238"/>
      <c r="EW5" s="238"/>
      <c r="EX5" s="238"/>
      <c r="EY5" s="238"/>
      <c r="EZ5" s="238"/>
      <c r="FA5" s="238"/>
      <c r="FB5" s="238"/>
      <c r="FC5" s="238"/>
      <c r="FD5" s="238"/>
      <c r="FE5" s="238"/>
      <c r="FF5" s="238"/>
      <c r="FG5" s="238"/>
      <c r="FH5" s="238"/>
      <c r="FI5" s="238"/>
      <c r="FJ5" s="238"/>
      <c r="FK5" s="238"/>
      <c r="FL5" s="238"/>
      <c r="FM5" s="238"/>
      <c r="FN5" s="238"/>
      <c r="FO5" s="238"/>
      <c r="FP5" s="238"/>
      <c r="FQ5" s="238"/>
      <c r="FR5" s="238"/>
      <c r="FS5" s="238"/>
      <c r="FT5" s="238"/>
      <c r="FU5" s="238"/>
      <c r="FV5" s="238"/>
      <c r="FW5" s="238"/>
      <c r="FX5" s="238"/>
      <c r="FY5" s="238"/>
      <c r="FZ5" s="238"/>
      <c r="GA5" s="238"/>
      <c r="GB5" s="238"/>
      <c r="GC5" s="238"/>
      <c r="GD5" s="238"/>
      <c r="GE5" s="238"/>
      <c r="GF5" s="238"/>
      <c r="GG5" s="238"/>
      <c r="GH5" s="238"/>
      <c r="GI5" s="238"/>
      <c r="GJ5" s="238"/>
      <c r="GK5" s="238"/>
      <c r="GL5" s="238"/>
      <c r="GM5" s="238"/>
      <c r="GN5" s="238"/>
      <c r="GO5" s="238"/>
      <c r="GP5" s="238"/>
      <c r="GQ5" s="238"/>
      <c r="GR5" s="238"/>
      <c r="GS5" s="238"/>
      <c r="GT5" s="238"/>
      <c r="GU5" s="238"/>
      <c r="GV5" s="238"/>
      <c r="GW5" s="238"/>
      <c r="GX5" s="238"/>
      <c r="GY5" s="238"/>
      <c r="GZ5" s="238"/>
      <c r="HA5" s="238"/>
      <c r="HB5" s="238"/>
      <c r="HC5" s="238"/>
      <c r="HD5" s="238"/>
      <c r="HE5" s="238"/>
      <c r="HF5" s="238"/>
      <c r="HG5" s="238"/>
      <c r="HH5" s="238"/>
      <c r="HI5" s="238"/>
      <c r="HJ5" s="238"/>
      <c r="HK5" s="238"/>
      <c r="HL5" s="238"/>
      <c r="HM5" s="238"/>
      <c r="HN5" s="238"/>
      <c r="HO5" s="238"/>
      <c r="HP5" s="238"/>
      <c r="HQ5" s="238"/>
      <c r="HR5" s="238"/>
      <c r="HS5" s="238"/>
      <c r="HT5" s="238"/>
      <c r="HU5" s="238"/>
      <c r="HV5" s="238"/>
      <c r="HW5" s="238"/>
      <c r="HX5" s="238"/>
      <c r="HY5" s="238"/>
      <c r="HZ5" s="238"/>
      <c r="IA5" s="238"/>
      <c r="IB5" s="238"/>
      <c r="IC5" s="238"/>
      <c r="ID5" s="238"/>
      <c r="IE5" s="238"/>
      <c r="IF5" s="238"/>
      <c r="IG5" s="238"/>
      <c r="IH5" s="238"/>
      <c r="II5" s="238"/>
      <c r="IJ5" s="238"/>
      <c r="IK5" s="238"/>
      <c r="IL5" s="238"/>
      <c r="IM5" s="238"/>
      <c r="IN5" s="238"/>
      <c r="IO5" s="238"/>
      <c r="IP5" s="238"/>
      <c r="IQ5" s="238"/>
      <c r="IR5" s="238"/>
      <c r="IS5" s="238"/>
      <c r="IT5" s="238"/>
      <c r="IU5" s="238"/>
      <c r="IV5" s="238"/>
      <c r="IW5" s="238"/>
      <c r="IX5" s="238"/>
      <c r="IY5" s="238"/>
      <c r="IZ5" s="238"/>
      <c r="JA5" s="238"/>
      <c r="JB5" s="238"/>
      <c r="JC5" s="238"/>
      <c r="JD5" s="238"/>
      <c r="JE5" s="238"/>
      <c r="JF5" s="238"/>
      <c r="JG5" s="238"/>
      <c r="JH5" s="238"/>
      <c r="JI5" s="238"/>
      <c r="JJ5" s="238"/>
      <c r="JK5" s="238"/>
      <c r="JL5" s="238"/>
      <c r="JM5" s="238"/>
      <c r="JN5" s="238"/>
      <c r="JO5" s="238"/>
      <c r="JP5" s="238"/>
      <c r="JQ5" s="238"/>
      <c r="JR5" s="238"/>
      <c r="JS5" s="238"/>
      <c r="JT5" s="238"/>
      <c r="JU5" s="238"/>
      <c r="JV5" s="238"/>
      <c r="JW5" s="238"/>
      <c r="JX5" s="238"/>
      <c r="JY5" s="238"/>
      <c r="JZ5" s="238"/>
      <c r="KA5" s="238"/>
      <c r="KB5" s="238"/>
      <c r="KC5" s="238"/>
      <c r="KD5" s="238"/>
      <c r="KE5" s="238"/>
      <c r="KF5" s="238"/>
      <c r="KG5" s="238"/>
      <c r="KH5" s="238"/>
      <c r="KI5" s="238"/>
      <c r="KJ5" s="238"/>
      <c r="KK5" s="238"/>
      <c r="KL5" s="238"/>
      <c r="KM5" s="238"/>
      <c r="KN5" s="238"/>
      <c r="KO5" s="238"/>
      <c r="KP5" s="238"/>
      <c r="KQ5" s="238"/>
      <c r="KR5" s="238"/>
      <c r="KS5" s="238"/>
      <c r="KT5" s="238"/>
      <c r="KU5" s="238"/>
      <c r="KV5" s="238"/>
      <c r="KW5" s="238"/>
      <c r="KX5" s="238"/>
      <c r="KY5" s="238"/>
      <c r="KZ5" s="238"/>
      <c r="LA5" s="238"/>
      <c r="LB5" s="238"/>
      <c r="LC5" s="238"/>
      <c r="LD5" s="238"/>
      <c r="LE5" s="238"/>
      <c r="LF5" s="238"/>
      <c r="LG5" s="238"/>
      <c r="LH5" s="238"/>
    </row>
    <row r="6" spans="1:320" s="237" customFormat="1" ht="18" customHeight="1" x14ac:dyDescent="0.35">
      <c r="A6" s="383"/>
      <c r="B6" s="390" t="str">
        <f>IF(F25="on","how many wells for dilution 1 :","how many wells for each dilutions :")</f>
        <v>how many wells for each dilutions :</v>
      </c>
      <c r="C6" s="391"/>
      <c r="D6" s="391"/>
      <c r="E6" s="391"/>
      <c r="F6" s="394">
        <f>ROUNDUP(((Create!D7*Create!D8)/Create!C6)*1.2,0)</f>
        <v>20</v>
      </c>
      <c r="G6" s="395"/>
      <c r="H6" s="239"/>
      <c r="I6" s="346"/>
      <c r="J6" s="346"/>
      <c r="K6" s="346"/>
      <c r="L6" s="346"/>
      <c r="M6" s="346"/>
      <c r="N6" s="249"/>
      <c r="O6" s="250"/>
      <c r="P6" s="250"/>
      <c r="Q6" s="250"/>
      <c r="R6" s="249"/>
      <c r="S6" s="249"/>
      <c r="T6" s="248"/>
      <c r="U6" s="249"/>
      <c r="V6" s="248"/>
      <c r="W6" s="249"/>
      <c r="X6" s="248"/>
      <c r="Y6" s="249"/>
      <c r="Z6" s="248"/>
      <c r="AA6" s="249"/>
      <c r="AB6" s="248"/>
      <c r="AC6" s="249"/>
      <c r="AD6" s="248"/>
      <c r="AE6" s="249"/>
      <c r="AF6" s="248"/>
      <c r="AG6" s="248"/>
      <c r="AH6" s="238"/>
      <c r="AI6" s="238"/>
      <c r="AJ6" s="238"/>
      <c r="AK6" s="238"/>
      <c r="AL6" s="238"/>
      <c r="AM6" s="238"/>
      <c r="AN6" s="238"/>
      <c r="AO6" s="238"/>
      <c r="AP6" s="238"/>
      <c r="AQ6" s="238"/>
      <c r="AR6" s="238"/>
      <c r="AS6" s="238"/>
      <c r="AT6" s="238"/>
      <c r="AU6" s="238"/>
      <c r="AV6" s="238"/>
      <c r="AW6" s="238"/>
      <c r="AX6" s="238"/>
      <c r="AY6" s="238"/>
      <c r="AZ6" s="238"/>
      <c r="BA6" s="238"/>
      <c r="BB6" s="238"/>
      <c r="BC6" s="238"/>
      <c r="BD6" s="238"/>
      <c r="BE6" s="238"/>
      <c r="BF6" s="238"/>
      <c r="BG6" s="238"/>
      <c r="BH6" s="238"/>
      <c r="BI6" s="238"/>
      <c r="BJ6" s="238"/>
      <c r="BK6" s="238"/>
      <c r="BL6" s="238"/>
      <c r="BM6" s="238"/>
      <c r="BN6" s="238"/>
      <c r="BO6" s="238"/>
      <c r="BP6" s="238"/>
      <c r="BQ6" s="238"/>
      <c r="BR6" s="238"/>
      <c r="BS6" s="238"/>
      <c r="BT6" s="238"/>
      <c r="BU6" s="238"/>
      <c r="BV6" s="238"/>
      <c r="BW6" s="238"/>
      <c r="BX6" s="238"/>
      <c r="BY6" s="238"/>
      <c r="BZ6" s="238"/>
      <c r="CA6" s="238"/>
      <c r="CB6" s="238"/>
      <c r="CC6" s="238"/>
      <c r="CD6" s="238"/>
      <c r="CE6" s="238"/>
      <c r="CF6" s="238"/>
      <c r="CG6" s="238"/>
      <c r="CH6" s="238"/>
      <c r="CI6" s="238"/>
      <c r="CJ6" s="238"/>
      <c r="CK6" s="238"/>
      <c r="CL6" s="238"/>
      <c r="CM6" s="238"/>
      <c r="CN6" s="238"/>
      <c r="CO6" s="238"/>
      <c r="CP6" s="238"/>
      <c r="CQ6" s="238"/>
      <c r="CR6" s="238"/>
      <c r="CS6" s="238"/>
      <c r="CT6" s="238"/>
      <c r="CU6" s="238"/>
      <c r="CV6" s="238"/>
      <c r="CW6" s="238"/>
      <c r="CX6" s="238"/>
      <c r="CY6" s="238"/>
      <c r="CZ6" s="238"/>
      <c r="DA6" s="238"/>
      <c r="DB6" s="238"/>
      <c r="DC6" s="238"/>
      <c r="DD6" s="238"/>
      <c r="DE6" s="238"/>
      <c r="DF6" s="238"/>
      <c r="DG6" s="238"/>
      <c r="DH6" s="238"/>
      <c r="DI6" s="238"/>
      <c r="DJ6" s="238"/>
      <c r="DK6" s="238"/>
      <c r="DL6" s="238"/>
      <c r="DM6" s="238"/>
      <c r="DN6" s="238"/>
      <c r="DO6" s="238"/>
      <c r="DP6" s="238"/>
      <c r="DQ6" s="238"/>
      <c r="DR6" s="238"/>
      <c r="DS6" s="238"/>
      <c r="DT6" s="238"/>
      <c r="DU6" s="238"/>
      <c r="DV6" s="238"/>
      <c r="DW6" s="238"/>
      <c r="DX6" s="238"/>
      <c r="DY6" s="238"/>
      <c r="DZ6" s="238"/>
      <c r="EA6" s="238"/>
      <c r="EB6" s="238"/>
      <c r="EC6" s="238"/>
      <c r="ED6" s="238"/>
      <c r="EE6" s="238"/>
      <c r="EF6" s="238"/>
      <c r="EG6" s="238"/>
      <c r="EH6" s="238"/>
      <c r="EI6" s="238"/>
      <c r="EJ6" s="238"/>
      <c r="EK6" s="238"/>
      <c r="EL6" s="238"/>
      <c r="EM6" s="238"/>
      <c r="EN6" s="238"/>
      <c r="EO6" s="238"/>
      <c r="EP6" s="238"/>
      <c r="EQ6" s="238"/>
      <c r="ER6" s="238"/>
      <c r="ES6" s="238"/>
      <c r="ET6" s="238"/>
      <c r="EU6" s="238"/>
      <c r="EV6" s="238"/>
      <c r="EW6" s="238"/>
      <c r="EX6" s="238"/>
      <c r="EY6" s="238"/>
      <c r="EZ6" s="238"/>
      <c r="FA6" s="238"/>
      <c r="FB6" s="238"/>
      <c r="FC6" s="238"/>
      <c r="FD6" s="238"/>
      <c r="FE6" s="238"/>
      <c r="FF6" s="238"/>
      <c r="FG6" s="238"/>
      <c r="FH6" s="238"/>
      <c r="FI6" s="238"/>
      <c r="FJ6" s="238"/>
      <c r="FK6" s="238"/>
      <c r="FL6" s="238"/>
      <c r="FM6" s="238"/>
      <c r="FN6" s="238"/>
      <c r="FO6" s="238"/>
      <c r="FP6" s="238"/>
      <c r="FQ6" s="238"/>
      <c r="FR6" s="238"/>
      <c r="FS6" s="238"/>
      <c r="FT6" s="238"/>
      <c r="FU6" s="238"/>
      <c r="FV6" s="238"/>
      <c r="FW6" s="238"/>
      <c r="FX6" s="238"/>
      <c r="FY6" s="238"/>
      <c r="FZ6" s="238"/>
      <c r="GA6" s="238"/>
      <c r="GB6" s="238"/>
      <c r="GC6" s="238"/>
      <c r="GD6" s="238"/>
      <c r="GE6" s="238"/>
      <c r="GF6" s="238"/>
      <c r="GG6" s="238"/>
      <c r="GH6" s="238"/>
      <c r="GI6" s="238"/>
      <c r="GJ6" s="238"/>
      <c r="GK6" s="238"/>
      <c r="GL6" s="238"/>
      <c r="GM6" s="238"/>
      <c r="GN6" s="238"/>
      <c r="GO6" s="238"/>
      <c r="GP6" s="238"/>
      <c r="GQ6" s="238"/>
      <c r="GR6" s="238"/>
      <c r="GS6" s="238"/>
      <c r="GT6" s="238"/>
      <c r="GU6" s="238"/>
      <c r="GV6" s="238"/>
      <c r="GW6" s="238"/>
      <c r="GX6" s="238"/>
      <c r="GY6" s="238"/>
      <c r="GZ6" s="238"/>
      <c r="HA6" s="238"/>
      <c r="HB6" s="238"/>
      <c r="HC6" s="238"/>
      <c r="HD6" s="238"/>
      <c r="HE6" s="238"/>
      <c r="HF6" s="238"/>
      <c r="HG6" s="238"/>
      <c r="HH6" s="238"/>
      <c r="HI6" s="238"/>
      <c r="HJ6" s="238"/>
      <c r="HK6" s="238"/>
      <c r="HL6" s="238"/>
      <c r="HM6" s="238"/>
      <c r="HN6" s="238"/>
      <c r="HO6" s="238"/>
      <c r="HP6" s="238"/>
      <c r="HQ6" s="238"/>
      <c r="HR6" s="238"/>
      <c r="HS6" s="238"/>
      <c r="HT6" s="238"/>
      <c r="HU6" s="238"/>
      <c r="HV6" s="238"/>
      <c r="HW6" s="238"/>
      <c r="HX6" s="238"/>
      <c r="HY6" s="238"/>
      <c r="HZ6" s="238"/>
      <c r="IA6" s="238"/>
      <c r="IB6" s="238"/>
      <c r="IC6" s="238"/>
      <c r="ID6" s="238"/>
      <c r="IE6" s="238"/>
      <c r="IF6" s="238"/>
      <c r="IG6" s="238"/>
      <c r="IH6" s="238"/>
      <c r="II6" s="238"/>
      <c r="IJ6" s="238"/>
      <c r="IK6" s="238"/>
      <c r="IL6" s="238"/>
      <c r="IM6" s="238"/>
      <c r="IN6" s="238"/>
      <c r="IO6" s="238"/>
      <c r="IP6" s="238"/>
      <c r="IQ6" s="238"/>
      <c r="IR6" s="238"/>
      <c r="IS6" s="238"/>
      <c r="IT6" s="238"/>
      <c r="IU6" s="238"/>
      <c r="IV6" s="238"/>
      <c r="IW6" s="238"/>
      <c r="IX6" s="238"/>
      <c r="IY6" s="238"/>
      <c r="IZ6" s="238"/>
      <c r="JA6" s="238"/>
      <c r="JB6" s="238"/>
      <c r="JC6" s="238"/>
      <c r="JD6" s="238"/>
      <c r="JE6" s="238"/>
      <c r="JF6" s="238"/>
      <c r="JG6" s="238"/>
      <c r="JH6" s="238"/>
      <c r="JI6" s="238"/>
      <c r="JJ6" s="238"/>
      <c r="JK6" s="238"/>
      <c r="JL6" s="238"/>
      <c r="JM6" s="238"/>
      <c r="JN6" s="238"/>
      <c r="JO6" s="238"/>
      <c r="JP6" s="238"/>
      <c r="JQ6" s="238"/>
      <c r="JR6" s="238"/>
      <c r="JS6" s="238"/>
      <c r="JT6" s="238"/>
      <c r="JU6" s="238"/>
      <c r="JV6" s="238"/>
      <c r="JW6" s="238"/>
      <c r="JX6" s="238"/>
      <c r="JY6" s="238"/>
      <c r="JZ6" s="238"/>
      <c r="KA6" s="238"/>
      <c r="KB6" s="238"/>
      <c r="KC6" s="238"/>
      <c r="KD6" s="238"/>
      <c r="KE6" s="238"/>
      <c r="KF6" s="238"/>
      <c r="KG6" s="238"/>
      <c r="KH6" s="238"/>
      <c r="KI6" s="238"/>
      <c r="KJ6" s="238"/>
      <c r="KK6" s="238"/>
      <c r="KL6" s="238"/>
      <c r="KM6" s="238"/>
      <c r="KN6" s="238"/>
      <c r="KO6" s="238"/>
      <c r="KP6" s="238"/>
      <c r="KQ6" s="238"/>
      <c r="KR6" s="238"/>
      <c r="KS6" s="238"/>
      <c r="KT6" s="238"/>
      <c r="KU6" s="238"/>
      <c r="KV6" s="238"/>
      <c r="KW6" s="238"/>
      <c r="KX6" s="238"/>
      <c r="KY6" s="238"/>
      <c r="KZ6" s="238"/>
      <c r="LA6" s="238"/>
      <c r="LB6" s="238"/>
      <c r="LC6" s="238"/>
      <c r="LD6" s="238"/>
      <c r="LE6" s="238"/>
      <c r="LF6" s="238"/>
      <c r="LG6" s="238"/>
      <c r="LH6" s="238"/>
    </row>
    <row r="7" spans="1:320" ht="37.5" customHeight="1" thickBot="1" x14ac:dyDescent="0.3">
      <c r="A7" s="383"/>
      <c r="B7" s="398" t="s">
        <v>111</v>
      </c>
      <c r="C7" s="399"/>
      <c r="D7" s="399"/>
      <c r="E7" s="399"/>
      <c r="F7" s="400">
        <v>50</v>
      </c>
      <c r="G7" s="401"/>
      <c r="H7" s="201"/>
      <c r="I7" s="346"/>
      <c r="J7" s="346"/>
      <c r="K7" s="346"/>
      <c r="L7" s="346"/>
      <c r="M7" s="346"/>
      <c r="N7" s="160"/>
      <c r="O7" s="148"/>
      <c r="P7" s="148"/>
      <c r="Q7" s="148"/>
      <c r="R7" s="160"/>
      <c r="S7" s="160"/>
      <c r="T7" s="60"/>
      <c r="U7" s="160"/>
      <c r="V7" s="60"/>
      <c r="W7" s="160"/>
      <c r="X7" s="60"/>
      <c r="Y7" s="160"/>
      <c r="Z7" s="60"/>
      <c r="AA7" s="160"/>
      <c r="AB7" s="60"/>
      <c r="AC7" s="160"/>
      <c r="AE7" s="160"/>
    </row>
    <row r="8" spans="1:320" ht="16.5" customHeight="1" x14ac:dyDescent="0.25">
      <c r="A8" s="384"/>
      <c r="B8" s="362"/>
      <c r="C8" s="362"/>
      <c r="D8" s="362"/>
      <c r="E8" s="362"/>
      <c r="F8" s="369"/>
      <c r="G8" s="369"/>
      <c r="J8" s="200"/>
      <c r="K8" s="200"/>
      <c r="O8" s="156"/>
      <c r="P8" s="156"/>
      <c r="Q8" s="156"/>
      <c r="T8" s="60"/>
      <c r="U8" s="146"/>
      <c r="V8" s="60"/>
      <c r="W8" s="146"/>
      <c r="X8" s="60"/>
      <c r="Y8" s="146"/>
      <c r="Z8" s="60"/>
      <c r="AA8" s="146"/>
      <c r="AB8" s="60"/>
      <c r="AC8" s="146"/>
      <c r="AE8" s="146"/>
    </row>
    <row r="9" spans="1:320" s="17" customFormat="1" ht="48.75" customHeight="1" thickBot="1" x14ac:dyDescent="0.3">
      <c r="A9" s="385"/>
      <c r="B9" s="396"/>
      <c r="C9" s="397"/>
      <c r="D9" s="397"/>
      <c r="E9" s="397"/>
      <c r="F9" s="397"/>
      <c r="G9" s="397"/>
      <c r="H9" s="397"/>
      <c r="I9" s="397"/>
      <c r="J9" s="397"/>
      <c r="K9" s="188"/>
      <c r="L9" s="188"/>
      <c r="M9" s="188"/>
      <c r="N9" s="188"/>
      <c r="O9" s="188"/>
      <c r="P9" s="188"/>
      <c r="Q9" s="188"/>
      <c r="R9" s="156"/>
      <c r="S9" s="156"/>
      <c r="T9" s="187"/>
      <c r="U9" s="156"/>
      <c r="V9" s="187"/>
      <c r="W9" s="156"/>
      <c r="X9" s="187"/>
      <c r="Y9" s="156"/>
      <c r="Z9" s="187"/>
      <c r="AA9" s="156"/>
      <c r="AB9" s="187"/>
      <c r="AC9" s="156"/>
      <c r="AD9" s="187"/>
      <c r="AE9" s="156"/>
      <c r="AF9" s="60"/>
      <c r="AG9" s="60"/>
      <c r="AH9" s="60"/>
      <c r="AI9" s="60"/>
      <c r="AJ9" s="60"/>
      <c r="AK9" s="60"/>
      <c r="AL9" s="60"/>
      <c r="AM9" s="60"/>
      <c r="AN9" s="60"/>
      <c r="AO9" s="60"/>
      <c r="AP9" s="60"/>
      <c r="AQ9" s="60"/>
      <c r="AR9" s="60"/>
      <c r="AS9" s="60"/>
      <c r="AT9" s="60"/>
      <c r="AU9" s="60"/>
      <c r="AV9" s="60"/>
      <c r="AW9" s="60"/>
      <c r="AX9" s="60"/>
      <c r="AY9" s="60"/>
      <c r="AZ9" s="60"/>
      <c r="BA9" s="60"/>
      <c r="BB9" s="60"/>
      <c r="BC9" s="60"/>
      <c r="BD9" s="60"/>
      <c r="BE9" s="60"/>
      <c r="BF9" s="60"/>
      <c r="BG9" s="60"/>
      <c r="BH9" s="60"/>
      <c r="BI9" s="60"/>
      <c r="BJ9" s="60"/>
      <c r="BK9" s="60"/>
      <c r="BL9" s="60"/>
      <c r="BM9" s="60"/>
      <c r="BN9" s="60"/>
      <c r="BO9" s="60"/>
      <c r="BP9" s="60"/>
      <c r="BQ9" s="60"/>
      <c r="BR9" s="60"/>
      <c r="BS9" s="60"/>
      <c r="BT9" s="60"/>
      <c r="BU9" s="60"/>
      <c r="BV9" s="60"/>
      <c r="BW9" s="60"/>
      <c r="BX9" s="60"/>
      <c r="BY9" s="60"/>
      <c r="BZ9" s="60"/>
      <c r="CA9" s="60"/>
      <c r="CB9" s="60"/>
      <c r="CC9" s="60"/>
      <c r="CD9" s="60"/>
      <c r="CE9" s="60"/>
      <c r="CF9" s="60"/>
      <c r="CG9" s="60"/>
      <c r="CH9" s="60"/>
      <c r="CI9" s="60"/>
      <c r="CJ9" s="60"/>
      <c r="CK9" s="60"/>
      <c r="CL9" s="60"/>
      <c r="CM9" s="60"/>
      <c r="CN9" s="60"/>
      <c r="CO9" s="60"/>
      <c r="CP9" s="60"/>
      <c r="CQ9" s="60"/>
      <c r="CR9" s="60"/>
      <c r="CS9" s="60"/>
      <c r="CT9" s="60"/>
      <c r="CU9" s="60"/>
      <c r="CV9" s="60"/>
      <c r="CW9" s="60"/>
      <c r="CX9" s="60"/>
      <c r="CY9" s="60"/>
      <c r="CZ9" s="60"/>
      <c r="DA9" s="60"/>
      <c r="DB9" s="60"/>
      <c r="DC9" s="60"/>
      <c r="DD9" s="60"/>
      <c r="DE9" s="60"/>
      <c r="DF9" s="60"/>
      <c r="DG9" s="60"/>
      <c r="DH9" s="60"/>
      <c r="DI9" s="60"/>
      <c r="DJ9" s="60"/>
      <c r="DK9" s="60"/>
      <c r="DL9" s="60"/>
      <c r="DM9" s="60"/>
      <c r="DN9" s="60"/>
      <c r="DO9" s="60"/>
      <c r="DP9" s="60"/>
      <c r="DQ9" s="60"/>
      <c r="DR9" s="60"/>
      <c r="DS9" s="60"/>
      <c r="DT9" s="60"/>
      <c r="DU9" s="60"/>
      <c r="DV9" s="60"/>
      <c r="DW9" s="60"/>
      <c r="DX9" s="60"/>
      <c r="DY9" s="60"/>
      <c r="DZ9" s="60"/>
      <c r="EA9" s="60"/>
      <c r="EB9" s="60"/>
      <c r="EC9" s="60"/>
      <c r="ED9" s="60"/>
      <c r="EE9" s="60"/>
      <c r="EF9" s="60"/>
      <c r="EG9" s="60"/>
      <c r="EH9" s="60"/>
      <c r="EI9" s="60"/>
      <c r="EJ9" s="60"/>
      <c r="EK9" s="60"/>
      <c r="EL9" s="60"/>
      <c r="EM9" s="60"/>
      <c r="EN9" s="60"/>
      <c r="EO9" s="60"/>
      <c r="EP9" s="60"/>
      <c r="EQ9" s="60"/>
      <c r="ER9" s="60"/>
      <c r="ES9" s="60"/>
      <c r="ET9" s="60"/>
      <c r="EU9" s="60"/>
      <c r="EV9" s="60"/>
      <c r="EW9" s="60"/>
      <c r="EX9" s="60"/>
      <c r="EY9" s="60"/>
      <c r="EZ9" s="60"/>
      <c r="FA9" s="60"/>
      <c r="FB9" s="60"/>
      <c r="FC9" s="60"/>
      <c r="FD9" s="60"/>
      <c r="FE9" s="60"/>
      <c r="FF9" s="60"/>
      <c r="FG9" s="60"/>
      <c r="FH9" s="60"/>
      <c r="FI9" s="60"/>
      <c r="FJ9" s="60"/>
      <c r="FK9" s="60"/>
      <c r="FL9" s="60"/>
      <c r="FM9" s="60"/>
      <c r="FN9" s="60"/>
      <c r="FO9" s="60"/>
      <c r="FP9" s="60"/>
      <c r="FQ9" s="60"/>
      <c r="FR9" s="60"/>
      <c r="FS9" s="60"/>
      <c r="FT9" s="60"/>
      <c r="FU9" s="60"/>
      <c r="FV9" s="60"/>
      <c r="FW9" s="60"/>
      <c r="FX9" s="60"/>
      <c r="FY9" s="60"/>
      <c r="FZ9" s="60"/>
      <c r="GA9" s="60"/>
      <c r="GB9" s="60"/>
      <c r="GC9" s="60"/>
      <c r="GD9" s="60"/>
      <c r="GE9" s="60"/>
      <c r="GF9" s="60"/>
      <c r="GG9" s="60"/>
      <c r="GH9" s="60"/>
      <c r="GI9" s="60"/>
      <c r="GJ9" s="60"/>
      <c r="GK9" s="60"/>
      <c r="GL9" s="60"/>
      <c r="GM9" s="60"/>
      <c r="GN9" s="60"/>
      <c r="GO9" s="60"/>
      <c r="GP9" s="60"/>
      <c r="GQ9" s="60"/>
      <c r="GR9" s="60"/>
      <c r="GS9" s="60"/>
      <c r="GT9" s="60"/>
      <c r="GU9" s="60"/>
      <c r="GV9" s="60"/>
      <c r="GW9" s="60"/>
      <c r="GX9" s="60"/>
      <c r="GY9" s="60"/>
      <c r="GZ9" s="60"/>
      <c r="HA9" s="60"/>
      <c r="HB9" s="60"/>
      <c r="HC9" s="60"/>
      <c r="HD9" s="60"/>
      <c r="HE9" s="60"/>
      <c r="HF9" s="60"/>
      <c r="HG9" s="60"/>
      <c r="HH9" s="60"/>
      <c r="HI9" s="60"/>
      <c r="HJ9" s="60"/>
      <c r="HK9" s="60"/>
      <c r="HL9" s="60"/>
      <c r="HM9" s="60"/>
      <c r="HN9" s="60"/>
      <c r="HO9" s="60"/>
      <c r="HP9" s="60"/>
      <c r="HQ9" s="60"/>
      <c r="HR9" s="60"/>
      <c r="HS9" s="60"/>
      <c r="HT9" s="60"/>
      <c r="HU9" s="60"/>
      <c r="HV9" s="60"/>
      <c r="HW9" s="60"/>
      <c r="HX9" s="60"/>
      <c r="HY9" s="60"/>
      <c r="HZ9" s="60"/>
      <c r="IA9" s="60"/>
      <c r="IB9" s="60"/>
      <c r="IC9" s="60"/>
      <c r="ID9" s="60"/>
      <c r="IE9" s="60"/>
      <c r="IF9" s="60"/>
      <c r="IG9" s="60"/>
      <c r="IH9" s="60"/>
      <c r="II9" s="60"/>
      <c r="IJ9" s="60"/>
      <c r="IK9" s="60"/>
      <c r="IL9" s="60"/>
      <c r="IM9" s="60"/>
      <c r="IN9" s="60"/>
      <c r="IO9" s="60"/>
      <c r="IP9" s="60"/>
      <c r="IQ9" s="60"/>
      <c r="IR9" s="60"/>
      <c r="IS9" s="60"/>
      <c r="IT9" s="60"/>
      <c r="IU9" s="60"/>
      <c r="IV9" s="60"/>
      <c r="IW9" s="60"/>
      <c r="IX9" s="60"/>
      <c r="IY9" s="60"/>
      <c r="IZ9" s="60"/>
      <c r="JA9" s="60"/>
      <c r="JB9" s="60"/>
      <c r="JC9" s="60"/>
      <c r="JD9" s="60"/>
      <c r="JE9" s="60"/>
      <c r="JF9" s="60"/>
      <c r="JG9" s="60"/>
      <c r="JH9" s="60"/>
      <c r="JI9" s="60"/>
      <c r="JJ9" s="60"/>
      <c r="JK9" s="60"/>
      <c r="JL9" s="60"/>
      <c r="JM9" s="60"/>
      <c r="JN9" s="60"/>
      <c r="JO9" s="60"/>
      <c r="JP9" s="60"/>
      <c r="JQ9" s="60"/>
      <c r="JR9" s="60"/>
      <c r="JS9" s="60"/>
      <c r="JT9" s="60"/>
      <c r="JU9" s="60"/>
      <c r="JV9" s="60"/>
      <c r="JW9" s="60"/>
      <c r="JX9" s="60"/>
      <c r="JY9" s="60"/>
      <c r="JZ9" s="60"/>
      <c r="KA9" s="60"/>
      <c r="KB9" s="60"/>
      <c r="KC9" s="60"/>
      <c r="KD9" s="60"/>
      <c r="KE9" s="60"/>
      <c r="KF9" s="60"/>
      <c r="KG9" s="60"/>
      <c r="KH9" s="60"/>
      <c r="KI9" s="60"/>
      <c r="KJ9" s="60"/>
      <c r="KK9" s="60"/>
      <c r="KL9" s="60"/>
      <c r="KM9" s="60"/>
      <c r="KN9" s="60"/>
      <c r="KO9" s="60"/>
      <c r="KP9" s="60"/>
      <c r="KQ9" s="60"/>
      <c r="KR9" s="60"/>
      <c r="KS9" s="60"/>
      <c r="KT9" s="60"/>
      <c r="KU9" s="60"/>
      <c r="KV9" s="60"/>
      <c r="KW9" s="60"/>
      <c r="KX9" s="60"/>
      <c r="KY9" s="60"/>
      <c r="KZ9" s="60"/>
      <c r="LA9" s="60"/>
      <c r="LB9" s="60"/>
      <c r="LC9" s="60"/>
      <c r="LD9" s="60"/>
      <c r="LE9" s="60"/>
      <c r="LF9" s="60"/>
      <c r="LG9" s="60"/>
      <c r="LH9" s="60"/>
    </row>
    <row r="10" spans="1:320" s="253" customFormat="1" ht="45" customHeight="1" thickTop="1" thickBot="1" x14ac:dyDescent="0.4">
      <c r="A10" s="177" t="s">
        <v>110</v>
      </c>
      <c r="B10" s="186" t="s">
        <v>107</v>
      </c>
      <c r="C10" s="348" t="s">
        <v>109</v>
      </c>
      <c r="D10" s="348"/>
      <c r="E10" s="349"/>
      <c r="F10" s="350">
        <f>IF(F5&lt;2,((F6*F7*H16)/F2),(H15*H22))</f>
        <v>7.3123764778713225</v>
      </c>
      <c r="G10" s="351"/>
      <c r="H10" s="251"/>
      <c r="I10" s="252">
        <f>(IF($F$5&gt;1,(J22*J15)/H15,0))</f>
        <v>462.47529557426446</v>
      </c>
      <c r="K10" s="252">
        <f>(IF($F$5&gt;=2,I10,0))</f>
        <v>462.47529557426446</v>
      </c>
      <c r="M10" s="252">
        <f>(IF($F$5&gt;=3,I10,0))</f>
        <v>462.47529557426446</v>
      </c>
      <c r="O10" s="252">
        <f>(IF($F$5&gt;=4,I10,0))</f>
        <v>0</v>
      </c>
      <c r="Q10" s="252">
        <f>(IF($F$5&gt;=5,I10,0))</f>
        <v>0</v>
      </c>
      <c r="S10" s="252">
        <f>(IF($F$5&gt;=6,K10,0))</f>
        <v>0</v>
      </c>
      <c r="U10" s="252">
        <f>(IF($F$5&gt;=7,M10,0))</f>
        <v>0</v>
      </c>
      <c r="W10" s="252">
        <f>(IF($F$5&gt;=8,O10,0))</f>
        <v>0</v>
      </c>
      <c r="Y10" s="252">
        <f>(IF($F$5&gt;=9,Q10,0))</f>
        <v>0</v>
      </c>
      <c r="AA10" s="252">
        <f>(IF($F$5&gt;=10,S10,0))</f>
        <v>0</v>
      </c>
      <c r="AC10" s="252">
        <f>(IF($F$5&gt;=11,U10,0))</f>
        <v>0</v>
      </c>
      <c r="AE10" s="252">
        <f>(IF($F$5&gt;=12,W10,0))</f>
        <v>0</v>
      </c>
      <c r="AF10" s="254"/>
      <c r="AG10" s="136"/>
      <c r="AH10" s="136"/>
      <c r="AI10" s="136"/>
      <c r="AJ10" s="136"/>
      <c r="AK10" s="136"/>
      <c r="AL10" s="136"/>
      <c r="AM10" s="136"/>
      <c r="AN10" s="136"/>
      <c r="AO10" s="136"/>
      <c r="AP10" s="136"/>
      <c r="AQ10" s="136"/>
      <c r="AR10" s="136"/>
      <c r="AS10" s="136"/>
      <c r="AT10" s="136"/>
      <c r="AU10" s="136"/>
      <c r="AV10" s="136"/>
      <c r="AW10" s="136"/>
      <c r="AX10" s="136"/>
      <c r="AY10" s="136"/>
      <c r="AZ10" s="136"/>
      <c r="BA10" s="136"/>
      <c r="BB10" s="136"/>
      <c r="BC10" s="136"/>
      <c r="BD10" s="136"/>
      <c r="BE10" s="136"/>
      <c r="BF10" s="136"/>
      <c r="BG10" s="136"/>
      <c r="BH10" s="136"/>
      <c r="BI10" s="136"/>
      <c r="BJ10" s="136"/>
      <c r="BK10" s="136"/>
      <c r="BL10" s="136"/>
      <c r="BM10" s="136"/>
      <c r="BN10" s="136"/>
      <c r="BO10" s="136"/>
      <c r="BP10" s="136"/>
      <c r="BQ10" s="136"/>
      <c r="BR10" s="136"/>
      <c r="BS10" s="136"/>
      <c r="BT10" s="136"/>
      <c r="BU10" s="136"/>
      <c r="BV10" s="136"/>
      <c r="BW10" s="136"/>
      <c r="BX10" s="136"/>
      <c r="BY10" s="136"/>
      <c r="BZ10" s="136"/>
      <c r="CA10" s="136"/>
      <c r="CB10" s="136"/>
      <c r="CC10" s="136"/>
      <c r="CD10" s="136"/>
      <c r="CE10" s="136"/>
      <c r="CF10" s="136"/>
      <c r="CG10" s="136"/>
      <c r="CH10" s="136"/>
      <c r="CI10" s="136"/>
      <c r="CJ10" s="136"/>
      <c r="CK10" s="136"/>
      <c r="CL10" s="136"/>
      <c r="CM10" s="136"/>
      <c r="CN10" s="136"/>
      <c r="CO10" s="136"/>
      <c r="CP10" s="136"/>
      <c r="CQ10" s="136"/>
      <c r="CR10" s="136"/>
      <c r="CS10" s="136"/>
      <c r="CT10" s="136"/>
      <c r="CU10" s="136"/>
      <c r="CV10" s="136"/>
      <c r="CW10" s="136"/>
      <c r="CX10" s="136"/>
      <c r="CY10" s="136"/>
      <c r="CZ10" s="136"/>
      <c r="DA10" s="136"/>
      <c r="DB10" s="136"/>
      <c r="DC10" s="136"/>
      <c r="DD10" s="136"/>
      <c r="DE10" s="136"/>
      <c r="DF10" s="136"/>
      <c r="DG10" s="136"/>
      <c r="DH10" s="136"/>
      <c r="DI10" s="136"/>
      <c r="DJ10" s="136"/>
      <c r="DK10" s="136"/>
      <c r="DL10" s="136"/>
      <c r="DM10" s="136"/>
      <c r="DN10" s="136"/>
      <c r="DO10" s="136"/>
      <c r="DP10" s="136"/>
      <c r="DQ10" s="136"/>
      <c r="DR10" s="136"/>
      <c r="DS10" s="136"/>
      <c r="DT10" s="136"/>
      <c r="DU10" s="136"/>
      <c r="DV10" s="136"/>
      <c r="DW10" s="136"/>
      <c r="DX10" s="136"/>
      <c r="DY10" s="136"/>
      <c r="DZ10" s="136"/>
      <c r="EA10" s="136"/>
      <c r="EB10" s="136"/>
      <c r="EC10" s="136"/>
      <c r="ED10" s="136"/>
      <c r="EE10" s="136"/>
      <c r="EF10" s="136"/>
      <c r="EG10" s="136"/>
      <c r="EH10" s="136"/>
      <c r="EI10" s="136"/>
      <c r="EJ10" s="136"/>
      <c r="EK10" s="136"/>
      <c r="EL10" s="136"/>
      <c r="EM10" s="136"/>
      <c r="EN10" s="136"/>
      <c r="EO10" s="136"/>
      <c r="EP10" s="136"/>
      <c r="EQ10" s="136"/>
      <c r="ER10" s="136"/>
      <c r="ES10" s="136"/>
      <c r="ET10" s="136"/>
      <c r="EU10" s="136"/>
      <c r="EV10" s="136"/>
      <c r="EW10" s="136"/>
      <c r="EX10" s="136"/>
      <c r="EY10" s="136"/>
      <c r="EZ10" s="136"/>
      <c r="FA10" s="136"/>
      <c r="FB10" s="136"/>
      <c r="FC10" s="136"/>
      <c r="FD10" s="136"/>
      <c r="FE10" s="136"/>
      <c r="FF10" s="136"/>
      <c r="FG10" s="136"/>
      <c r="FH10" s="136"/>
      <c r="FI10" s="136"/>
      <c r="FJ10" s="136"/>
      <c r="FK10" s="136"/>
      <c r="FL10" s="136"/>
      <c r="FM10" s="136"/>
      <c r="FN10" s="136"/>
      <c r="FO10" s="136"/>
      <c r="FP10" s="136"/>
      <c r="FQ10" s="136"/>
      <c r="FR10" s="136"/>
      <c r="FS10" s="136"/>
      <c r="FT10" s="136"/>
      <c r="FU10" s="136"/>
      <c r="FV10" s="136"/>
      <c r="FW10" s="136"/>
      <c r="FX10" s="136"/>
      <c r="FY10" s="136"/>
      <c r="FZ10" s="136"/>
      <c r="GA10" s="136"/>
      <c r="GB10" s="136"/>
      <c r="GC10" s="136"/>
      <c r="GD10" s="136"/>
      <c r="GE10" s="136"/>
      <c r="GF10" s="136"/>
      <c r="GG10" s="136"/>
      <c r="GH10" s="136"/>
      <c r="GI10" s="136"/>
      <c r="GJ10" s="136"/>
      <c r="GK10" s="136"/>
      <c r="GL10" s="136"/>
      <c r="GM10" s="136"/>
      <c r="GN10" s="136"/>
      <c r="GO10" s="136"/>
      <c r="GP10" s="136"/>
      <c r="GQ10" s="136"/>
      <c r="GR10" s="136"/>
      <c r="GS10" s="136"/>
      <c r="GT10" s="136"/>
      <c r="GU10" s="136"/>
      <c r="GV10" s="136"/>
      <c r="GW10" s="136"/>
      <c r="GX10" s="136"/>
      <c r="GY10" s="136"/>
      <c r="GZ10" s="136"/>
      <c r="HA10" s="136"/>
      <c r="HB10" s="136"/>
      <c r="HC10" s="136"/>
      <c r="HD10" s="136"/>
      <c r="HE10" s="136"/>
      <c r="HF10" s="136"/>
      <c r="HG10" s="136"/>
      <c r="HH10" s="136"/>
      <c r="HI10" s="136"/>
      <c r="HJ10" s="136"/>
      <c r="HK10" s="136"/>
      <c r="HL10" s="136"/>
      <c r="HM10" s="136"/>
      <c r="HN10" s="136"/>
      <c r="HO10" s="136"/>
      <c r="HP10" s="136"/>
      <c r="HQ10" s="136"/>
      <c r="HR10" s="136"/>
      <c r="HS10" s="136"/>
      <c r="HT10" s="136"/>
      <c r="HU10" s="136"/>
      <c r="HV10" s="136"/>
      <c r="HW10" s="136"/>
      <c r="HX10" s="136"/>
      <c r="HY10" s="136"/>
      <c r="HZ10" s="136"/>
      <c r="IA10" s="136"/>
      <c r="IB10" s="136"/>
      <c r="IC10" s="136"/>
      <c r="ID10" s="136"/>
      <c r="IE10" s="136"/>
      <c r="IF10" s="136"/>
      <c r="IG10" s="136"/>
      <c r="IH10" s="136"/>
      <c r="II10" s="136"/>
      <c r="IJ10" s="136"/>
      <c r="IK10" s="136"/>
      <c r="IL10" s="136"/>
      <c r="IM10" s="136"/>
      <c r="IN10" s="136"/>
      <c r="IO10" s="136"/>
      <c r="IP10" s="136"/>
      <c r="IQ10" s="136"/>
      <c r="IR10" s="136"/>
      <c r="IS10" s="136"/>
      <c r="IT10" s="136"/>
      <c r="IU10" s="136"/>
      <c r="IV10" s="136"/>
      <c r="IW10" s="136"/>
      <c r="IX10" s="136"/>
      <c r="IY10" s="136"/>
      <c r="IZ10" s="136"/>
      <c r="JA10" s="136"/>
      <c r="JB10" s="136"/>
      <c r="JC10" s="136"/>
      <c r="JD10" s="136"/>
      <c r="JE10" s="136"/>
      <c r="JF10" s="136"/>
      <c r="JG10" s="136"/>
      <c r="JH10" s="136"/>
      <c r="JI10" s="136"/>
      <c r="JJ10" s="136"/>
      <c r="JK10" s="136"/>
      <c r="JL10" s="136"/>
      <c r="JM10" s="136"/>
      <c r="JN10" s="136"/>
      <c r="JO10" s="136"/>
      <c r="JP10" s="136"/>
      <c r="JQ10" s="136"/>
      <c r="JR10" s="136"/>
      <c r="JS10" s="136"/>
      <c r="JT10" s="136"/>
      <c r="JU10" s="136"/>
      <c r="JV10" s="136"/>
      <c r="JW10" s="136"/>
      <c r="JX10" s="136"/>
      <c r="JY10" s="136"/>
      <c r="JZ10" s="136"/>
      <c r="KA10" s="136"/>
      <c r="KB10" s="136"/>
      <c r="KC10" s="136"/>
      <c r="KD10" s="136"/>
      <c r="KE10" s="136"/>
      <c r="KF10" s="136"/>
      <c r="KG10" s="136"/>
      <c r="KH10" s="136"/>
      <c r="KI10" s="136"/>
      <c r="KJ10" s="136"/>
      <c r="KK10" s="136"/>
      <c r="KL10" s="136"/>
      <c r="KM10" s="136"/>
      <c r="KN10" s="136"/>
      <c r="KO10" s="136"/>
      <c r="KP10" s="136"/>
      <c r="KQ10" s="136"/>
      <c r="KR10" s="136"/>
      <c r="KS10" s="136"/>
      <c r="KT10" s="136"/>
      <c r="KU10" s="136"/>
      <c r="KV10" s="136"/>
      <c r="KW10" s="136"/>
      <c r="KX10" s="136"/>
      <c r="KY10" s="136"/>
      <c r="KZ10" s="136"/>
      <c r="LA10" s="136"/>
      <c r="LB10" s="136"/>
      <c r="LC10" s="136"/>
      <c r="LD10" s="136"/>
      <c r="LE10" s="136"/>
      <c r="LF10" s="136"/>
      <c r="LG10" s="136"/>
      <c r="LH10" s="136"/>
    </row>
    <row r="11" spans="1:320" s="180" customFormat="1" ht="35.1" customHeight="1" thickTop="1" x14ac:dyDescent="0.25">
      <c r="A11" s="181"/>
      <c r="B11" s="360"/>
      <c r="C11" s="185"/>
      <c r="D11" s="185"/>
      <c r="E11" s="185"/>
      <c r="F11" s="185"/>
      <c r="G11" s="185"/>
      <c r="H11" s="184" t="str">
        <f>IF($F$5&gt;1,"↘ ↗","↘  ")</f>
        <v>↘ ↗</v>
      </c>
      <c r="I11" s="183" t="str">
        <f>IF($F$5=1," ",IF(F5&gt;1,"From dilution 1 to 2",0))</f>
        <v>From dilution 1 to 2</v>
      </c>
      <c r="J11" s="184" t="str">
        <f>IF($F$5&gt;1,"↘ ↗",0)</f>
        <v>↘ ↗</v>
      </c>
      <c r="K11" s="183" t="str">
        <f>IF($F$5=2,"Throw away",IF($F5&gt;2,"From dilution 2 to 3",0))</f>
        <v>From dilution 2 to 3</v>
      </c>
      <c r="L11" s="184" t="str">
        <f>IF($F$5&gt;2,"↘ ↗",0)</f>
        <v>↘ ↗</v>
      </c>
      <c r="M11" s="183" t="str">
        <f>IF($F$5=3,"Throw away",IF($F5&gt;3,"From dilution 3 to 4",0))</f>
        <v>Throw away</v>
      </c>
      <c r="N11" s="184">
        <f>IF($F$5&gt;3,"↘ ↗",0)</f>
        <v>0</v>
      </c>
      <c r="O11" s="183">
        <f>IF($F$5=4,"Throw away",IF($F5&gt;4,"From dilution 4 to 5",0))</f>
        <v>0</v>
      </c>
      <c r="P11" s="184">
        <f>IF($F$5&gt;4,"↘ ↗",0)</f>
        <v>0</v>
      </c>
      <c r="Q11" s="183">
        <f>IF($F$5=5,"Throw away",IF($F5&gt;5,"From dilution 5 to 6",0))</f>
        <v>0</v>
      </c>
      <c r="R11" s="184">
        <f>IF($F$5&gt;5,"↘ ↗",0)</f>
        <v>0</v>
      </c>
      <c r="S11" s="183">
        <f>IF($F$5=6,"Throw away",IF($F5&gt;6,"From dilution 6 to 7",0))</f>
        <v>0</v>
      </c>
      <c r="T11" s="184">
        <f>IF($F$5&gt;6,"↘ ↗",0)</f>
        <v>0</v>
      </c>
      <c r="U11" s="183">
        <f>IF($F$5=7,"Throw away",IF($F5&gt;7,"From dilution 7 to 8",0))</f>
        <v>0</v>
      </c>
      <c r="V11" s="184">
        <f>IF($F$5&gt;7,"↘ ↗",0)</f>
        <v>0</v>
      </c>
      <c r="W11" s="183" t="str">
        <f>IF($F$5=8,"Throw away",IF($F5&gt;8,"From dilution 8 to 9"," "))</f>
        <v xml:space="preserve"> </v>
      </c>
      <c r="X11" s="184" t="str">
        <f>IF($F$5&gt;8,"↘ ↗"," ")</f>
        <v xml:space="preserve"> </v>
      </c>
      <c r="Y11" s="183" t="str">
        <f>IF($F$5=9,"Throw away",IF($F5&gt;9,"From dilution 9 to 10"," "))</f>
        <v xml:space="preserve"> </v>
      </c>
      <c r="Z11" s="184" t="str">
        <f>IF($F$5&gt;9,"↘ ↗"," ")</f>
        <v xml:space="preserve"> </v>
      </c>
      <c r="AA11" s="183" t="str">
        <f>IF($F$5=10,"Throw away",IF($F5&gt;10,"From dilution 10 to 11"," "))</f>
        <v xml:space="preserve"> </v>
      </c>
      <c r="AB11" s="184" t="str">
        <f>IF($F$5&gt;10,"↘ ↗"," ")</f>
        <v xml:space="preserve"> </v>
      </c>
      <c r="AC11" s="183" t="str">
        <f>IF($F$5=11,"Throw away",IF($F5&gt;11,"From dilution 11 to 12"," "))</f>
        <v xml:space="preserve"> </v>
      </c>
      <c r="AD11" s="184" t="str">
        <f>IF($F$5&gt;11,"↘ ↗"," ")</f>
        <v xml:space="preserve"> </v>
      </c>
      <c r="AE11" s="183" t="str">
        <f>IF($F$5=12,"Throw away",IF($F5&gt;12,"Throw away"," "))</f>
        <v xml:space="preserve"> </v>
      </c>
      <c r="AF11" s="183"/>
      <c r="AG11" s="182"/>
      <c r="AH11" s="182"/>
      <c r="AI11" s="182"/>
      <c r="AJ11" s="182"/>
      <c r="AK11" s="182"/>
      <c r="AL11" s="182"/>
      <c r="AM11" s="182"/>
      <c r="AN11" s="182"/>
      <c r="AO11" s="182"/>
      <c r="AP11" s="182"/>
      <c r="AQ11" s="182"/>
      <c r="AR11" s="182"/>
      <c r="AS11" s="182"/>
      <c r="AT11" s="182"/>
      <c r="AU11" s="182"/>
      <c r="AV11" s="182"/>
      <c r="AW11" s="182"/>
      <c r="AX11" s="182"/>
      <c r="AY11" s="182"/>
      <c r="AZ11" s="182"/>
      <c r="BA11" s="182"/>
      <c r="BB11" s="182"/>
      <c r="BC11" s="182"/>
      <c r="BD11" s="182"/>
      <c r="BE11" s="182"/>
      <c r="BF11" s="182"/>
      <c r="BG11" s="182"/>
      <c r="BH11" s="182"/>
      <c r="BI11" s="182"/>
      <c r="BJ11" s="182"/>
      <c r="BK11" s="182"/>
      <c r="BL11" s="182"/>
      <c r="BM11" s="182"/>
      <c r="BN11" s="182"/>
      <c r="BO11" s="182"/>
      <c r="BP11" s="182"/>
      <c r="BQ11" s="182"/>
      <c r="BR11" s="182"/>
      <c r="BS11" s="182"/>
      <c r="BT11" s="182"/>
      <c r="BU11" s="182"/>
      <c r="BV11" s="182"/>
      <c r="BW11" s="182"/>
      <c r="BX11" s="182"/>
      <c r="BY11" s="182"/>
      <c r="BZ11" s="182"/>
      <c r="CA11" s="182"/>
      <c r="CB11" s="182"/>
      <c r="CC11" s="182"/>
      <c r="CD11" s="182"/>
      <c r="CE11" s="182"/>
      <c r="CF11" s="182"/>
      <c r="CG11" s="182"/>
      <c r="CH11" s="182"/>
      <c r="CI11" s="182"/>
      <c r="CJ11" s="182"/>
      <c r="CK11" s="182"/>
      <c r="CL11" s="182"/>
      <c r="CM11" s="182"/>
      <c r="CN11" s="182"/>
      <c r="CO11" s="182"/>
      <c r="CP11" s="182"/>
      <c r="CQ11" s="182"/>
      <c r="CR11" s="182"/>
      <c r="CS11" s="182"/>
      <c r="CT11" s="182"/>
      <c r="CU11" s="182"/>
      <c r="CV11" s="182"/>
      <c r="CW11" s="182"/>
      <c r="CX11" s="182"/>
      <c r="CY11" s="182"/>
      <c r="CZ11" s="182"/>
      <c r="DA11" s="182"/>
      <c r="DB11" s="182"/>
      <c r="DC11" s="182"/>
      <c r="DD11" s="182"/>
      <c r="DE11" s="182"/>
      <c r="DF11" s="182"/>
      <c r="DG11" s="182"/>
      <c r="DH11" s="182"/>
      <c r="DI11" s="182"/>
      <c r="DJ11" s="182"/>
      <c r="DK11" s="182"/>
      <c r="DL11" s="182"/>
      <c r="DM11" s="182"/>
      <c r="DN11" s="182"/>
      <c r="DO11" s="182"/>
      <c r="DP11" s="182"/>
      <c r="DQ11" s="182"/>
      <c r="DR11" s="182"/>
      <c r="DS11" s="182"/>
      <c r="DT11" s="182"/>
      <c r="DU11" s="182"/>
      <c r="DV11" s="182"/>
      <c r="DW11" s="182"/>
      <c r="DX11" s="182"/>
      <c r="DY11" s="182"/>
      <c r="DZ11" s="182"/>
      <c r="EA11" s="182"/>
      <c r="EB11" s="182"/>
      <c r="EC11" s="182"/>
      <c r="ED11" s="182"/>
      <c r="EE11" s="182"/>
      <c r="EF11" s="182"/>
      <c r="EG11" s="182"/>
      <c r="EH11" s="182"/>
      <c r="EI11" s="182"/>
      <c r="EJ11" s="182"/>
      <c r="EK11" s="182"/>
      <c r="EL11" s="182"/>
      <c r="EM11" s="182"/>
      <c r="EN11" s="182"/>
      <c r="EO11" s="182"/>
      <c r="EP11" s="182"/>
      <c r="EQ11" s="182"/>
      <c r="ER11" s="182"/>
      <c r="ES11" s="182"/>
      <c r="ET11" s="182"/>
      <c r="EU11" s="182"/>
      <c r="EV11" s="182"/>
      <c r="EW11" s="182"/>
      <c r="EX11" s="182"/>
      <c r="EY11" s="182"/>
      <c r="EZ11" s="182"/>
      <c r="FA11" s="182"/>
      <c r="FB11" s="182"/>
      <c r="FC11" s="182"/>
      <c r="FD11" s="182"/>
      <c r="FE11" s="182"/>
      <c r="FF11" s="182"/>
      <c r="FG11" s="182"/>
      <c r="FH11" s="182"/>
      <c r="FI11" s="182"/>
      <c r="FJ11" s="182"/>
      <c r="FK11" s="182"/>
      <c r="FL11" s="182"/>
      <c r="FM11" s="182"/>
      <c r="FN11" s="182"/>
      <c r="FO11" s="182"/>
      <c r="FP11" s="182"/>
      <c r="FQ11" s="182"/>
      <c r="FR11" s="182"/>
      <c r="FS11" s="182"/>
      <c r="FT11" s="182"/>
      <c r="FU11" s="182"/>
      <c r="FV11" s="182"/>
      <c r="FW11" s="182"/>
      <c r="FX11" s="182"/>
      <c r="FY11" s="182"/>
      <c r="FZ11" s="182"/>
      <c r="GA11" s="182"/>
      <c r="GB11" s="182"/>
      <c r="GC11" s="182"/>
      <c r="GD11" s="182"/>
      <c r="GE11" s="182"/>
      <c r="GF11" s="182"/>
      <c r="GG11" s="182"/>
      <c r="GH11" s="182"/>
      <c r="GI11" s="182"/>
      <c r="GJ11" s="182"/>
      <c r="GK11" s="182"/>
      <c r="GL11" s="182"/>
      <c r="GM11" s="182"/>
      <c r="GN11" s="182"/>
      <c r="GO11" s="182"/>
      <c r="GP11" s="182"/>
      <c r="GQ11" s="182"/>
      <c r="GR11" s="182"/>
      <c r="GS11" s="182"/>
      <c r="GT11" s="182"/>
      <c r="GU11" s="182"/>
      <c r="GV11" s="182"/>
      <c r="GW11" s="182"/>
      <c r="GX11" s="182"/>
      <c r="GY11" s="182"/>
      <c r="GZ11" s="182"/>
      <c r="HA11" s="182"/>
      <c r="HB11" s="182"/>
      <c r="HC11" s="182"/>
      <c r="HD11" s="182"/>
      <c r="HE11" s="182"/>
      <c r="HF11" s="182"/>
      <c r="HG11" s="182"/>
      <c r="HH11" s="182"/>
      <c r="HI11" s="182"/>
      <c r="HJ11" s="182"/>
      <c r="HK11" s="182"/>
      <c r="HL11" s="182"/>
      <c r="HM11" s="182"/>
      <c r="HN11" s="182"/>
      <c r="HO11" s="182"/>
      <c r="HP11" s="182"/>
      <c r="HQ11" s="182"/>
      <c r="HR11" s="182"/>
      <c r="HS11" s="182"/>
      <c r="HT11" s="182"/>
      <c r="HU11" s="182"/>
      <c r="HV11" s="182"/>
      <c r="HW11" s="182"/>
      <c r="HX11" s="182"/>
      <c r="HY11" s="182"/>
      <c r="HZ11" s="182"/>
      <c r="IA11" s="182"/>
      <c r="IB11" s="182"/>
      <c r="IC11" s="182"/>
      <c r="ID11" s="182"/>
      <c r="IE11" s="182"/>
      <c r="IF11" s="182"/>
      <c r="IG11" s="182"/>
      <c r="IH11" s="182"/>
      <c r="II11" s="182"/>
      <c r="IJ11" s="182"/>
      <c r="IK11" s="182"/>
      <c r="IL11" s="182"/>
      <c r="IM11" s="182"/>
      <c r="IN11" s="182"/>
      <c r="IO11" s="182"/>
      <c r="IP11" s="182"/>
      <c r="IQ11" s="182"/>
      <c r="IR11" s="182"/>
      <c r="IS11" s="182"/>
      <c r="IT11" s="182"/>
      <c r="IU11" s="182"/>
      <c r="IV11" s="182"/>
      <c r="IW11" s="182"/>
      <c r="IX11" s="182"/>
      <c r="IY11" s="182"/>
      <c r="IZ11" s="182"/>
      <c r="JA11" s="182"/>
      <c r="JB11" s="182"/>
      <c r="JC11" s="182"/>
      <c r="JD11" s="182"/>
      <c r="JE11" s="182"/>
      <c r="JF11" s="182"/>
      <c r="JG11" s="182"/>
      <c r="JH11" s="182"/>
      <c r="JI11" s="182"/>
      <c r="JJ11" s="182"/>
      <c r="JK11" s="182"/>
      <c r="JL11" s="182"/>
      <c r="JM11" s="182"/>
      <c r="JN11" s="182"/>
      <c r="JO11" s="182"/>
      <c r="JP11" s="182"/>
      <c r="JQ11" s="182"/>
      <c r="JR11" s="182"/>
      <c r="JS11" s="182"/>
      <c r="JT11" s="182"/>
      <c r="JU11" s="182"/>
      <c r="JV11" s="182"/>
      <c r="JW11" s="182"/>
      <c r="JX11" s="182"/>
      <c r="JY11" s="182"/>
      <c r="JZ11" s="182"/>
      <c r="KA11" s="182"/>
      <c r="KB11" s="182"/>
      <c r="KC11" s="182"/>
      <c r="KD11" s="182"/>
      <c r="KE11" s="182"/>
      <c r="KF11" s="182"/>
      <c r="KG11" s="182"/>
      <c r="KH11" s="182"/>
      <c r="KI11" s="182"/>
      <c r="KJ11" s="182"/>
      <c r="KK11" s="182"/>
      <c r="KL11" s="182"/>
      <c r="KM11" s="182"/>
      <c r="KN11" s="182"/>
      <c r="KO11" s="182"/>
      <c r="KP11" s="182"/>
      <c r="KQ11" s="182"/>
      <c r="KR11" s="182"/>
      <c r="KS11" s="182"/>
      <c r="KT11" s="182"/>
      <c r="KU11" s="182"/>
      <c r="KV11" s="182"/>
      <c r="KW11" s="182"/>
      <c r="KX11" s="182"/>
      <c r="KY11" s="182"/>
      <c r="KZ11" s="182"/>
      <c r="LA11" s="182"/>
      <c r="LB11" s="182"/>
      <c r="LC11" s="182"/>
      <c r="LD11" s="182"/>
      <c r="LE11" s="182"/>
      <c r="LF11" s="182"/>
      <c r="LG11" s="182"/>
      <c r="LH11" s="182"/>
    </row>
    <row r="12" spans="1:320" s="178" customFormat="1" ht="14.1" customHeight="1" thickBot="1" x14ac:dyDescent="0.3">
      <c r="A12" s="181"/>
      <c r="B12" s="360"/>
      <c r="C12" s="180"/>
      <c r="D12" s="180"/>
      <c r="E12" s="180"/>
      <c r="F12" s="180"/>
      <c r="G12" s="180"/>
      <c r="H12" s="179" t="str">
        <f>IF($F$5&gt;0,"Dilution 1",0)</f>
        <v>Dilution 1</v>
      </c>
      <c r="I12" s="179"/>
      <c r="J12" s="179" t="str">
        <f>IF($F$5&gt;1,"Dilution 2",0)</f>
        <v>Dilution 2</v>
      </c>
      <c r="K12" s="179"/>
      <c r="L12" s="179" t="str">
        <f>IF($F$5&gt;2,"Dilution 3",0)</f>
        <v>Dilution 3</v>
      </c>
      <c r="M12" s="179"/>
      <c r="N12" s="179">
        <f>IF($F$5&gt;3,"Dilution 4",0)</f>
        <v>0</v>
      </c>
      <c r="O12" s="179"/>
      <c r="P12" s="179">
        <f>IF($F$5&gt;4,"Dilution 5",0)</f>
        <v>0</v>
      </c>
      <c r="Q12" s="179"/>
      <c r="R12" s="179">
        <f>IF($F$5&gt;5,"Dilution 6",0)</f>
        <v>0</v>
      </c>
      <c r="S12" s="179"/>
      <c r="T12" s="179">
        <f>IF($F$5&gt;6,"Dilution 7",0)</f>
        <v>0</v>
      </c>
      <c r="U12" s="179"/>
      <c r="V12" s="179">
        <f>IF($F$5&gt;7,"Dilution 8",0)</f>
        <v>0</v>
      </c>
      <c r="W12" s="179"/>
      <c r="X12" s="179" t="str">
        <f>IF($F$5&gt;8,"Dilution 9"," ")</f>
        <v xml:space="preserve"> </v>
      </c>
      <c r="Y12" s="179"/>
      <c r="Z12" s="179" t="str">
        <f>IF($F$5&gt;9,"Dilution 10"," ")</f>
        <v xml:space="preserve"> </v>
      </c>
      <c r="AA12" s="179"/>
      <c r="AB12" s="179" t="str">
        <f>IF($F$5&gt;10,"Dilution 11"," ")</f>
        <v xml:space="preserve"> </v>
      </c>
      <c r="AC12" s="179"/>
      <c r="AD12" s="179" t="str">
        <f>IF($F$5&gt;11,"Dilution 12"," ")</f>
        <v xml:space="preserve"> </v>
      </c>
      <c r="AE12" s="179"/>
      <c r="AF12" s="179"/>
      <c r="AG12" s="168"/>
      <c r="AH12" s="168"/>
      <c r="AI12" s="168"/>
      <c r="AJ12" s="168"/>
      <c r="AK12" s="168"/>
      <c r="AL12" s="168"/>
      <c r="AM12" s="168"/>
      <c r="AN12" s="168"/>
      <c r="AO12" s="168"/>
      <c r="AP12" s="168"/>
      <c r="AQ12" s="168"/>
      <c r="AR12" s="168"/>
      <c r="AS12" s="168"/>
      <c r="AT12" s="168"/>
      <c r="AU12" s="168"/>
      <c r="AV12" s="168"/>
      <c r="AW12" s="168"/>
      <c r="AX12" s="168"/>
      <c r="AY12" s="168"/>
      <c r="AZ12" s="168"/>
      <c r="BA12" s="168"/>
      <c r="BB12" s="168"/>
      <c r="BC12" s="168"/>
      <c r="BD12" s="168"/>
      <c r="BE12" s="168"/>
      <c r="BF12" s="168"/>
      <c r="BG12" s="168"/>
      <c r="BH12" s="168"/>
      <c r="BI12" s="168"/>
      <c r="BJ12" s="168"/>
      <c r="BK12" s="168"/>
      <c r="BL12" s="168"/>
      <c r="BM12" s="168"/>
      <c r="BN12" s="168"/>
      <c r="BO12" s="168"/>
      <c r="BP12" s="168"/>
      <c r="BQ12" s="168"/>
      <c r="BR12" s="168"/>
      <c r="BS12" s="168"/>
      <c r="BT12" s="168"/>
      <c r="BU12" s="168"/>
      <c r="BV12" s="168"/>
      <c r="BW12" s="168"/>
      <c r="BX12" s="168"/>
      <c r="BY12" s="168"/>
      <c r="BZ12" s="168"/>
      <c r="CA12" s="168"/>
      <c r="CB12" s="168"/>
      <c r="CC12" s="168"/>
      <c r="CD12" s="168"/>
      <c r="CE12" s="168"/>
      <c r="CF12" s="168"/>
      <c r="CG12" s="168"/>
      <c r="CH12" s="168"/>
      <c r="CI12" s="168"/>
      <c r="CJ12" s="168"/>
      <c r="CK12" s="168"/>
      <c r="CL12" s="168"/>
      <c r="CM12" s="168"/>
      <c r="CN12" s="168"/>
      <c r="CO12" s="168"/>
      <c r="CP12" s="168"/>
      <c r="CQ12" s="168"/>
      <c r="CR12" s="168"/>
      <c r="CS12" s="168"/>
      <c r="CT12" s="168"/>
      <c r="CU12" s="168"/>
      <c r="CV12" s="168"/>
      <c r="CW12" s="168"/>
      <c r="CX12" s="168"/>
      <c r="CY12" s="168"/>
      <c r="CZ12" s="168"/>
      <c r="DA12" s="168"/>
      <c r="DB12" s="168"/>
      <c r="DC12" s="168"/>
      <c r="DD12" s="168"/>
      <c r="DE12" s="168"/>
      <c r="DF12" s="168"/>
      <c r="DG12" s="168"/>
      <c r="DH12" s="168"/>
      <c r="DI12" s="168"/>
      <c r="DJ12" s="168"/>
      <c r="DK12" s="168"/>
      <c r="DL12" s="168"/>
      <c r="DM12" s="168"/>
      <c r="DN12" s="168"/>
      <c r="DO12" s="168"/>
      <c r="DP12" s="168"/>
      <c r="DQ12" s="168"/>
      <c r="DR12" s="168"/>
      <c r="DS12" s="168"/>
      <c r="DT12" s="168"/>
      <c r="DU12" s="168"/>
      <c r="DV12" s="168"/>
      <c r="DW12" s="168"/>
      <c r="DX12" s="168"/>
      <c r="DY12" s="168"/>
      <c r="DZ12" s="168"/>
      <c r="EA12" s="168"/>
      <c r="EB12" s="168"/>
      <c r="EC12" s="168"/>
      <c r="ED12" s="168"/>
      <c r="EE12" s="168"/>
      <c r="EF12" s="168"/>
      <c r="EG12" s="168"/>
      <c r="EH12" s="168"/>
      <c r="EI12" s="168"/>
      <c r="EJ12" s="168"/>
      <c r="EK12" s="168"/>
      <c r="EL12" s="168"/>
      <c r="EM12" s="168"/>
      <c r="EN12" s="168"/>
      <c r="EO12" s="168"/>
      <c r="EP12" s="168"/>
      <c r="EQ12" s="168"/>
      <c r="ER12" s="168"/>
      <c r="ES12" s="168"/>
      <c r="ET12" s="168"/>
      <c r="EU12" s="168"/>
      <c r="EV12" s="168"/>
      <c r="EW12" s="168"/>
      <c r="EX12" s="168"/>
      <c r="EY12" s="168"/>
      <c r="EZ12" s="168"/>
      <c r="FA12" s="168"/>
      <c r="FB12" s="168"/>
      <c r="FC12" s="168"/>
      <c r="FD12" s="168"/>
      <c r="FE12" s="168"/>
      <c r="FF12" s="168"/>
      <c r="FG12" s="168"/>
      <c r="FH12" s="168"/>
      <c r="FI12" s="168"/>
      <c r="FJ12" s="168"/>
      <c r="FK12" s="168"/>
      <c r="FL12" s="168"/>
      <c r="FM12" s="168"/>
      <c r="FN12" s="168"/>
      <c r="FO12" s="168"/>
      <c r="FP12" s="168"/>
      <c r="FQ12" s="168"/>
      <c r="FR12" s="168"/>
      <c r="FS12" s="168"/>
      <c r="FT12" s="168"/>
      <c r="FU12" s="168"/>
      <c r="FV12" s="168"/>
      <c r="FW12" s="168"/>
      <c r="FX12" s="168"/>
      <c r="FY12" s="168"/>
      <c r="FZ12" s="168"/>
      <c r="GA12" s="168"/>
      <c r="GB12" s="168"/>
      <c r="GC12" s="168"/>
      <c r="GD12" s="168"/>
      <c r="GE12" s="168"/>
      <c r="GF12" s="168"/>
      <c r="GG12" s="168"/>
      <c r="GH12" s="168"/>
      <c r="GI12" s="168"/>
      <c r="GJ12" s="168"/>
      <c r="GK12" s="168"/>
      <c r="GL12" s="168"/>
      <c r="GM12" s="168"/>
      <c r="GN12" s="168"/>
      <c r="GO12" s="168"/>
      <c r="GP12" s="168"/>
      <c r="GQ12" s="168"/>
      <c r="GR12" s="168"/>
      <c r="GS12" s="168"/>
      <c r="GT12" s="168"/>
      <c r="GU12" s="168"/>
      <c r="GV12" s="168"/>
      <c r="GW12" s="168"/>
      <c r="GX12" s="168"/>
      <c r="GY12" s="168"/>
      <c r="GZ12" s="168"/>
      <c r="HA12" s="168"/>
      <c r="HB12" s="168"/>
      <c r="HC12" s="168"/>
      <c r="HD12" s="168"/>
      <c r="HE12" s="168"/>
      <c r="HF12" s="168"/>
      <c r="HG12" s="168"/>
      <c r="HH12" s="168"/>
      <c r="HI12" s="168"/>
      <c r="HJ12" s="168"/>
      <c r="HK12" s="168"/>
      <c r="HL12" s="168"/>
      <c r="HM12" s="168"/>
      <c r="HN12" s="168"/>
      <c r="HO12" s="168"/>
      <c r="HP12" s="168"/>
      <c r="HQ12" s="168"/>
      <c r="HR12" s="168"/>
      <c r="HS12" s="168"/>
      <c r="HT12" s="168"/>
      <c r="HU12" s="168"/>
      <c r="HV12" s="168"/>
      <c r="HW12" s="168"/>
      <c r="HX12" s="168"/>
      <c r="HY12" s="168"/>
      <c r="HZ12" s="168"/>
      <c r="IA12" s="168"/>
      <c r="IB12" s="168"/>
      <c r="IC12" s="168"/>
      <c r="ID12" s="168"/>
      <c r="IE12" s="168"/>
      <c r="IF12" s="168"/>
      <c r="IG12" s="168"/>
      <c r="IH12" s="168"/>
      <c r="II12" s="168"/>
      <c r="IJ12" s="168"/>
      <c r="IK12" s="168"/>
      <c r="IL12" s="168"/>
      <c r="IM12" s="168"/>
      <c r="IN12" s="168"/>
      <c r="IO12" s="168"/>
      <c r="IP12" s="168"/>
      <c r="IQ12" s="168"/>
      <c r="IR12" s="168"/>
      <c r="IS12" s="168"/>
      <c r="IT12" s="168"/>
      <c r="IU12" s="168"/>
      <c r="IV12" s="168"/>
      <c r="IW12" s="168"/>
      <c r="IX12" s="168"/>
      <c r="IY12" s="168"/>
      <c r="IZ12" s="168"/>
      <c r="JA12" s="168"/>
      <c r="JB12" s="168"/>
      <c r="JC12" s="168"/>
      <c r="JD12" s="168"/>
      <c r="JE12" s="168"/>
      <c r="JF12" s="168"/>
      <c r="JG12" s="168"/>
      <c r="JH12" s="168"/>
      <c r="JI12" s="168"/>
      <c r="JJ12" s="168"/>
      <c r="JK12" s="168"/>
      <c r="JL12" s="168"/>
      <c r="JM12" s="168"/>
      <c r="JN12" s="168"/>
      <c r="JO12" s="168"/>
      <c r="JP12" s="168"/>
      <c r="JQ12" s="168"/>
      <c r="JR12" s="168"/>
      <c r="JS12" s="168"/>
      <c r="JT12" s="168"/>
      <c r="JU12" s="168"/>
      <c r="JV12" s="168"/>
      <c r="JW12" s="168"/>
      <c r="JX12" s="168"/>
      <c r="JY12" s="168"/>
      <c r="JZ12" s="168"/>
      <c r="KA12" s="168"/>
      <c r="KB12" s="168"/>
      <c r="KC12" s="168"/>
      <c r="KD12" s="168"/>
      <c r="KE12" s="168"/>
      <c r="KF12" s="168"/>
      <c r="KG12" s="168"/>
      <c r="KH12" s="168"/>
      <c r="KI12" s="168"/>
      <c r="KJ12" s="168"/>
      <c r="KK12" s="168"/>
      <c r="KL12" s="168"/>
      <c r="KM12" s="168"/>
      <c r="KN12" s="168"/>
      <c r="KO12" s="168"/>
      <c r="KP12" s="168"/>
      <c r="KQ12" s="168"/>
      <c r="KR12" s="168"/>
      <c r="KS12" s="168"/>
      <c r="KT12" s="168"/>
      <c r="KU12" s="168"/>
      <c r="KV12" s="168"/>
      <c r="KW12" s="168"/>
      <c r="KX12" s="168"/>
      <c r="KY12" s="168"/>
      <c r="KZ12" s="168"/>
      <c r="LA12" s="168"/>
      <c r="LB12" s="168"/>
      <c r="LC12" s="168"/>
      <c r="LD12" s="168"/>
      <c r="LE12" s="168"/>
      <c r="LF12" s="168"/>
      <c r="LG12" s="168"/>
      <c r="LH12" s="168"/>
    </row>
    <row r="13" spans="1:320" s="259" customFormat="1" ht="45" customHeight="1" thickTop="1" thickBot="1" x14ac:dyDescent="0.4">
      <c r="A13" s="177" t="s">
        <v>108</v>
      </c>
      <c r="B13" s="176" t="s">
        <v>107</v>
      </c>
      <c r="C13" s="361" t="s">
        <v>106</v>
      </c>
      <c r="D13" s="361"/>
      <c r="E13" s="361"/>
      <c r="F13" s="361"/>
      <c r="G13" s="361"/>
      <c r="H13" s="255">
        <f>IF(F5&lt;2,(F6*F7-F10),H22-F10)</f>
        <v>1455.1629190963931</v>
      </c>
      <c r="I13" s="367"/>
      <c r="J13" s="252">
        <f>IF($F$5&gt;=2,J22-I10,0)</f>
        <v>1000</v>
      </c>
      <c r="K13" s="256"/>
      <c r="L13" s="252">
        <f>IF($F$5&gt;=3,L22-K10,0)</f>
        <v>1000</v>
      </c>
      <c r="M13" s="257"/>
      <c r="N13" s="252">
        <f>IF($F$5&gt;=4,N22-M10,0)</f>
        <v>0</v>
      </c>
      <c r="O13" s="257"/>
      <c r="P13" s="252">
        <f>IF($F$5&gt;=5,P22-O10,0)</f>
        <v>0</v>
      </c>
      <c r="Q13" s="257"/>
      <c r="R13" s="252">
        <f>IF($F$5&gt;=6,R22-Q10,0)</f>
        <v>0</v>
      </c>
      <c r="S13" s="257"/>
      <c r="T13" s="252">
        <f>IF($F$5&gt;=7,T22-S10,0)</f>
        <v>0</v>
      </c>
      <c r="U13" s="257"/>
      <c r="V13" s="252">
        <f>IF($F$5&gt;=8,V22-U10,0)</f>
        <v>0</v>
      </c>
      <c r="W13" s="257"/>
      <c r="X13" s="252">
        <f>IF($F$5&gt;=9,X22-W10,0)</f>
        <v>0</v>
      </c>
      <c r="Y13" s="257"/>
      <c r="Z13" s="252">
        <f>IF($F$5&gt;=10,Z22-Y10,0)</f>
        <v>0</v>
      </c>
      <c r="AA13" s="257"/>
      <c r="AB13" s="252">
        <f>IF($F$5&gt;=11,AB22-AA10,0)</f>
        <v>0</v>
      </c>
      <c r="AC13" s="257"/>
      <c r="AD13" s="252">
        <f>IF($F$5&gt;=12,AD22-AC10,0)</f>
        <v>0</v>
      </c>
      <c r="AE13" s="257"/>
      <c r="AF13" s="257"/>
      <c r="AG13" s="258"/>
      <c r="AH13" s="258"/>
      <c r="AI13" s="258"/>
      <c r="AJ13" s="258"/>
      <c r="AK13" s="258"/>
      <c r="AL13" s="258"/>
      <c r="AM13" s="258"/>
      <c r="AN13" s="258"/>
      <c r="AO13" s="258"/>
      <c r="AP13" s="258"/>
      <c r="AQ13" s="258"/>
      <c r="AR13" s="258"/>
      <c r="AS13" s="258"/>
      <c r="AT13" s="258"/>
      <c r="AU13" s="258"/>
      <c r="AV13" s="258"/>
      <c r="AW13" s="258"/>
      <c r="AX13" s="258"/>
      <c r="AY13" s="258"/>
      <c r="AZ13" s="258"/>
      <c r="BA13" s="258"/>
      <c r="BB13" s="258"/>
      <c r="BC13" s="258"/>
      <c r="BD13" s="258"/>
      <c r="BE13" s="258"/>
      <c r="BF13" s="258"/>
      <c r="BG13" s="258"/>
      <c r="BH13" s="258"/>
      <c r="BI13" s="258"/>
      <c r="BJ13" s="258"/>
      <c r="BK13" s="258"/>
      <c r="BL13" s="258"/>
      <c r="BM13" s="258"/>
      <c r="BN13" s="258"/>
      <c r="BO13" s="258"/>
      <c r="BP13" s="258"/>
      <c r="BQ13" s="258"/>
      <c r="BR13" s="258"/>
      <c r="BS13" s="258"/>
      <c r="BT13" s="258"/>
      <c r="BU13" s="258"/>
      <c r="BV13" s="258"/>
      <c r="BW13" s="258"/>
      <c r="BX13" s="258"/>
      <c r="BY13" s="258"/>
      <c r="BZ13" s="258"/>
      <c r="CA13" s="258"/>
      <c r="CB13" s="258"/>
      <c r="CC13" s="258"/>
      <c r="CD13" s="258"/>
      <c r="CE13" s="258"/>
      <c r="CF13" s="258"/>
      <c r="CG13" s="258"/>
      <c r="CH13" s="258"/>
      <c r="CI13" s="258"/>
      <c r="CJ13" s="258"/>
      <c r="CK13" s="258"/>
      <c r="CL13" s="258"/>
      <c r="CM13" s="258"/>
      <c r="CN13" s="258"/>
      <c r="CO13" s="258"/>
      <c r="CP13" s="258"/>
      <c r="CQ13" s="258"/>
      <c r="CR13" s="258"/>
      <c r="CS13" s="258"/>
      <c r="CT13" s="258"/>
      <c r="CU13" s="258"/>
      <c r="CV13" s="258"/>
      <c r="CW13" s="258"/>
      <c r="CX13" s="258"/>
      <c r="CY13" s="258"/>
      <c r="CZ13" s="258"/>
      <c r="DA13" s="258"/>
      <c r="DB13" s="258"/>
      <c r="DC13" s="258"/>
      <c r="DD13" s="258"/>
      <c r="DE13" s="258"/>
      <c r="DF13" s="258"/>
      <c r="DG13" s="258"/>
      <c r="DH13" s="258"/>
      <c r="DI13" s="258"/>
      <c r="DJ13" s="258"/>
      <c r="DK13" s="258"/>
      <c r="DL13" s="258"/>
      <c r="DM13" s="258"/>
      <c r="DN13" s="258"/>
      <c r="DO13" s="258"/>
      <c r="DP13" s="258"/>
      <c r="DQ13" s="258"/>
      <c r="DR13" s="258"/>
      <c r="DS13" s="258"/>
      <c r="DT13" s="258"/>
      <c r="DU13" s="258"/>
      <c r="DV13" s="258"/>
      <c r="DW13" s="258"/>
      <c r="DX13" s="258"/>
      <c r="DY13" s="258"/>
      <c r="DZ13" s="258"/>
      <c r="EA13" s="258"/>
      <c r="EB13" s="258"/>
      <c r="EC13" s="258"/>
      <c r="ED13" s="258"/>
      <c r="EE13" s="258"/>
      <c r="EF13" s="258"/>
      <c r="EG13" s="258"/>
      <c r="EH13" s="258"/>
      <c r="EI13" s="258"/>
      <c r="EJ13" s="258"/>
      <c r="EK13" s="258"/>
      <c r="EL13" s="258"/>
      <c r="EM13" s="258"/>
      <c r="EN13" s="258"/>
      <c r="EO13" s="258"/>
      <c r="EP13" s="258"/>
      <c r="EQ13" s="258"/>
      <c r="ER13" s="258"/>
      <c r="ES13" s="258"/>
      <c r="ET13" s="258"/>
      <c r="EU13" s="258"/>
      <c r="EV13" s="258"/>
      <c r="EW13" s="258"/>
      <c r="EX13" s="258"/>
      <c r="EY13" s="258"/>
      <c r="EZ13" s="258"/>
      <c r="FA13" s="258"/>
      <c r="FB13" s="258"/>
      <c r="FC13" s="258"/>
      <c r="FD13" s="258"/>
      <c r="FE13" s="258"/>
      <c r="FF13" s="258"/>
      <c r="FG13" s="258"/>
      <c r="FH13" s="258"/>
      <c r="FI13" s="258"/>
      <c r="FJ13" s="258"/>
      <c r="FK13" s="258"/>
      <c r="FL13" s="258"/>
      <c r="FM13" s="258"/>
      <c r="FN13" s="258"/>
      <c r="FO13" s="258"/>
      <c r="FP13" s="258"/>
      <c r="FQ13" s="258"/>
      <c r="FR13" s="258"/>
      <c r="FS13" s="258"/>
      <c r="FT13" s="258"/>
      <c r="FU13" s="258"/>
      <c r="FV13" s="258"/>
      <c r="FW13" s="258"/>
      <c r="FX13" s="258"/>
      <c r="FY13" s="258"/>
      <c r="FZ13" s="258"/>
      <c r="GA13" s="258"/>
      <c r="GB13" s="258"/>
      <c r="GC13" s="258"/>
      <c r="GD13" s="258"/>
      <c r="GE13" s="258"/>
      <c r="GF13" s="258"/>
      <c r="GG13" s="258"/>
      <c r="GH13" s="258"/>
      <c r="GI13" s="258"/>
      <c r="GJ13" s="258"/>
      <c r="GK13" s="258"/>
      <c r="GL13" s="258"/>
      <c r="GM13" s="258"/>
      <c r="GN13" s="258"/>
      <c r="GO13" s="258"/>
      <c r="GP13" s="258"/>
      <c r="GQ13" s="258"/>
      <c r="GR13" s="258"/>
      <c r="GS13" s="258"/>
      <c r="GT13" s="258"/>
      <c r="GU13" s="258"/>
      <c r="GV13" s="258"/>
      <c r="GW13" s="258"/>
      <c r="GX13" s="258"/>
      <c r="GY13" s="258"/>
      <c r="GZ13" s="258"/>
      <c r="HA13" s="258"/>
      <c r="HB13" s="258"/>
      <c r="HC13" s="258"/>
      <c r="HD13" s="258"/>
      <c r="HE13" s="258"/>
      <c r="HF13" s="258"/>
      <c r="HG13" s="258"/>
      <c r="HH13" s="258"/>
      <c r="HI13" s="258"/>
      <c r="HJ13" s="258"/>
      <c r="HK13" s="258"/>
      <c r="HL13" s="258"/>
      <c r="HM13" s="258"/>
      <c r="HN13" s="258"/>
      <c r="HO13" s="258"/>
      <c r="HP13" s="258"/>
      <c r="HQ13" s="258"/>
      <c r="HR13" s="258"/>
      <c r="HS13" s="258"/>
      <c r="HT13" s="258"/>
      <c r="HU13" s="258"/>
      <c r="HV13" s="258"/>
      <c r="HW13" s="258"/>
      <c r="HX13" s="258"/>
      <c r="HY13" s="258"/>
      <c r="HZ13" s="258"/>
      <c r="IA13" s="258"/>
      <c r="IB13" s="258"/>
      <c r="IC13" s="258"/>
      <c r="ID13" s="258"/>
      <c r="IE13" s="258"/>
      <c r="IF13" s="258"/>
      <c r="IG13" s="258"/>
      <c r="IH13" s="258"/>
      <c r="II13" s="258"/>
      <c r="IJ13" s="258"/>
      <c r="IK13" s="258"/>
      <c r="IL13" s="258"/>
      <c r="IM13" s="258"/>
      <c r="IN13" s="258"/>
      <c r="IO13" s="258"/>
      <c r="IP13" s="258"/>
      <c r="IQ13" s="258"/>
      <c r="IR13" s="258"/>
      <c r="IS13" s="258"/>
      <c r="IT13" s="258"/>
      <c r="IU13" s="258"/>
      <c r="IV13" s="258"/>
      <c r="IW13" s="258"/>
      <c r="IX13" s="258"/>
      <c r="IY13" s="258"/>
      <c r="IZ13" s="258"/>
      <c r="JA13" s="258"/>
      <c r="JB13" s="258"/>
      <c r="JC13" s="258"/>
      <c r="JD13" s="258"/>
      <c r="JE13" s="258"/>
      <c r="JF13" s="258"/>
      <c r="JG13" s="258"/>
      <c r="JH13" s="258"/>
      <c r="JI13" s="258"/>
      <c r="JJ13" s="258"/>
      <c r="JK13" s="258"/>
      <c r="JL13" s="258"/>
      <c r="JM13" s="258"/>
      <c r="JN13" s="258"/>
      <c r="JO13" s="258"/>
      <c r="JP13" s="258"/>
      <c r="JQ13" s="258"/>
      <c r="JR13" s="258"/>
      <c r="JS13" s="258"/>
      <c r="JT13" s="258"/>
      <c r="JU13" s="258"/>
      <c r="JV13" s="258"/>
      <c r="JW13" s="258"/>
      <c r="JX13" s="258"/>
      <c r="JY13" s="258"/>
      <c r="JZ13" s="258"/>
      <c r="KA13" s="258"/>
      <c r="KB13" s="258"/>
      <c r="KC13" s="258"/>
      <c r="KD13" s="258"/>
      <c r="KE13" s="258"/>
      <c r="KF13" s="258"/>
      <c r="KG13" s="258"/>
      <c r="KH13" s="258"/>
      <c r="KI13" s="258"/>
      <c r="KJ13" s="258"/>
      <c r="KK13" s="258"/>
      <c r="KL13" s="258"/>
      <c r="KM13" s="258"/>
      <c r="KN13" s="258"/>
      <c r="KO13" s="258"/>
      <c r="KP13" s="258"/>
      <c r="KQ13" s="258"/>
      <c r="KR13" s="258"/>
      <c r="KS13" s="258"/>
      <c r="KT13" s="258"/>
      <c r="KU13" s="258"/>
      <c r="KV13" s="258"/>
      <c r="KW13" s="258"/>
      <c r="KX13" s="258"/>
      <c r="KY13" s="258"/>
      <c r="KZ13" s="258"/>
      <c r="LA13" s="258"/>
      <c r="LB13" s="258"/>
      <c r="LC13" s="258"/>
      <c r="LD13" s="258"/>
      <c r="LE13" s="258"/>
      <c r="LF13" s="258"/>
      <c r="LG13" s="258"/>
      <c r="LH13" s="258"/>
    </row>
    <row r="14" spans="1:320" s="259" customFormat="1" ht="45" customHeight="1" thickTop="1" x14ac:dyDescent="0.35">
      <c r="A14" s="266"/>
      <c r="B14" s="370" t="s">
        <v>105</v>
      </c>
      <c r="C14" s="371"/>
      <c r="D14" s="371"/>
      <c r="E14" s="371"/>
      <c r="F14" s="371"/>
      <c r="G14" s="371"/>
      <c r="H14" s="267">
        <f>IF(F5&lt;2,F6*F7,H22-I10)</f>
        <v>1000</v>
      </c>
      <c r="I14" s="367"/>
      <c r="J14" s="268">
        <f>IF((AND($F$5&gt;=2,F25="off")),$F$7*$F$6,IF((AND($F$5&gt;=2,F25="on")),$F$7*$F$26,0))</f>
        <v>1000</v>
      </c>
      <c r="K14" s="269"/>
      <c r="L14" s="268">
        <f>IF($F$5&gt;=3,$J$14,0)</f>
        <v>1000</v>
      </c>
      <c r="M14" s="269"/>
      <c r="N14" s="268">
        <f>IF($F$5&gt;=4,$J$14,0)</f>
        <v>0</v>
      </c>
      <c r="O14" s="269"/>
      <c r="P14" s="268">
        <f>IF($F$5&gt;=5,$J$14,0)</f>
        <v>0</v>
      </c>
      <c r="Q14" s="269"/>
      <c r="R14" s="268">
        <f>IF($F$5&gt;=6,$J$14,0)</f>
        <v>0</v>
      </c>
      <c r="S14" s="269"/>
      <c r="T14" s="268">
        <f>IF($F$5&gt;=7,$J$14,0)</f>
        <v>0</v>
      </c>
      <c r="U14" s="269"/>
      <c r="V14" s="268">
        <f>IF($F$5&gt;=8,$J$14,0)</f>
        <v>0</v>
      </c>
      <c r="W14" s="269"/>
      <c r="X14" s="268">
        <f>IF($F$5&gt;=9,$J$14,0)</f>
        <v>0</v>
      </c>
      <c r="Y14" s="269"/>
      <c r="Z14" s="268">
        <f>IF($F$5&gt;=10,$J$14,0)</f>
        <v>0</v>
      </c>
      <c r="AA14" s="269"/>
      <c r="AB14" s="268">
        <f>IF($F$5&gt;=11,$J$14,0)</f>
        <v>0</v>
      </c>
      <c r="AC14" s="269"/>
      <c r="AD14" s="268">
        <f>IF($F$5&gt;=12,$J$14,0)</f>
        <v>0</v>
      </c>
      <c r="AE14" s="269"/>
      <c r="AF14" s="269"/>
      <c r="AG14" s="270"/>
      <c r="AH14" s="270"/>
      <c r="AI14" s="270"/>
      <c r="AJ14" s="270"/>
      <c r="AK14" s="270"/>
      <c r="AL14" s="270"/>
      <c r="AM14" s="270"/>
      <c r="AN14" s="270"/>
      <c r="AO14" s="270"/>
      <c r="AP14" s="270"/>
      <c r="AQ14" s="270"/>
      <c r="AR14" s="270"/>
      <c r="AS14" s="270"/>
      <c r="AT14" s="270"/>
      <c r="AU14" s="270"/>
      <c r="AV14" s="270"/>
      <c r="AW14" s="270"/>
      <c r="AX14" s="270"/>
      <c r="AY14" s="270"/>
      <c r="AZ14" s="270"/>
      <c r="BA14" s="270"/>
      <c r="BB14" s="270"/>
      <c r="BC14" s="270"/>
      <c r="BD14" s="270"/>
      <c r="BE14" s="270"/>
      <c r="BF14" s="270"/>
      <c r="BG14" s="270"/>
      <c r="BH14" s="270"/>
      <c r="BI14" s="270"/>
      <c r="BJ14" s="270"/>
      <c r="BK14" s="270"/>
      <c r="BL14" s="270"/>
      <c r="BM14" s="270"/>
      <c r="BN14" s="270"/>
      <c r="BO14" s="270"/>
      <c r="BP14" s="270"/>
      <c r="BQ14" s="270"/>
      <c r="BR14" s="270"/>
      <c r="BS14" s="270"/>
      <c r="BT14" s="270"/>
      <c r="BU14" s="270"/>
      <c r="BV14" s="270"/>
      <c r="BW14" s="270"/>
      <c r="BX14" s="270"/>
      <c r="BY14" s="270"/>
      <c r="BZ14" s="270"/>
      <c r="CA14" s="270"/>
      <c r="CB14" s="270"/>
      <c r="CC14" s="270"/>
      <c r="CD14" s="270"/>
      <c r="CE14" s="270"/>
      <c r="CF14" s="270"/>
      <c r="CG14" s="270"/>
      <c r="CH14" s="270"/>
      <c r="CI14" s="270"/>
      <c r="CJ14" s="270"/>
      <c r="CK14" s="270"/>
      <c r="CL14" s="270"/>
      <c r="CM14" s="270"/>
      <c r="CN14" s="270"/>
      <c r="CO14" s="270"/>
      <c r="CP14" s="270"/>
      <c r="CQ14" s="270"/>
      <c r="CR14" s="270"/>
      <c r="CS14" s="270"/>
      <c r="CT14" s="270"/>
      <c r="CU14" s="270"/>
      <c r="CV14" s="270"/>
      <c r="CW14" s="270"/>
      <c r="CX14" s="270"/>
      <c r="CY14" s="270"/>
      <c r="CZ14" s="270"/>
      <c r="DA14" s="270"/>
      <c r="DB14" s="270"/>
      <c r="DC14" s="270"/>
      <c r="DD14" s="270"/>
      <c r="DE14" s="270"/>
      <c r="DF14" s="270"/>
      <c r="DG14" s="270"/>
      <c r="DH14" s="270"/>
      <c r="DI14" s="270"/>
      <c r="DJ14" s="270"/>
      <c r="DK14" s="270"/>
      <c r="DL14" s="270"/>
      <c r="DM14" s="270"/>
      <c r="DN14" s="270"/>
      <c r="DO14" s="270"/>
      <c r="DP14" s="270"/>
      <c r="DQ14" s="270"/>
      <c r="DR14" s="270"/>
      <c r="DS14" s="270"/>
      <c r="DT14" s="270"/>
      <c r="DU14" s="270"/>
      <c r="DV14" s="270"/>
      <c r="DW14" s="270"/>
      <c r="DX14" s="270"/>
      <c r="DY14" s="270"/>
      <c r="DZ14" s="270"/>
      <c r="EA14" s="270"/>
      <c r="EB14" s="270"/>
      <c r="EC14" s="270"/>
      <c r="ED14" s="270"/>
      <c r="EE14" s="270"/>
      <c r="EF14" s="270"/>
      <c r="EG14" s="270"/>
      <c r="EH14" s="270"/>
      <c r="EI14" s="270"/>
      <c r="EJ14" s="270"/>
      <c r="EK14" s="270"/>
      <c r="EL14" s="270"/>
      <c r="EM14" s="270"/>
      <c r="EN14" s="270"/>
      <c r="EO14" s="270"/>
      <c r="EP14" s="270"/>
      <c r="EQ14" s="270"/>
      <c r="ER14" s="270"/>
      <c r="ES14" s="270"/>
      <c r="ET14" s="270"/>
      <c r="EU14" s="270"/>
      <c r="EV14" s="270"/>
      <c r="EW14" s="270"/>
      <c r="EX14" s="270"/>
      <c r="EY14" s="270"/>
      <c r="EZ14" s="270"/>
      <c r="FA14" s="270"/>
      <c r="FB14" s="270"/>
      <c r="FC14" s="270"/>
      <c r="FD14" s="270"/>
      <c r="FE14" s="270"/>
      <c r="FF14" s="270"/>
      <c r="FG14" s="270"/>
      <c r="FH14" s="270"/>
      <c r="FI14" s="270"/>
      <c r="FJ14" s="270"/>
      <c r="FK14" s="270"/>
      <c r="FL14" s="270"/>
      <c r="FM14" s="270"/>
      <c r="FN14" s="270"/>
      <c r="FO14" s="270"/>
      <c r="FP14" s="270"/>
      <c r="FQ14" s="270"/>
      <c r="FR14" s="270"/>
      <c r="FS14" s="270"/>
      <c r="FT14" s="270"/>
      <c r="FU14" s="270"/>
      <c r="FV14" s="270"/>
      <c r="FW14" s="270"/>
      <c r="FX14" s="270"/>
      <c r="FY14" s="270"/>
      <c r="FZ14" s="270"/>
      <c r="GA14" s="270"/>
      <c r="GB14" s="270"/>
      <c r="GC14" s="270"/>
      <c r="GD14" s="270"/>
      <c r="GE14" s="270"/>
      <c r="GF14" s="270"/>
      <c r="GG14" s="270"/>
      <c r="GH14" s="270"/>
      <c r="GI14" s="270"/>
      <c r="GJ14" s="270"/>
      <c r="GK14" s="270"/>
      <c r="GL14" s="270"/>
      <c r="GM14" s="270"/>
      <c r="GN14" s="270"/>
      <c r="GO14" s="270"/>
      <c r="GP14" s="270"/>
      <c r="GQ14" s="270"/>
      <c r="GR14" s="270"/>
      <c r="GS14" s="270"/>
      <c r="GT14" s="270"/>
      <c r="GU14" s="270"/>
      <c r="GV14" s="270"/>
      <c r="GW14" s="270"/>
      <c r="GX14" s="270"/>
      <c r="GY14" s="270"/>
      <c r="GZ14" s="270"/>
      <c r="HA14" s="270"/>
      <c r="HB14" s="270"/>
      <c r="HC14" s="270"/>
      <c r="HD14" s="270"/>
      <c r="HE14" s="270"/>
      <c r="HF14" s="270"/>
      <c r="HG14" s="270"/>
      <c r="HH14" s="270"/>
      <c r="HI14" s="270"/>
      <c r="HJ14" s="270"/>
      <c r="HK14" s="270"/>
      <c r="HL14" s="270"/>
      <c r="HM14" s="270"/>
      <c r="HN14" s="270"/>
      <c r="HO14" s="270"/>
      <c r="HP14" s="270"/>
      <c r="HQ14" s="270"/>
      <c r="HR14" s="270"/>
      <c r="HS14" s="270"/>
      <c r="HT14" s="270"/>
      <c r="HU14" s="270"/>
      <c r="HV14" s="270"/>
      <c r="HW14" s="270"/>
      <c r="HX14" s="270"/>
      <c r="HY14" s="270"/>
      <c r="HZ14" s="270"/>
      <c r="IA14" s="270"/>
      <c r="IB14" s="270"/>
      <c r="IC14" s="270"/>
      <c r="ID14" s="270"/>
      <c r="IE14" s="270"/>
      <c r="IF14" s="270"/>
      <c r="IG14" s="270"/>
      <c r="IH14" s="270"/>
      <c r="II14" s="270"/>
      <c r="IJ14" s="270"/>
      <c r="IK14" s="270"/>
      <c r="IL14" s="270"/>
      <c r="IM14" s="270"/>
      <c r="IN14" s="270"/>
      <c r="IO14" s="270"/>
      <c r="IP14" s="270"/>
      <c r="IQ14" s="270"/>
      <c r="IR14" s="270"/>
      <c r="IS14" s="270"/>
      <c r="IT14" s="270"/>
      <c r="IU14" s="270"/>
      <c r="IV14" s="270"/>
      <c r="IW14" s="270"/>
      <c r="IX14" s="270"/>
      <c r="IY14" s="270"/>
      <c r="IZ14" s="270"/>
      <c r="JA14" s="270"/>
      <c r="JB14" s="270"/>
      <c r="JC14" s="270"/>
      <c r="JD14" s="270"/>
      <c r="JE14" s="270"/>
      <c r="JF14" s="270"/>
      <c r="JG14" s="270"/>
      <c r="JH14" s="270"/>
      <c r="JI14" s="270"/>
      <c r="JJ14" s="270"/>
      <c r="JK14" s="270"/>
      <c r="JL14" s="270"/>
      <c r="JM14" s="270"/>
      <c r="JN14" s="270"/>
      <c r="JO14" s="270"/>
      <c r="JP14" s="270"/>
      <c r="JQ14" s="270"/>
      <c r="JR14" s="270"/>
      <c r="JS14" s="270"/>
      <c r="JT14" s="270"/>
      <c r="JU14" s="270"/>
      <c r="JV14" s="270"/>
      <c r="JW14" s="270"/>
      <c r="JX14" s="270"/>
      <c r="JY14" s="270"/>
      <c r="JZ14" s="270"/>
      <c r="KA14" s="270"/>
      <c r="KB14" s="270"/>
      <c r="KC14" s="270"/>
      <c r="KD14" s="270"/>
      <c r="KE14" s="270"/>
      <c r="KF14" s="270"/>
      <c r="KG14" s="270"/>
      <c r="KH14" s="270"/>
      <c r="KI14" s="270"/>
      <c r="KJ14" s="270"/>
      <c r="KK14" s="270"/>
      <c r="KL14" s="270"/>
      <c r="KM14" s="270"/>
      <c r="KN14" s="270"/>
      <c r="KO14" s="270"/>
      <c r="KP14" s="270"/>
      <c r="KQ14" s="270"/>
      <c r="KR14" s="270"/>
      <c r="KS14" s="270"/>
      <c r="KT14" s="270"/>
      <c r="KU14" s="270"/>
      <c r="KV14" s="270"/>
      <c r="KW14" s="270"/>
      <c r="KX14" s="270"/>
      <c r="KY14" s="270"/>
      <c r="KZ14" s="270"/>
      <c r="LA14" s="270"/>
      <c r="LB14" s="270"/>
      <c r="LC14" s="270"/>
      <c r="LD14" s="270"/>
      <c r="LE14" s="270"/>
      <c r="LF14" s="270"/>
      <c r="LG14" s="270"/>
      <c r="LH14" s="270"/>
    </row>
    <row r="15" spans="1:320" s="169" customFormat="1" ht="18" hidden="1" customHeight="1" x14ac:dyDescent="0.3">
      <c r="A15" s="175"/>
      <c r="B15" s="370"/>
      <c r="C15" s="371"/>
      <c r="D15" s="371"/>
      <c r="E15" s="371"/>
      <c r="F15" s="371"/>
      <c r="G15" s="371"/>
      <c r="H15" s="174">
        <f>IF($F$5&gt;=H4,1/G3,0)</f>
        <v>5.0000000000000001E-3</v>
      </c>
      <c r="I15" s="368"/>
      <c r="J15" s="173">
        <f>IF($F$5&gt;J4,$H$15/($F$4^J4),0)</f>
        <v>1.5811388300841899E-3</v>
      </c>
      <c r="K15" s="172"/>
      <c r="L15" s="173">
        <f>IF($F$5&gt;L4,$H$15/($F$4^L4),0)</f>
        <v>5.0000000000000012E-4</v>
      </c>
      <c r="M15" s="172"/>
      <c r="N15" s="173">
        <f>IF($F$5&gt;N4,$H$15/($F$4^N4),0)</f>
        <v>0</v>
      </c>
      <c r="O15" s="172"/>
      <c r="P15" s="173">
        <f>IF($F$5&gt;P4,$H$15/($F$4^P4),0)</f>
        <v>0</v>
      </c>
      <c r="Q15" s="172"/>
      <c r="R15" s="173">
        <f>IF($F$5&gt;R4,$H$15/($F$4^R4),0)</f>
        <v>0</v>
      </c>
      <c r="S15" s="172"/>
      <c r="T15" s="173">
        <f>IF($F$5&gt;T4,$H$15/($F$4^T4),0)</f>
        <v>0</v>
      </c>
      <c r="U15" s="172"/>
      <c r="V15" s="173">
        <f>IF($F$5&gt;V4,$H$15/($F$4^V4),0)</f>
        <v>0</v>
      </c>
      <c r="W15" s="172"/>
      <c r="X15" s="173">
        <f>IF($F$5&gt;X4,$H$15/($F$4^X4),0)</f>
        <v>0</v>
      </c>
      <c r="Y15" s="172"/>
      <c r="Z15" s="173">
        <f>IF($F$5&gt;Z4,$H$15/($F$4^Z4),0)</f>
        <v>0</v>
      </c>
      <c r="AA15" s="172"/>
      <c r="AB15" s="173">
        <f>IF($F$5&gt;AB4,$H$15/($F$4^AB4),0)</f>
        <v>0</v>
      </c>
      <c r="AC15" s="172"/>
      <c r="AD15" s="173">
        <f>IF($F$5&gt;AD4,$H$15/($F$4^AD4),0)</f>
        <v>0</v>
      </c>
      <c r="AE15" s="172"/>
      <c r="AF15" s="171"/>
      <c r="AG15" s="170"/>
      <c r="AH15" s="170"/>
      <c r="AI15" s="170"/>
      <c r="AJ15" s="170"/>
      <c r="AK15" s="170"/>
      <c r="AL15" s="170"/>
      <c r="AM15" s="170"/>
      <c r="AN15" s="170"/>
      <c r="AO15" s="170"/>
      <c r="AP15" s="170"/>
      <c r="AQ15" s="170"/>
      <c r="AR15" s="170"/>
      <c r="AS15" s="170"/>
      <c r="AT15" s="170"/>
      <c r="AU15" s="170"/>
      <c r="AV15" s="170"/>
      <c r="AW15" s="170"/>
      <c r="AX15" s="170"/>
      <c r="AY15" s="170"/>
      <c r="AZ15" s="170"/>
      <c r="BA15" s="170"/>
      <c r="BB15" s="170"/>
      <c r="BC15" s="170"/>
      <c r="BD15" s="170"/>
      <c r="BE15" s="170"/>
      <c r="BF15" s="170"/>
      <c r="BG15" s="170"/>
      <c r="BH15" s="170"/>
      <c r="BI15" s="170"/>
      <c r="BJ15" s="170"/>
      <c r="BK15" s="170"/>
      <c r="BL15" s="170"/>
      <c r="BM15" s="170"/>
      <c r="BN15" s="170"/>
      <c r="BO15" s="170"/>
      <c r="BP15" s="170"/>
      <c r="BQ15" s="170"/>
      <c r="BR15" s="170"/>
      <c r="BS15" s="170"/>
      <c r="BT15" s="170"/>
      <c r="BU15" s="170"/>
      <c r="BV15" s="170"/>
      <c r="BW15" s="170"/>
      <c r="BX15" s="170"/>
      <c r="BY15" s="170"/>
      <c r="BZ15" s="170"/>
      <c r="CA15" s="170"/>
      <c r="CB15" s="170"/>
      <c r="CC15" s="170"/>
      <c r="CD15" s="170"/>
      <c r="CE15" s="170"/>
      <c r="CF15" s="170"/>
      <c r="CG15" s="170"/>
      <c r="CH15" s="170"/>
      <c r="CI15" s="170"/>
      <c r="CJ15" s="170"/>
      <c r="CK15" s="170"/>
      <c r="CL15" s="170"/>
      <c r="CM15" s="170"/>
      <c r="CN15" s="170"/>
      <c r="CO15" s="170"/>
      <c r="CP15" s="170"/>
      <c r="CQ15" s="170"/>
      <c r="CR15" s="170"/>
      <c r="CS15" s="170"/>
      <c r="CT15" s="170"/>
      <c r="CU15" s="170"/>
      <c r="CV15" s="170"/>
      <c r="CW15" s="170"/>
      <c r="CX15" s="170"/>
      <c r="CY15" s="170"/>
      <c r="CZ15" s="170"/>
      <c r="DA15" s="170"/>
      <c r="DB15" s="170"/>
      <c r="DC15" s="170"/>
      <c r="DD15" s="170"/>
      <c r="DE15" s="170"/>
      <c r="DF15" s="170"/>
      <c r="DG15" s="170"/>
      <c r="DH15" s="170"/>
      <c r="DI15" s="170"/>
      <c r="DJ15" s="170"/>
      <c r="DK15" s="170"/>
      <c r="DL15" s="170"/>
      <c r="DM15" s="170"/>
      <c r="DN15" s="170"/>
      <c r="DO15" s="170"/>
      <c r="DP15" s="170"/>
      <c r="DQ15" s="170"/>
      <c r="DR15" s="170"/>
      <c r="DS15" s="170"/>
      <c r="DT15" s="170"/>
      <c r="DU15" s="170"/>
      <c r="DV15" s="170"/>
      <c r="DW15" s="170"/>
      <c r="DX15" s="170"/>
      <c r="DY15" s="170"/>
      <c r="DZ15" s="170"/>
      <c r="EA15" s="170"/>
      <c r="EB15" s="170"/>
      <c r="EC15" s="170"/>
      <c r="ED15" s="170"/>
      <c r="EE15" s="170"/>
      <c r="EF15" s="170"/>
      <c r="EG15" s="170"/>
      <c r="EH15" s="170"/>
      <c r="EI15" s="170"/>
      <c r="EJ15" s="170"/>
      <c r="EK15" s="170"/>
      <c r="EL15" s="170"/>
      <c r="EM15" s="170"/>
      <c r="EN15" s="170"/>
      <c r="EO15" s="170"/>
      <c r="EP15" s="170"/>
      <c r="EQ15" s="170"/>
      <c r="ER15" s="170"/>
      <c r="ES15" s="170"/>
      <c r="ET15" s="170"/>
      <c r="EU15" s="170"/>
      <c r="EV15" s="170"/>
      <c r="EW15" s="170"/>
      <c r="EX15" s="170"/>
      <c r="EY15" s="170"/>
      <c r="EZ15" s="170"/>
      <c r="FA15" s="170"/>
      <c r="FB15" s="170"/>
      <c r="FC15" s="170"/>
      <c r="FD15" s="170"/>
      <c r="FE15" s="170"/>
      <c r="FF15" s="170"/>
      <c r="FG15" s="170"/>
      <c r="FH15" s="170"/>
      <c r="FI15" s="170"/>
      <c r="FJ15" s="170"/>
      <c r="FK15" s="170"/>
      <c r="FL15" s="170"/>
      <c r="FM15" s="170"/>
      <c r="FN15" s="170"/>
      <c r="FO15" s="170"/>
      <c r="FP15" s="170"/>
      <c r="FQ15" s="170"/>
      <c r="FR15" s="170"/>
      <c r="FS15" s="170"/>
      <c r="FT15" s="170"/>
      <c r="FU15" s="170"/>
      <c r="FV15" s="170"/>
      <c r="FW15" s="170"/>
      <c r="FX15" s="170"/>
      <c r="FY15" s="170"/>
      <c r="FZ15" s="170"/>
      <c r="GA15" s="170"/>
      <c r="GB15" s="170"/>
      <c r="GC15" s="170"/>
      <c r="GD15" s="170"/>
      <c r="GE15" s="170"/>
      <c r="GF15" s="170"/>
      <c r="GG15" s="170"/>
      <c r="GH15" s="170"/>
      <c r="GI15" s="170"/>
      <c r="GJ15" s="170"/>
      <c r="GK15" s="170"/>
      <c r="GL15" s="170"/>
      <c r="GM15" s="170"/>
      <c r="GN15" s="170"/>
      <c r="GO15" s="170"/>
      <c r="GP15" s="170"/>
      <c r="GQ15" s="170"/>
      <c r="GR15" s="170"/>
      <c r="GS15" s="170"/>
      <c r="GT15" s="170"/>
      <c r="GU15" s="170"/>
      <c r="GV15" s="170"/>
      <c r="GW15" s="170"/>
      <c r="GX15" s="170"/>
      <c r="GY15" s="170"/>
      <c r="GZ15" s="170"/>
      <c r="HA15" s="170"/>
      <c r="HB15" s="170"/>
      <c r="HC15" s="170"/>
      <c r="HD15" s="170"/>
      <c r="HE15" s="170"/>
      <c r="HF15" s="170"/>
      <c r="HG15" s="170"/>
      <c r="HH15" s="170"/>
      <c r="HI15" s="170"/>
      <c r="HJ15" s="170"/>
      <c r="HK15" s="170"/>
      <c r="HL15" s="170"/>
      <c r="HM15" s="170"/>
      <c r="HN15" s="170"/>
      <c r="HO15" s="170"/>
      <c r="HP15" s="170"/>
      <c r="HQ15" s="170"/>
      <c r="HR15" s="170"/>
      <c r="HS15" s="170"/>
      <c r="HT15" s="170"/>
      <c r="HU15" s="170"/>
      <c r="HV15" s="170"/>
      <c r="HW15" s="170"/>
      <c r="HX15" s="170"/>
      <c r="HY15" s="170"/>
      <c r="HZ15" s="170"/>
      <c r="IA15" s="170"/>
      <c r="IB15" s="170"/>
      <c r="IC15" s="170"/>
      <c r="ID15" s="170"/>
      <c r="IE15" s="170"/>
      <c r="IF15" s="170"/>
      <c r="IG15" s="170"/>
      <c r="IH15" s="170"/>
      <c r="II15" s="170"/>
      <c r="IJ15" s="170"/>
      <c r="IK15" s="170"/>
      <c r="IL15" s="170"/>
      <c r="IM15" s="170"/>
      <c r="IN15" s="170"/>
      <c r="IO15" s="170"/>
      <c r="IP15" s="170"/>
      <c r="IQ15" s="170"/>
      <c r="IR15" s="170"/>
      <c r="IS15" s="170"/>
      <c r="IT15" s="170"/>
      <c r="IU15" s="170"/>
      <c r="IV15" s="170"/>
      <c r="IW15" s="170"/>
      <c r="IX15" s="170"/>
      <c r="IY15" s="170"/>
      <c r="IZ15" s="170"/>
      <c r="JA15" s="170"/>
      <c r="JB15" s="170"/>
      <c r="JC15" s="170"/>
      <c r="JD15" s="170"/>
      <c r="JE15" s="170"/>
      <c r="JF15" s="170"/>
      <c r="JG15" s="170"/>
      <c r="JH15" s="170"/>
      <c r="JI15" s="170"/>
      <c r="JJ15" s="170"/>
      <c r="JK15" s="170"/>
      <c r="JL15" s="170"/>
      <c r="JM15" s="170"/>
      <c r="JN15" s="170"/>
      <c r="JO15" s="170"/>
      <c r="JP15" s="170"/>
      <c r="JQ15" s="170"/>
      <c r="JR15" s="170"/>
      <c r="JS15" s="170"/>
      <c r="JT15" s="170"/>
      <c r="JU15" s="170"/>
      <c r="JV15" s="170"/>
      <c r="JW15" s="170"/>
      <c r="JX15" s="170"/>
      <c r="JY15" s="170"/>
      <c r="JZ15" s="170"/>
      <c r="KA15" s="170"/>
      <c r="KB15" s="170"/>
      <c r="KC15" s="170"/>
      <c r="KD15" s="170"/>
      <c r="KE15" s="170"/>
      <c r="KF15" s="170"/>
      <c r="KG15" s="170"/>
      <c r="KH15" s="170"/>
      <c r="KI15" s="170"/>
      <c r="KJ15" s="170"/>
      <c r="KK15" s="170"/>
      <c r="KL15" s="170"/>
      <c r="KM15" s="170"/>
      <c r="KN15" s="170"/>
      <c r="KO15" s="170"/>
      <c r="KP15" s="170"/>
      <c r="KQ15" s="170"/>
      <c r="KR15" s="170"/>
      <c r="KS15" s="170"/>
      <c r="KT15" s="170"/>
      <c r="KU15" s="170"/>
      <c r="KV15" s="170"/>
      <c r="KW15" s="170"/>
      <c r="KX15" s="170"/>
      <c r="KY15" s="170"/>
      <c r="KZ15" s="170"/>
      <c r="LA15" s="170"/>
      <c r="LB15" s="170"/>
      <c r="LC15" s="170"/>
      <c r="LD15" s="170"/>
      <c r="LE15" s="170"/>
      <c r="LF15" s="170"/>
      <c r="LG15" s="170"/>
      <c r="LH15" s="170"/>
    </row>
    <row r="16" spans="1:320" s="265" customFormat="1" ht="45" customHeight="1" x14ac:dyDescent="0.35">
      <c r="A16" s="260"/>
      <c r="B16" s="372" t="s">
        <v>150</v>
      </c>
      <c r="C16" s="373"/>
      <c r="D16" s="373"/>
      <c r="E16" s="373"/>
      <c r="F16" s="373"/>
      <c r="G16" s="373"/>
      <c r="H16" s="283">
        <f>IF($F$5&gt;=H4,$F$2*H15,0)</f>
        <v>10</v>
      </c>
      <c r="I16" s="367"/>
      <c r="J16" s="261">
        <f>IF($F$5&gt;=J4,$F$2*J15,0)</f>
        <v>3.16227766016838</v>
      </c>
      <c r="K16" s="262"/>
      <c r="L16" s="261">
        <f>IF($F$5&gt;=L4,$F$2*L15,0)</f>
        <v>1.0000000000000002</v>
      </c>
      <c r="M16" s="262"/>
      <c r="N16" s="261">
        <f>IF($F$5&gt;=N4,$F$2*N15,0)</f>
        <v>0</v>
      </c>
      <c r="O16" s="262"/>
      <c r="P16" s="261">
        <f>IF($F$5&gt;=P4,$F$2*P15,0)</f>
        <v>0</v>
      </c>
      <c r="Q16" s="262"/>
      <c r="R16" s="261">
        <f>IF($F$5&gt;=R4,$F$2*R15,0)</f>
        <v>0</v>
      </c>
      <c r="S16" s="262"/>
      <c r="T16" s="261">
        <f>IF($F$5&gt;=T4,$F$2*T15,0)</f>
        <v>0</v>
      </c>
      <c r="U16" s="262"/>
      <c r="V16" s="261">
        <f>IF($F$5&gt;=V4,$F$2*V15,0)</f>
        <v>0</v>
      </c>
      <c r="W16" s="262"/>
      <c r="X16" s="261">
        <f>IF($F$5&gt;=X4,$F$2*X15,0)</f>
        <v>0</v>
      </c>
      <c r="Y16" s="262"/>
      <c r="Z16" s="261">
        <f>IF($F$5&gt;=Z4,$F$2*Z15,0)</f>
        <v>0</v>
      </c>
      <c r="AA16" s="262"/>
      <c r="AB16" s="261">
        <f>IF($F$5&gt;=AB4,$F$2*AB15,0)</f>
        <v>0</v>
      </c>
      <c r="AC16" s="262"/>
      <c r="AD16" s="261">
        <f>IF($F$5&gt;=AD4,$F$2*AD15,0)</f>
        <v>0</v>
      </c>
      <c r="AE16" s="263"/>
      <c r="AF16" s="264"/>
      <c r="AG16" s="264"/>
      <c r="AH16" s="264"/>
      <c r="AI16" s="264"/>
      <c r="AJ16" s="264"/>
      <c r="AK16" s="264"/>
      <c r="AL16" s="264"/>
      <c r="AM16" s="264"/>
      <c r="AN16" s="264"/>
      <c r="AO16" s="264"/>
      <c r="AP16" s="264"/>
      <c r="AQ16" s="264"/>
      <c r="AR16" s="264"/>
      <c r="AS16" s="264"/>
      <c r="AT16" s="264"/>
      <c r="AU16" s="264"/>
      <c r="AV16" s="264"/>
      <c r="AW16" s="264"/>
      <c r="AX16" s="264"/>
      <c r="AY16" s="264"/>
      <c r="AZ16" s="264"/>
      <c r="BA16" s="264"/>
      <c r="BB16" s="264"/>
      <c r="BC16" s="264"/>
      <c r="BD16" s="264"/>
      <c r="BE16" s="264"/>
      <c r="BF16" s="264"/>
      <c r="BG16" s="264"/>
      <c r="BH16" s="264"/>
      <c r="BI16" s="264"/>
      <c r="BJ16" s="264"/>
      <c r="BK16" s="264"/>
      <c r="BL16" s="264"/>
      <c r="BM16" s="264"/>
      <c r="BN16" s="264"/>
      <c r="BO16" s="264"/>
      <c r="BP16" s="264"/>
      <c r="BQ16" s="264"/>
      <c r="BR16" s="264"/>
      <c r="BS16" s="264"/>
      <c r="BT16" s="264"/>
      <c r="BU16" s="264"/>
      <c r="BV16" s="264"/>
      <c r="BW16" s="264"/>
      <c r="BX16" s="264"/>
      <c r="BY16" s="264"/>
      <c r="BZ16" s="264"/>
      <c r="CA16" s="264"/>
      <c r="CB16" s="264"/>
      <c r="CC16" s="264"/>
      <c r="CD16" s="264"/>
      <c r="CE16" s="264"/>
      <c r="CF16" s="264"/>
      <c r="CG16" s="264"/>
      <c r="CH16" s="264"/>
      <c r="CI16" s="264"/>
      <c r="CJ16" s="264"/>
      <c r="CK16" s="264"/>
      <c r="CL16" s="264"/>
      <c r="CM16" s="264"/>
      <c r="CN16" s="264"/>
      <c r="CO16" s="264"/>
      <c r="CP16" s="264"/>
      <c r="CQ16" s="264"/>
      <c r="CR16" s="264"/>
      <c r="CS16" s="264"/>
      <c r="CT16" s="264"/>
      <c r="CU16" s="264"/>
      <c r="CV16" s="264"/>
      <c r="CW16" s="264"/>
      <c r="CX16" s="264"/>
      <c r="CY16" s="264"/>
      <c r="CZ16" s="264"/>
      <c r="DA16" s="264"/>
      <c r="DB16" s="264"/>
      <c r="DC16" s="264"/>
      <c r="DD16" s="264"/>
      <c r="DE16" s="264"/>
      <c r="DF16" s="264"/>
      <c r="DG16" s="264"/>
      <c r="DH16" s="264"/>
      <c r="DI16" s="264"/>
      <c r="DJ16" s="264"/>
      <c r="DK16" s="264"/>
      <c r="DL16" s="264"/>
      <c r="DM16" s="264"/>
      <c r="DN16" s="264"/>
      <c r="DO16" s="264"/>
      <c r="DP16" s="264"/>
      <c r="DQ16" s="264"/>
      <c r="DR16" s="264"/>
      <c r="DS16" s="264"/>
      <c r="DT16" s="264"/>
      <c r="DU16" s="264"/>
      <c r="DV16" s="264"/>
      <c r="DW16" s="264"/>
      <c r="DX16" s="264"/>
      <c r="DY16" s="264"/>
      <c r="DZ16" s="264"/>
      <c r="EA16" s="264"/>
      <c r="EB16" s="264"/>
      <c r="EC16" s="264"/>
      <c r="ED16" s="264"/>
      <c r="EE16" s="264"/>
      <c r="EF16" s="264"/>
      <c r="EG16" s="264"/>
      <c r="EH16" s="264"/>
      <c r="EI16" s="264"/>
      <c r="EJ16" s="264"/>
      <c r="EK16" s="264"/>
      <c r="EL16" s="264"/>
      <c r="EM16" s="264"/>
      <c r="EN16" s="264"/>
      <c r="EO16" s="264"/>
      <c r="EP16" s="264"/>
      <c r="EQ16" s="264"/>
      <c r="ER16" s="264"/>
      <c r="ES16" s="264"/>
      <c r="ET16" s="264"/>
      <c r="EU16" s="264"/>
      <c r="EV16" s="264"/>
      <c r="EW16" s="264"/>
      <c r="EX16" s="264"/>
      <c r="EY16" s="264"/>
      <c r="EZ16" s="264"/>
      <c r="FA16" s="264"/>
      <c r="FB16" s="264"/>
      <c r="FC16" s="264"/>
      <c r="FD16" s="264"/>
      <c r="FE16" s="264"/>
      <c r="FF16" s="264"/>
      <c r="FG16" s="264"/>
      <c r="FH16" s="264"/>
      <c r="FI16" s="264"/>
      <c r="FJ16" s="264"/>
      <c r="FK16" s="264"/>
      <c r="FL16" s="264"/>
      <c r="FM16" s="264"/>
      <c r="FN16" s="264"/>
      <c r="FO16" s="264"/>
      <c r="FP16" s="264"/>
      <c r="FQ16" s="264"/>
      <c r="FR16" s="264"/>
      <c r="FS16" s="264"/>
      <c r="FT16" s="264"/>
      <c r="FU16" s="264"/>
      <c r="FV16" s="264"/>
      <c r="FW16" s="264"/>
      <c r="FX16" s="264"/>
      <c r="FY16" s="264"/>
      <c r="FZ16" s="264"/>
      <c r="GA16" s="264"/>
      <c r="GB16" s="264"/>
      <c r="GC16" s="264"/>
      <c r="GD16" s="264"/>
      <c r="GE16" s="264"/>
      <c r="GF16" s="264"/>
      <c r="GG16" s="264"/>
      <c r="GH16" s="264"/>
      <c r="GI16" s="264"/>
      <c r="GJ16" s="264"/>
      <c r="GK16" s="264"/>
      <c r="GL16" s="264"/>
      <c r="GM16" s="264"/>
      <c r="GN16" s="264"/>
      <c r="GO16" s="264"/>
      <c r="GP16" s="264"/>
      <c r="GQ16" s="264"/>
      <c r="GR16" s="264"/>
      <c r="GS16" s="264"/>
      <c r="GT16" s="264"/>
      <c r="GU16" s="264"/>
      <c r="GV16" s="264"/>
      <c r="GW16" s="264"/>
      <c r="GX16" s="264"/>
      <c r="GY16" s="264"/>
      <c r="GZ16" s="264"/>
      <c r="HA16" s="264"/>
      <c r="HB16" s="264"/>
      <c r="HC16" s="264"/>
      <c r="HD16" s="264"/>
      <c r="HE16" s="264"/>
      <c r="HF16" s="264"/>
      <c r="HG16" s="264"/>
      <c r="HH16" s="264"/>
      <c r="HI16" s="264"/>
      <c r="HJ16" s="264"/>
      <c r="HK16" s="264"/>
      <c r="HL16" s="264"/>
      <c r="HM16" s="264"/>
      <c r="HN16" s="264"/>
      <c r="HO16" s="264"/>
      <c r="HP16" s="264"/>
      <c r="HQ16" s="264"/>
      <c r="HR16" s="264"/>
      <c r="HS16" s="264"/>
      <c r="HT16" s="264"/>
      <c r="HU16" s="264"/>
      <c r="HV16" s="264"/>
      <c r="HW16" s="264"/>
      <c r="HX16" s="264"/>
      <c r="HY16" s="264"/>
      <c r="HZ16" s="264"/>
      <c r="IA16" s="264"/>
      <c r="IB16" s="264"/>
      <c r="IC16" s="264"/>
      <c r="ID16" s="264"/>
      <c r="IE16" s="264"/>
      <c r="IF16" s="264"/>
      <c r="IG16" s="264"/>
      <c r="IH16" s="264"/>
      <c r="II16" s="264"/>
      <c r="IJ16" s="264"/>
      <c r="IK16" s="264"/>
      <c r="IL16" s="264"/>
      <c r="IM16" s="264"/>
      <c r="IN16" s="264"/>
      <c r="IO16" s="264"/>
      <c r="IP16" s="264"/>
      <c r="IQ16" s="264"/>
      <c r="IR16" s="264"/>
      <c r="IS16" s="264"/>
      <c r="IT16" s="264"/>
      <c r="IU16" s="264"/>
      <c r="IV16" s="264"/>
      <c r="IW16" s="264"/>
      <c r="IX16" s="264"/>
      <c r="IY16" s="264"/>
      <c r="IZ16" s="264"/>
      <c r="JA16" s="264"/>
      <c r="JB16" s="264"/>
      <c r="JC16" s="264"/>
      <c r="JD16" s="264"/>
      <c r="JE16" s="264"/>
      <c r="JF16" s="264"/>
      <c r="JG16" s="264"/>
      <c r="JH16" s="264"/>
      <c r="JI16" s="264"/>
      <c r="JJ16" s="264"/>
      <c r="JK16" s="264"/>
      <c r="JL16" s="264"/>
      <c r="JM16" s="264"/>
      <c r="JN16" s="264"/>
      <c r="JO16" s="264"/>
      <c r="JP16" s="264"/>
      <c r="JQ16" s="264"/>
      <c r="JR16" s="264"/>
      <c r="JS16" s="264"/>
      <c r="JT16" s="264"/>
      <c r="JU16" s="264"/>
      <c r="JV16" s="264"/>
      <c r="JW16" s="264"/>
      <c r="JX16" s="264"/>
      <c r="JY16" s="264"/>
      <c r="JZ16" s="264"/>
      <c r="KA16" s="264"/>
      <c r="KB16" s="264"/>
      <c r="KC16" s="264"/>
      <c r="KD16" s="264"/>
      <c r="KE16" s="264"/>
      <c r="KF16" s="264"/>
      <c r="KG16" s="264"/>
      <c r="KH16" s="264"/>
      <c r="KI16" s="264"/>
      <c r="KJ16" s="264"/>
      <c r="KK16" s="264"/>
      <c r="KL16" s="264"/>
      <c r="KM16" s="264"/>
      <c r="KN16" s="264"/>
      <c r="KO16" s="264"/>
      <c r="KP16" s="264"/>
      <c r="KQ16" s="264"/>
      <c r="KR16" s="264"/>
      <c r="KS16" s="264"/>
      <c r="KT16" s="264"/>
      <c r="KU16" s="264"/>
      <c r="KV16" s="264"/>
      <c r="KW16" s="264"/>
      <c r="KX16" s="264"/>
      <c r="KY16" s="264"/>
      <c r="KZ16" s="264"/>
      <c r="LA16" s="264"/>
      <c r="LB16" s="264"/>
      <c r="LC16" s="264"/>
      <c r="LD16" s="264"/>
      <c r="LE16" s="264"/>
      <c r="LF16" s="264"/>
      <c r="LG16" s="264"/>
      <c r="LH16" s="264"/>
    </row>
    <row r="17" spans="1:320" s="265" customFormat="1" ht="26.25" customHeight="1" thickBot="1" x14ac:dyDescent="0.4">
      <c r="A17" s="260"/>
      <c r="B17" s="374" t="s">
        <v>151</v>
      </c>
      <c r="C17" s="375"/>
      <c r="D17" s="375"/>
      <c r="E17" s="375"/>
      <c r="F17" s="375"/>
      <c r="G17" s="375"/>
      <c r="H17" s="289">
        <f>H16/1000</f>
        <v>0.01</v>
      </c>
      <c r="I17" s="279"/>
      <c r="J17" s="290">
        <f>J16/1000</f>
        <v>3.1622776601683798E-3</v>
      </c>
      <c r="K17" s="23"/>
      <c r="L17" s="290">
        <f>L16/1000</f>
        <v>1.0000000000000002E-3</v>
      </c>
      <c r="M17" s="23"/>
      <c r="N17" s="290">
        <f>N16/1000</f>
        <v>0</v>
      </c>
      <c r="O17" s="23"/>
      <c r="P17" s="290">
        <f>P16/1000</f>
        <v>0</v>
      </c>
      <c r="Q17" s="23"/>
      <c r="R17" s="290">
        <f>R16/1000</f>
        <v>0</v>
      </c>
      <c r="S17" s="23"/>
      <c r="T17" s="290">
        <f>T16/1000</f>
        <v>0</v>
      </c>
      <c r="U17" s="23"/>
      <c r="V17" s="290"/>
      <c r="W17" s="23"/>
      <c r="X17" s="290"/>
      <c r="Y17" s="23"/>
      <c r="Z17" s="290"/>
      <c r="AA17" s="23"/>
      <c r="AB17" s="290"/>
      <c r="AC17" s="262"/>
      <c r="AD17" s="261"/>
      <c r="AE17" s="263"/>
      <c r="AF17" s="264"/>
      <c r="AG17" s="264"/>
      <c r="AH17" s="264"/>
      <c r="AI17" s="264"/>
      <c r="AJ17" s="264"/>
      <c r="AK17" s="264"/>
      <c r="AL17" s="264"/>
      <c r="AM17" s="264"/>
      <c r="AN17" s="264"/>
      <c r="AO17" s="264"/>
      <c r="AP17" s="264"/>
      <c r="AQ17" s="264"/>
      <c r="AR17" s="264"/>
      <c r="AS17" s="264"/>
      <c r="AT17" s="264"/>
      <c r="AU17" s="264"/>
      <c r="AV17" s="264"/>
      <c r="AW17" s="264"/>
      <c r="AX17" s="264"/>
      <c r="AY17" s="264"/>
      <c r="AZ17" s="264"/>
      <c r="BA17" s="264"/>
      <c r="BB17" s="264"/>
      <c r="BC17" s="264"/>
      <c r="BD17" s="264"/>
      <c r="BE17" s="264"/>
      <c r="BF17" s="264"/>
      <c r="BG17" s="264"/>
      <c r="BH17" s="264"/>
      <c r="BI17" s="264"/>
      <c r="BJ17" s="264"/>
      <c r="BK17" s="264"/>
      <c r="BL17" s="264"/>
      <c r="BM17" s="264"/>
      <c r="BN17" s="264"/>
      <c r="BO17" s="264"/>
      <c r="BP17" s="264"/>
      <c r="BQ17" s="264"/>
      <c r="BR17" s="264"/>
      <c r="BS17" s="264"/>
      <c r="BT17" s="264"/>
      <c r="BU17" s="264"/>
      <c r="BV17" s="264"/>
      <c r="BW17" s="264"/>
      <c r="BX17" s="264"/>
      <c r="BY17" s="264"/>
      <c r="BZ17" s="264"/>
      <c r="CA17" s="264"/>
      <c r="CB17" s="264"/>
      <c r="CC17" s="264"/>
      <c r="CD17" s="264"/>
      <c r="CE17" s="264"/>
      <c r="CF17" s="264"/>
      <c r="CG17" s="264"/>
      <c r="CH17" s="264"/>
      <c r="CI17" s="264"/>
      <c r="CJ17" s="264"/>
      <c r="CK17" s="264"/>
      <c r="CL17" s="264"/>
      <c r="CM17" s="264"/>
      <c r="CN17" s="264"/>
      <c r="CO17" s="264"/>
      <c r="CP17" s="264"/>
      <c r="CQ17" s="264"/>
      <c r="CR17" s="264"/>
      <c r="CS17" s="264"/>
      <c r="CT17" s="264"/>
      <c r="CU17" s="264"/>
      <c r="CV17" s="264"/>
      <c r="CW17" s="264"/>
      <c r="CX17" s="264"/>
      <c r="CY17" s="264"/>
      <c r="CZ17" s="264"/>
      <c r="DA17" s="264"/>
      <c r="DB17" s="264"/>
      <c r="DC17" s="264"/>
      <c r="DD17" s="264"/>
      <c r="DE17" s="264"/>
      <c r="DF17" s="264"/>
      <c r="DG17" s="264"/>
      <c r="DH17" s="264"/>
      <c r="DI17" s="264"/>
      <c r="DJ17" s="264"/>
      <c r="DK17" s="264"/>
      <c r="DL17" s="264"/>
      <c r="DM17" s="264"/>
      <c r="DN17" s="264"/>
      <c r="DO17" s="264"/>
      <c r="DP17" s="264"/>
      <c r="DQ17" s="264"/>
      <c r="DR17" s="264"/>
      <c r="DS17" s="264"/>
      <c r="DT17" s="264"/>
      <c r="DU17" s="264"/>
      <c r="DV17" s="264"/>
      <c r="DW17" s="264"/>
      <c r="DX17" s="264"/>
      <c r="DY17" s="264"/>
      <c r="DZ17" s="264"/>
      <c r="EA17" s="264"/>
      <c r="EB17" s="264"/>
      <c r="EC17" s="264"/>
      <c r="ED17" s="264"/>
      <c r="EE17" s="264"/>
      <c r="EF17" s="264"/>
      <c r="EG17" s="264"/>
      <c r="EH17" s="264"/>
      <c r="EI17" s="264"/>
      <c r="EJ17" s="264"/>
      <c r="EK17" s="264"/>
      <c r="EL17" s="264"/>
      <c r="EM17" s="264"/>
      <c r="EN17" s="264"/>
      <c r="EO17" s="264"/>
      <c r="EP17" s="264"/>
      <c r="EQ17" s="264"/>
      <c r="ER17" s="264"/>
      <c r="ES17" s="264"/>
      <c r="ET17" s="264"/>
      <c r="EU17" s="264"/>
      <c r="EV17" s="264"/>
      <c r="EW17" s="264"/>
      <c r="EX17" s="264"/>
      <c r="EY17" s="264"/>
      <c r="EZ17" s="264"/>
      <c r="FA17" s="264"/>
      <c r="FB17" s="264"/>
      <c r="FC17" s="264"/>
      <c r="FD17" s="264"/>
      <c r="FE17" s="264"/>
      <c r="FF17" s="264"/>
      <c r="FG17" s="264"/>
      <c r="FH17" s="264"/>
      <c r="FI17" s="264"/>
      <c r="FJ17" s="264"/>
      <c r="FK17" s="264"/>
      <c r="FL17" s="264"/>
      <c r="FM17" s="264"/>
      <c r="FN17" s="264"/>
      <c r="FO17" s="264"/>
      <c r="FP17" s="264"/>
      <c r="FQ17" s="264"/>
      <c r="FR17" s="264"/>
      <c r="FS17" s="264"/>
      <c r="FT17" s="264"/>
      <c r="FU17" s="264"/>
      <c r="FV17" s="264"/>
      <c r="FW17" s="264"/>
      <c r="FX17" s="264"/>
      <c r="FY17" s="264"/>
      <c r="FZ17" s="264"/>
      <c r="GA17" s="264"/>
      <c r="GB17" s="264"/>
      <c r="GC17" s="264"/>
      <c r="GD17" s="264"/>
      <c r="GE17" s="264"/>
      <c r="GF17" s="264"/>
      <c r="GG17" s="264"/>
      <c r="GH17" s="264"/>
      <c r="GI17" s="264"/>
      <c r="GJ17" s="264"/>
      <c r="GK17" s="264"/>
      <c r="GL17" s="264"/>
      <c r="GM17" s="264"/>
      <c r="GN17" s="264"/>
      <c r="GO17" s="264"/>
      <c r="GP17" s="264"/>
      <c r="GQ17" s="264"/>
      <c r="GR17" s="264"/>
      <c r="GS17" s="264"/>
      <c r="GT17" s="264"/>
      <c r="GU17" s="264"/>
      <c r="GV17" s="264"/>
      <c r="GW17" s="264"/>
      <c r="GX17" s="264"/>
      <c r="GY17" s="264"/>
      <c r="GZ17" s="264"/>
      <c r="HA17" s="264"/>
      <c r="HB17" s="264"/>
      <c r="HC17" s="264"/>
      <c r="HD17" s="264"/>
      <c r="HE17" s="264"/>
      <c r="HF17" s="264"/>
      <c r="HG17" s="264"/>
      <c r="HH17" s="264"/>
      <c r="HI17" s="264"/>
      <c r="HJ17" s="264"/>
      <c r="HK17" s="264"/>
      <c r="HL17" s="264"/>
      <c r="HM17" s="264"/>
      <c r="HN17" s="264"/>
      <c r="HO17" s="264"/>
      <c r="HP17" s="264"/>
      <c r="HQ17" s="264"/>
      <c r="HR17" s="264"/>
      <c r="HS17" s="264"/>
      <c r="HT17" s="264"/>
      <c r="HU17" s="264"/>
      <c r="HV17" s="264"/>
      <c r="HW17" s="264"/>
      <c r="HX17" s="264"/>
      <c r="HY17" s="264"/>
      <c r="HZ17" s="264"/>
      <c r="IA17" s="264"/>
      <c r="IB17" s="264"/>
      <c r="IC17" s="264"/>
      <c r="ID17" s="264"/>
      <c r="IE17" s="264"/>
      <c r="IF17" s="264"/>
      <c r="IG17" s="264"/>
      <c r="IH17" s="264"/>
      <c r="II17" s="264"/>
      <c r="IJ17" s="264"/>
      <c r="IK17" s="264"/>
      <c r="IL17" s="264"/>
      <c r="IM17" s="264"/>
      <c r="IN17" s="264"/>
      <c r="IO17" s="264"/>
      <c r="IP17" s="264"/>
      <c r="IQ17" s="264"/>
      <c r="IR17" s="264"/>
      <c r="IS17" s="264"/>
      <c r="IT17" s="264"/>
      <c r="IU17" s="264"/>
      <c r="IV17" s="264"/>
      <c r="IW17" s="264"/>
      <c r="IX17" s="264"/>
      <c r="IY17" s="264"/>
      <c r="IZ17" s="264"/>
      <c r="JA17" s="264"/>
      <c r="JB17" s="264"/>
      <c r="JC17" s="264"/>
      <c r="JD17" s="264"/>
      <c r="JE17" s="264"/>
      <c r="JF17" s="264"/>
      <c r="JG17" s="264"/>
      <c r="JH17" s="264"/>
      <c r="JI17" s="264"/>
      <c r="JJ17" s="264"/>
      <c r="JK17" s="264"/>
      <c r="JL17" s="264"/>
      <c r="JM17" s="264"/>
      <c r="JN17" s="264"/>
      <c r="JO17" s="264"/>
      <c r="JP17" s="264"/>
      <c r="JQ17" s="264"/>
      <c r="JR17" s="264"/>
      <c r="JS17" s="264"/>
      <c r="JT17" s="264"/>
      <c r="JU17" s="264"/>
      <c r="JV17" s="264"/>
      <c r="JW17" s="264"/>
      <c r="JX17" s="264"/>
      <c r="JY17" s="264"/>
      <c r="JZ17" s="264"/>
      <c r="KA17" s="264"/>
      <c r="KB17" s="264"/>
      <c r="KC17" s="264"/>
      <c r="KD17" s="264"/>
      <c r="KE17" s="264"/>
      <c r="KF17" s="264"/>
      <c r="KG17" s="264"/>
      <c r="KH17" s="264"/>
      <c r="KI17" s="264"/>
      <c r="KJ17" s="264"/>
      <c r="KK17" s="264"/>
      <c r="KL17" s="264"/>
      <c r="KM17" s="264"/>
      <c r="KN17" s="264"/>
      <c r="KO17" s="264"/>
      <c r="KP17" s="264"/>
      <c r="KQ17" s="264"/>
      <c r="KR17" s="264"/>
      <c r="KS17" s="264"/>
      <c r="KT17" s="264"/>
      <c r="KU17" s="264"/>
      <c r="KV17" s="264"/>
      <c r="KW17" s="264"/>
      <c r="KX17" s="264"/>
      <c r="KY17" s="264"/>
      <c r="KZ17" s="264"/>
      <c r="LA17" s="264"/>
      <c r="LB17" s="264"/>
      <c r="LC17" s="264"/>
      <c r="LD17" s="264"/>
      <c r="LE17" s="264"/>
      <c r="LF17" s="264"/>
      <c r="LG17" s="264"/>
      <c r="LH17" s="264"/>
    </row>
    <row r="18" spans="1:320" s="17" customFormat="1" ht="15.75" thickTop="1" x14ac:dyDescent="0.25">
      <c r="A18" s="147"/>
      <c r="E18" s="156"/>
      <c r="F18" s="156"/>
      <c r="G18" s="156"/>
      <c r="H18" s="156"/>
      <c r="I18" s="156"/>
      <c r="J18" s="156"/>
      <c r="K18" s="156"/>
      <c r="L18" s="156"/>
      <c r="M18" s="156"/>
      <c r="N18" s="156"/>
      <c r="O18" s="156"/>
      <c r="P18" s="156"/>
      <c r="Q18" s="156"/>
      <c r="R18" s="156"/>
      <c r="S18" s="156"/>
      <c r="U18" s="156"/>
      <c r="W18" s="156"/>
      <c r="Y18" s="156"/>
      <c r="AA18" s="156"/>
      <c r="AC18" s="156"/>
      <c r="AE18" s="156"/>
      <c r="AF18" s="60"/>
      <c r="AG18" s="60"/>
      <c r="AH18" s="60"/>
      <c r="AI18" s="60"/>
      <c r="AJ18" s="60"/>
      <c r="AK18" s="60"/>
      <c r="AL18" s="60"/>
      <c r="AM18" s="60"/>
      <c r="AN18" s="60"/>
      <c r="AO18" s="60"/>
      <c r="AP18" s="60"/>
      <c r="AQ18" s="60"/>
      <c r="AR18" s="60"/>
      <c r="AS18" s="60"/>
      <c r="AT18" s="60"/>
      <c r="AU18" s="60"/>
      <c r="AV18" s="60"/>
      <c r="AW18" s="60"/>
      <c r="AX18" s="60"/>
      <c r="AY18" s="60"/>
      <c r="AZ18" s="60"/>
      <c r="BA18" s="60"/>
      <c r="BB18" s="60"/>
      <c r="BC18" s="60"/>
      <c r="BD18" s="60"/>
      <c r="BE18" s="60"/>
      <c r="BF18" s="60"/>
      <c r="BG18" s="60"/>
      <c r="BH18" s="60"/>
      <c r="BI18" s="60"/>
      <c r="BJ18" s="60"/>
      <c r="BK18" s="60"/>
      <c r="BL18" s="60"/>
      <c r="BM18" s="60"/>
      <c r="BN18" s="60"/>
      <c r="BO18" s="60"/>
      <c r="BP18" s="60"/>
      <c r="BQ18" s="60"/>
      <c r="BR18" s="60"/>
      <c r="BS18" s="60"/>
      <c r="BT18" s="60"/>
      <c r="BU18" s="60"/>
      <c r="BV18" s="60"/>
      <c r="BW18" s="60"/>
      <c r="BX18" s="60"/>
      <c r="BY18" s="60"/>
      <c r="BZ18" s="60"/>
      <c r="CA18" s="60"/>
      <c r="CB18" s="60"/>
      <c r="CC18" s="60"/>
      <c r="CD18" s="60"/>
      <c r="CE18" s="60"/>
      <c r="CF18" s="60"/>
      <c r="CG18" s="60"/>
      <c r="CH18" s="60"/>
      <c r="CI18" s="60"/>
      <c r="CJ18" s="60"/>
      <c r="CK18" s="60"/>
      <c r="CL18" s="60"/>
      <c r="CM18" s="60"/>
      <c r="CN18" s="60"/>
      <c r="CO18" s="60"/>
      <c r="CP18" s="60"/>
      <c r="CQ18" s="60"/>
      <c r="CR18" s="60"/>
      <c r="CS18" s="60"/>
      <c r="CT18" s="60"/>
      <c r="CU18" s="60"/>
      <c r="CV18" s="60"/>
      <c r="CW18" s="60"/>
      <c r="CX18" s="60"/>
      <c r="CY18" s="60"/>
      <c r="CZ18" s="60"/>
      <c r="DA18" s="60"/>
      <c r="DB18" s="60"/>
      <c r="DC18" s="60"/>
      <c r="DD18" s="60"/>
      <c r="DE18" s="60"/>
      <c r="DF18" s="60"/>
      <c r="DG18" s="60"/>
      <c r="DH18" s="60"/>
      <c r="DI18" s="60"/>
      <c r="DJ18" s="60"/>
      <c r="DK18" s="60"/>
      <c r="DL18" s="60"/>
      <c r="DM18" s="60"/>
      <c r="DN18" s="60"/>
      <c r="DO18" s="60"/>
      <c r="DP18" s="60"/>
      <c r="DQ18" s="60"/>
      <c r="DR18" s="60"/>
      <c r="DS18" s="60"/>
      <c r="DT18" s="60"/>
      <c r="DU18" s="60"/>
      <c r="DV18" s="60"/>
      <c r="DW18" s="60"/>
      <c r="DX18" s="60"/>
      <c r="DY18" s="60"/>
      <c r="DZ18" s="60"/>
      <c r="EA18" s="60"/>
      <c r="EB18" s="60"/>
      <c r="EC18" s="60"/>
      <c r="ED18" s="60"/>
      <c r="EE18" s="60"/>
      <c r="EF18" s="60"/>
      <c r="EG18" s="60"/>
      <c r="EH18" s="60"/>
      <c r="EI18" s="60"/>
      <c r="EJ18" s="60"/>
      <c r="EK18" s="60"/>
      <c r="EL18" s="60"/>
      <c r="EM18" s="60"/>
      <c r="EN18" s="60"/>
      <c r="EO18" s="60"/>
      <c r="EP18" s="60"/>
      <c r="EQ18" s="60"/>
      <c r="ER18" s="60"/>
      <c r="ES18" s="60"/>
      <c r="ET18" s="60"/>
      <c r="EU18" s="60"/>
      <c r="EV18" s="60"/>
      <c r="EW18" s="60"/>
      <c r="EX18" s="60"/>
      <c r="EY18" s="60"/>
      <c r="EZ18" s="60"/>
      <c r="FA18" s="60"/>
      <c r="FB18" s="60"/>
      <c r="FC18" s="60"/>
      <c r="FD18" s="60"/>
      <c r="FE18" s="60"/>
      <c r="FF18" s="60"/>
      <c r="FG18" s="60"/>
      <c r="FH18" s="60"/>
      <c r="FI18" s="60"/>
      <c r="FJ18" s="60"/>
      <c r="FK18" s="60"/>
      <c r="FL18" s="60"/>
      <c r="FM18" s="60"/>
      <c r="FN18" s="60"/>
      <c r="FO18" s="60"/>
      <c r="FP18" s="60"/>
      <c r="FQ18" s="60"/>
      <c r="FR18" s="60"/>
      <c r="FS18" s="60"/>
      <c r="FT18" s="60"/>
      <c r="FU18" s="60"/>
      <c r="FV18" s="60"/>
      <c r="FW18" s="60"/>
      <c r="FX18" s="60"/>
      <c r="FY18" s="60"/>
      <c r="FZ18" s="60"/>
      <c r="GA18" s="60"/>
      <c r="GB18" s="60"/>
      <c r="GC18" s="60"/>
      <c r="GD18" s="60"/>
      <c r="GE18" s="60"/>
      <c r="GF18" s="60"/>
      <c r="GG18" s="60"/>
      <c r="GH18" s="60"/>
      <c r="GI18" s="60"/>
      <c r="GJ18" s="60"/>
      <c r="GK18" s="60"/>
      <c r="GL18" s="60"/>
      <c r="GM18" s="60"/>
      <c r="GN18" s="60"/>
      <c r="GO18" s="60"/>
      <c r="GP18" s="60"/>
      <c r="GQ18" s="60"/>
      <c r="GR18" s="60"/>
      <c r="GS18" s="60"/>
      <c r="GT18" s="60"/>
      <c r="GU18" s="60"/>
      <c r="GV18" s="60"/>
      <c r="GW18" s="60"/>
      <c r="GX18" s="60"/>
      <c r="GY18" s="60"/>
      <c r="GZ18" s="60"/>
      <c r="HA18" s="60"/>
      <c r="HB18" s="60"/>
      <c r="HC18" s="60"/>
      <c r="HD18" s="60"/>
      <c r="HE18" s="60"/>
      <c r="HF18" s="60"/>
      <c r="HG18" s="60"/>
      <c r="HH18" s="60"/>
      <c r="HI18" s="60"/>
      <c r="HJ18" s="60"/>
      <c r="HK18" s="60"/>
      <c r="HL18" s="60"/>
      <c r="HM18" s="60"/>
      <c r="HN18" s="60"/>
      <c r="HO18" s="60"/>
      <c r="HP18" s="60"/>
      <c r="HQ18" s="60"/>
      <c r="HR18" s="60"/>
      <c r="HS18" s="60"/>
      <c r="HT18" s="60"/>
      <c r="HU18" s="60"/>
      <c r="HV18" s="60"/>
      <c r="HW18" s="60"/>
      <c r="HX18" s="60"/>
      <c r="HY18" s="60"/>
      <c r="HZ18" s="60"/>
      <c r="IA18" s="60"/>
      <c r="IB18" s="60"/>
      <c r="IC18" s="60"/>
      <c r="ID18" s="60"/>
      <c r="IE18" s="60"/>
      <c r="IF18" s="60"/>
      <c r="IG18" s="60"/>
      <c r="IH18" s="60"/>
      <c r="II18" s="60"/>
      <c r="IJ18" s="60"/>
      <c r="IK18" s="60"/>
      <c r="IL18" s="60"/>
      <c r="IM18" s="60"/>
      <c r="IN18" s="60"/>
      <c r="IO18" s="60"/>
      <c r="IP18" s="60"/>
      <c r="IQ18" s="60"/>
      <c r="IR18" s="60"/>
      <c r="IS18" s="60"/>
      <c r="IT18" s="60"/>
      <c r="IU18" s="60"/>
      <c r="IV18" s="60"/>
      <c r="IW18" s="60"/>
      <c r="IX18" s="60"/>
      <c r="IY18" s="60"/>
      <c r="IZ18" s="60"/>
      <c r="JA18" s="60"/>
      <c r="JB18" s="60"/>
      <c r="JC18" s="60"/>
      <c r="JD18" s="60"/>
      <c r="JE18" s="60"/>
      <c r="JF18" s="60"/>
      <c r="JG18" s="60"/>
      <c r="JH18" s="60"/>
      <c r="JI18" s="60"/>
      <c r="JJ18" s="60"/>
      <c r="JK18" s="60"/>
      <c r="JL18" s="60"/>
      <c r="JM18" s="60"/>
      <c r="JN18" s="60"/>
      <c r="JO18" s="60"/>
      <c r="JP18" s="60"/>
      <c r="JQ18" s="60"/>
      <c r="JR18" s="60"/>
      <c r="JS18" s="60"/>
      <c r="JT18" s="60"/>
      <c r="JU18" s="60"/>
      <c r="JV18" s="60"/>
      <c r="JW18" s="60"/>
      <c r="JX18" s="60"/>
      <c r="JY18" s="60"/>
      <c r="JZ18" s="60"/>
      <c r="KA18" s="60"/>
      <c r="KB18" s="60"/>
      <c r="KC18" s="60"/>
      <c r="KD18" s="60"/>
      <c r="KE18" s="60"/>
      <c r="KF18" s="60"/>
      <c r="KG18" s="60"/>
      <c r="KH18" s="60"/>
      <c r="KI18" s="60"/>
      <c r="KJ18" s="60"/>
      <c r="KK18" s="60"/>
      <c r="KL18" s="60"/>
      <c r="KM18" s="60"/>
      <c r="KN18" s="60"/>
      <c r="KO18" s="60"/>
      <c r="KP18" s="60"/>
      <c r="KQ18" s="60"/>
      <c r="KR18" s="60"/>
      <c r="KS18" s="60"/>
      <c r="KT18" s="60"/>
      <c r="KU18" s="60"/>
      <c r="KV18" s="60"/>
      <c r="KW18" s="60"/>
      <c r="KX18" s="60"/>
      <c r="KY18" s="60"/>
      <c r="KZ18" s="60"/>
      <c r="LA18" s="60"/>
      <c r="LB18" s="60"/>
      <c r="LC18" s="60"/>
      <c r="LD18" s="60"/>
      <c r="LE18" s="60"/>
      <c r="LF18" s="60"/>
      <c r="LG18" s="60"/>
      <c r="LH18" s="60"/>
    </row>
    <row r="19" spans="1:320" ht="15.75" thickBot="1" x14ac:dyDescent="0.3">
      <c r="B19" s="17"/>
      <c r="C19" s="17"/>
      <c r="D19" s="17"/>
      <c r="E19" s="156"/>
      <c r="F19" s="156"/>
      <c r="G19" s="156"/>
      <c r="H19" s="156"/>
      <c r="I19" s="156"/>
      <c r="J19" s="156"/>
      <c r="K19" s="156"/>
      <c r="L19" s="156"/>
      <c r="M19" s="156"/>
      <c r="N19" s="156"/>
      <c r="O19" s="156"/>
      <c r="P19" s="156"/>
      <c r="Q19" s="156"/>
      <c r="R19" s="156"/>
      <c r="S19" s="156"/>
      <c r="U19" s="156"/>
      <c r="W19" s="156"/>
      <c r="Y19" s="156"/>
      <c r="AA19" s="156"/>
      <c r="AC19" s="156"/>
      <c r="AD19" s="17"/>
      <c r="AE19" s="156"/>
    </row>
    <row r="20" spans="1:320" ht="71.099999999999994" customHeight="1" thickBot="1" x14ac:dyDescent="0.3">
      <c r="B20" s="363" t="s">
        <v>17</v>
      </c>
      <c r="C20" s="364"/>
      <c r="D20" s="364"/>
      <c r="E20" s="364"/>
      <c r="F20" s="365" t="s">
        <v>18</v>
      </c>
      <c r="G20" s="365"/>
      <c r="H20" s="365"/>
      <c r="I20" s="365"/>
      <c r="J20" s="366"/>
      <c r="K20" s="156"/>
      <c r="R20" s="168"/>
      <c r="S20" s="168"/>
      <c r="T20" s="168"/>
      <c r="U20" s="168"/>
      <c r="V20" s="168"/>
      <c r="W20" s="168"/>
      <c r="X20" s="168"/>
      <c r="Y20" s="168"/>
      <c r="Z20" s="168"/>
      <c r="AA20" s="168"/>
      <c r="AB20" s="168"/>
      <c r="AC20" s="168"/>
      <c r="AD20" s="168"/>
      <c r="AE20" s="168"/>
    </row>
    <row r="21" spans="1:320" x14ac:dyDescent="0.25">
      <c r="B21" s="17"/>
      <c r="C21" s="17"/>
      <c r="D21" s="17"/>
      <c r="E21" s="156"/>
      <c r="F21" s="156"/>
      <c r="G21" s="156"/>
      <c r="H21" s="156"/>
      <c r="I21" s="156"/>
      <c r="J21" s="156"/>
      <c r="K21" s="156"/>
      <c r="R21" s="156"/>
      <c r="S21" s="156"/>
      <c r="U21" s="156"/>
      <c r="W21" s="156"/>
      <c r="Y21" s="156"/>
      <c r="AA21" s="156"/>
      <c r="AC21" s="156"/>
      <c r="AD21" s="17"/>
      <c r="AE21" s="156"/>
    </row>
    <row r="22" spans="1:320" s="161" customFormat="1" ht="86.25" customHeight="1" x14ac:dyDescent="0.35">
      <c r="A22" s="163"/>
      <c r="C22" s="345" t="s">
        <v>104</v>
      </c>
      <c r="D22" s="345"/>
      <c r="E22" s="345"/>
      <c r="F22" s="345"/>
      <c r="G22" s="167"/>
      <c r="H22" s="165">
        <f>H23/(1-1/$F$4)</f>
        <v>1462.4752955742645</v>
      </c>
      <c r="I22" s="166"/>
      <c r="J22" s="165">
        <f>J14/(1-1/$F$4)</f>
        <v>1462.4752955742645</v>
      </c>
      <c r="K22" s="165"/>
      <c r="L22" s="165">
        <f>L14/(1-1/$F$4)</f>
        <v>1462.4752955742645</v>
      </c>
      <c r="M22" s="165"/>
      <c r="N22" s="165">
        <f>N14/(1-1/$F$4)</f>
        <v>0</v>
      </c>
      <c r="O22" s="165"/>
      <c r="P22" s="165">
        <f>P14/(1-1/$F$4)</f>
        <v>0</v>
      </c>
      <c r="Q22" s="165"/>
      <c r="R22" s="165">
        <f>R14/(1-1/$F$4)</f>
        <v>0</v>
      </c>
      <c r="S22" s="165"/>
      <c r="T22" s="165">
        <f>T14/(1-1/$F$4)</f>
        <v>0</v>
      </c>
      <c r="U22" s="165"/>
      <c r="V22" s="165">
        <f>V14/(1-1/$F$4)</f>
        <v>0</v>
      </c>
      <c r="W22" s="165"/>
      <c r="X22" s="165">
        <f>X14/(1-1/$F$4)</f>
        <v>0</v>
      </c>
      <c r="Y22" s="165"/>
      <c r="Z22" s="165">
        <f>Z14/(1-1/$F$4)</f>
        <v>0</v>
      </c>
      <c r="AA22" s="165"/>
      <c r="AB22" s="165">
        <f>AB14/(1-1/$F$4)</f>
        <v>0</v>
      </c>
      <c r="AC22" s="165"/>
      <c r="AD22" s="165">
        <f>AD14/(1-1/$F$4)</f>
        <v>0</v>
      </c>
      <c r="AE22" s="165"/>
      <c r="AF22" s="164"/>
      <c r="AG22" s="164"/>
      <c r="AH22" s="164"/>
      <c r="AI22" s="164"/>
      <c r="AJ22" s="164"/>
      <c r="AK22" s="164"/>
      <c r="AL22" s="164"/>
      <c r="AM22" s="164"/>
      <c r="AN22" s="164"/>
      <c r="AO22" s="164"/>
      <c r="AP22" s="164"/>
      <c r="AQ22" s="164"/>
      <c r="AR22" s="164"/>
      <c r="AS22" s="164"/>
      <c r="AT22" s="164"/>
      <c r="AU22" s="164"/>
      <c r="AV22" s="164"/>
      <c r="AW22" s="164"/>
      <c r="AX22" s="164"/>
      <c r="AY22" s="164"/>
      <c r="AZ22" s="164"/>
      <c r="BA22" s="164"/>
      <c r="BB22" s="164"/>
      <c r="BC22" s="164"/>
      <c r="BD22" s="164"/>
      <c r="BE22" s="164"/>
      <c r="BF22" s="164"/>
      <c r="BG22" s="164"/>
      <c r="BH22" s="164"/>
      <c r="BI22" s="164"/>
      <c r="BJ22" s="164"/>
      <c r="BK22" s="164"/>
      <c r="BL22" s="164"/>
      <c r="BM22" s="164"/>
      <c r="BN22" s="164"/>
      <c r="BO22" s="164"/>
      <c r="BP22" s="164"/>
      <c r="BQ22" s="164"/>
      <c r="BR22" s="164"/>
      <c r="BS22" s="164"/>
      <c r="BT22" s="164"/>
      <c r="BU22" s="164"/>
      <c r="BV22" s="164"/>
      <c r="BW22" s="164"/>
      <c r="BX22" s="164"/>
      <c r="BY22" s="164"/>
      <c r="BZ22" s="164"/>
      <c r="CA22" s="164"/>
      <c r="CB22" s="164"/>
      <c r="CC22" s="164"/>
      <c r="CD22" s="164"/>
      <c r="CE22" s="164"/>
      <c r="CF22" s="164"/>
      <c r="CG22" s="164"/>
      <c r="CH22" s="164"/>
      <c r="CI22" s="164"/>
      <c r="CJ22" s="164"/>
      <c r="CK22" s="164"/>
      <c r="CL22" s="164"/>
      <c r="CM22" s="164"/>
      <c r="CN22" s="164"/>
      <c r="CO22" s="164"/>
      <c r="CP22" s="164"/>
      <c r="CQ22" s="164"/>
      <c r="CR22" s="164"/>
      <c r="CS22" s="164"/>
      <c r="CT22" s="164"/>
      <c r="CU22" s="164"/>
      <c r="CV22" s="164"/>
      <c r="CW22" s="164"/>
      <c r="CX22" s="164"/>
      <c r="CY22" s="164"/>
      <c r="CZ22" s="164"/>
      <c r="DA22" s="164"/>
      <c r="DB22" s="164"/>
      <c r="DC22" s="164"/>
      <c r="DD22" s="164"/>
      <c r="DE22" s="164"/>
      <c r="DF22" s="164"/>
      <c r="DG22" s="164"/>
      <c r="DH22" s="164"/>
      <c r="DI22" s="164"/>
      <c r="DJ22" s="164"/>
      <c r="DK22" s="164"/>
      <c r="DL22" s="164"/>
      <c r="DM22" s="164"/>
      <c r="DN22" s="164"/>
      <c r="DO22" s="164"/>
      <c r="DP22" s="164"/>
      <c r="DQ22" s="164"/>
      <c r="DR22" s="164"/>
      <c r="DS22" s="164"/>
      <c r="DT22" s="164"/>
      <c r="DU22" s="164"/>
      <c r="DV22" s="164"/>
      <c r="DW22" s="164"/>
      <c r="DX22" s="164"/>
      <c r="DY22" s="164"/>
      <c r="DZ22" s="164"/>
      <c r="EA22" s="164"/>
      <c r="EB22" s="164"/>
      <c r="EC22" s="164"/>
      <c r="ED22" s="164"/>
      <c r="EE22" s="164"/>
      <c r="EF22" s="164"/>
      <c r="EG22" s="164"/>
      <c r="EH22" s="164"/>
      <c r="EI22" s="164"/>
      <c r="EJ22" s="164"/>
      <c r="EK22" s="164"/>
      <c r="EL22" s="164"/>
      <c r="EM22" s="164"/>
      <c r="EN22" s="164"/>
      <c r="EO22" s="164"/>
      <c r="EP22" s="164"/>
      <c r="EQ22" s="164"/>
      <c r="ER22" s="164"/>
      <c r="ES22" s="164"/>
      <c r="ET22" s="164"/>
      <c r="EU22" s="164"/>
      <c r="EV22" s="164"/>
      <c r="EW22" s="164"/>
      <c r="EX22" s="164"/>
      <c r="EY22" s="164"/>
      <c r="EZ22" s="164"/>
      <c r="FA22" s="164"/>
      <c r="FB22" s="164"/>
      <c r="FC22" s="164"/>
      <c r="FD22" s="164"/>
      <c r="FE22" s="164"/>
      <c r="FF22" s="164"/>
      <c r="FG22" s="164"/>
      <c r="FH22" s="164"/>
      <c r="FI22" s="164"/>
      <c r="FJ22" s="164"/>
      <c r="FK22" s="164"/>
      <c r="FL22" s="164"/>
      <c r="FM22" s="164"/>
      <c r="FN22" s="164"/>
      <c r="FO22" s="164"/>
      <c r="FP22" s="164"/>
      <c r="FQ22" s="164"/>
      <c r="FR22" s="164"/>
      <c r="FS22" s="164"/>
      <c r="FT22" s="164"/>
      <c r="FU22" s="164"/>
      <c r="FV22" s="164"/>
      <c r="FW22" s="164"/>
      <c r="FX22" s="164"/>
      <c r="FY22" s="164"/>
      <c r="FZ22" s="164"/>
      <c r="GA22" s="164"/>
      <c r="GB22" s="164"/>
      <c r="GC22" s="164"/>
      <c r="GD22" s="164"/>
      <c r="GE22" s="164"/>
      <c r="GF22" s="164"/>
      <c r="GG22" s="164"/>
      <c r="GH22" s="164"/>
      <c r="GI22" s="164"/>
      <c r="GJ22" s="164"/>
      <c r="GK22" s="164"/>
      <c r="GL22" s="164"/>
      <c r="GM22" s="164"/>
      <c r="GN22" s="164"/>
      <c r="GO22" s="164"/>
      <c r="GP22" s="164"/>
      <c r="GQ22" s="164"/>
      <c r="GR22" s="164"/>
      <c r="GS22" s="164"/>
      <c r="GT22" s="164"/>
      <c r="GU22" s="164"/>
      <c r="GV22" s="164"/>
      <c r="GW22" s="164"/>
      <c r="GX22" s="164"/>
      <c r="GY22" s="164"/>
      <c r="GZ22" s="164"/>
      <c r="HA22" s="164"/>
      <c r="HB22" s="164"/>
      <c r="HC22" s="164"/>
      <c r="HD22" s="164"/>
      <c r="HE22" s="164"/>
      <c r="HF22" s="164"/>
      <c r="HG22" s="164"/>
      <c r="HH22" s="164"/>
      <c r="HI22" s="164"/>
      <c r="HJ22" s="164"/>
      <c r="HK22" s="164"/>
      <c r="HL22" s="164"/>
      <c r="HM22" s="164"/>
      <c r="HN22" s="164"/>
      <c r="HO22" s="164"/>
      <c r="HP22" s="164"/>
      <c r="HQ22" s="164"/>
      <c r="HR22" s="164"/>
      <c r="HS22" s="164"/>
      <c r="HT22" s="164"/>
      <c r="HU22" s="164"/>
      <c r="HV22" s="164"/>
      <c r="HW22" s="164"/>
      <c r="HX22" s="164"/>
      <c r="HY22" s="164"/>
      <c r="HZ22" s="164"/>
      <c r="IA22" s="164"/>
      <c r="IB22" s="164"/>
      <c r="IC22" s="164"/>
      <c r="ID22" s="164"/>
      <c r="IE22" s="164"/>
      <c r="IF22" s="164"/>
      <c r="IG22" s="164"/>
      <c r="IH22" s="164"/>
      <c r="II22" s="164"/>
      <c r="IJ22" s="164"/>
      <c r="IK22" s="164"/>
      <c r="IL22" s="164"/>
      <c r="IM22" s="164"/>
      <c r="IN22" s="164"/>
      <c r="IO22" s="164"/>
      <c r="IP22" s="164"/>
      <c r="IQ22" s="164"/>
      <c r="IR22" s="164"/>
      <c r="IS22" s="164"/>
      <c r="IT22" s="164"/>
      <c r="IU22" s="164"/>
      <c r="IV22" s="164"/>
      <c r="IW22" s="164"/>
      <c r="IX22" s="164"/>
      <c r="IY22" s="164"/>
      <c r="IZ22" s="164"/>
      <c r="JA22" s="164"/>
      <c r="JB22" s="164"/>
      <c r="JC22" s="164"/>
      <c r="JD22" s="164"/>
      <c r="JE22" s="164"/>
      <c r="JF22" s="164"/>
      <c r="JG22" s="164"/>
      <c r="JH22" s="164"/>
      <c r="JI22" s="164"/>
      <c r="JJ22" s="164"/>
      <c r="JK22" s="164"/>
      <c r="JL22" s="164"/>
      <c r="JM22" s="164"/>
      <c r="JN22" s="164"/>
      <c r="JO22" s="164"/>
      <c r="JP22" s="164"/>
      <c r="JQ22" s="164"/>
      <c r="JR22" s="164"/>
      <c r="JS22" s="164"/>
      <c r="JT22" s="164"/>
      <c r="JU22" s="164"/>
      <c r="JV22" s="164"/>
      <c r="JW22" s="164"/>
      <c r="JX22" s="164"/>
      <c r="JY22" s="164"/>
      <c r="JZ22" s="164"/>
      <c r="KA22" s="164"/>
      <c r="KB22" s="164"/>
      <c r="KC22" s="164"/>
      <c r="KD22" s="164"/>
      <c r="KE22" s="164"/>
      <c r="KF22" s="164"/>
      <c r="KG22" s="164"/>
      <c r="KH22" s="164"/>
      <c r="KI22" s="164"/>
      <c r="KJ22" s="164"/>
      <c r="KK22" s="164"/>
      <c r="KL22" s="164"/>
      <c r="KM22" s="164"/>
      <c r="KN22" s="164"/>
      <c r="KO22" s="164"/>
      <c r="KP22" s="164"/>
      <c r="KQ22" s="164"/>
      <c r="KR22" s="164"/>
      <c r="KS22" s="164"/>
      <c r="KT22" s="164"/>
      <c r="KU22" s="164"/>
      <c r="KV22" s="164"/>
      <c r="KW22" s="164"/>
      <c r="KX22" s="164"/>
      <c r="KY22" s="164"/>
      <c r="KZ22" s="164"/>
      <c r="LA22" s="164"/>
      <c r="LB22" s="164"/>
      <c r="LC22" s="164"/>
      <c r="LD22" s="164"/>
      <c r="LE22" s="164"/>
      <c r="LF22" s="164"/>
      <c r="LG22" s="164"/>
      <c r="LH22" s="164"/>
    </row>
    <row r="23" spans="1:320" s="161" customFormat="1" ht="18.75" x14ac:dyDescent="0.25">
      <c r="A23" s="163"/>
      <c r="E23" s="160"/>
      <c r="F23" s="160"/>
      <c r="G23" s="160"/>
      <c r="H23" s="162">
        <f>IF(F25="on",$F$7*$F$6+$F$7*((F26-F6)/$F$4),$F$7*$F$6)</f>
        <v>1000</v>
      </c>
      <c r="I23" s="160"/>
      <c r="J23" s="160"/>
      <c r="K23" s="160"/>
      <c r="L23" s="160"/>
      <c r="M23" s="160"/>
      <c r="N23" s="160"/>
      <c r="O23" s="160"/>
      <c r="P23" s="160"/>
      <c r="Q23" s="160"/>
      <c r="R23" s="160"/>
      <c r="S23" s="160"/>
    </row>
    <row r="24" spans="1:320" ht="87.6" hidden="1" customHeight="1" thickBot="1" x14ac:dyDescent="0.3">
      <c r="H24" s="148"/>
      <c r="I24" s="156"/>
      <c r="J24" s="156"/>
      <c r="K24" s="156"/>
      <c r="L24" s="156"/>
      <c r="M24" s="156"/>
      <c r="N24" s="156"/>
      <c r="O24" s="156"/>
      <c r="P24" s="156"/>
      <c r="Q24" s="156"/>
      <c r="R24" s="156"/>
      <c r="S24" s="156"/>
    </row>
    <row r="25" spans="1:320" ht="87.6" hidden="1" customHeight="1" x14ac:dyDescent="0.25">
      <c r="B25" s="379" t="s">
        <v>103</v>
      </c>
      <c r="C25" s="380"/>
      <c r="D25" s="380"/>
      <c r="E25" s="380"/>
      <c r="F25" s="381" t="s">
        <v>102</v>
      </c>
      <c r="G25" s="382"/>
      <c r="H25" s="160"/>
    </row>
    <row r="26" spans="1:320" ht="87.6" hidden="1" customHeight="1" thickBot="1" x14ac:dyDescent="0.35">
      <c r="B26" s="356" t="str">
        <f>IF(F25="off","off","how many capillaries for the other dilutions :")</f>
        <v>off</v>
      </c>
      <c r="C26" s="357"/>
      <c r="D26" s="357"/>
      <c r="E26" s="357"/>
      <c r="F26" s="358">
        <v>3</v>
      </c>
      <c r="G26" s="359"/>
      <c r="H26" s="148"/>
      <c r="I26" s="156"/>
      <c r="J26" s="156"/>
      <c r="K26" s="156"/>
      <c r="L26" s="156"/>
      <c r="M26" s="156"/>
      <c r="N26" s="156"/>
      <c r="O26" s="156"/>
      <c r="P26" s="156"/>
      <c r="Q26" s="156"/>
      <c r="R26" s="156"/>
      <c r="S26" s="156"/>
    </row>
    <row r="27" spans="1:320" ht="87.6" hidden="1" customHeight="1" x14ac:dyDescent="0.25">
      <c r="B27" s="122"/>
      <c r="C27" s="122"/>
      <c r="F27" s="157"/>
      <c r="G27" s="157"/>
      <c r="H27" s="159"/>
      <c r="I27" s="157"/>
      <c r="J27" s="157"/>
      <c r="K27" s="157"/>
      <c r="L27" s="157"/>
      <c r="M27" s="157"/>
      <c r="N27" s="157"/>
      <c r="O27" s="157"/>
      <c r="P27" s="157"/>
      <c r="Q27" s="157"/>
      <c r="R27" s="157"/>
      <c r="S27" s="156"/>
    </row>
    <row r="28" spans="1:320" ht="87.6" hidden="1" customHeight="1" x14ac:dyDescent="0.25">
      <c r="B28" s="122"/>
      <c r="C28" s="122"/>
      <c r="D28" s="122"/>
      <c r="E28" s="157"/>
      <c r="F28" s="157"/>
      <c r="G28" s="157"/>
      <c r="H28" s="157"/>
      <c r="I28" s="157"/>
      <c r="J28" s="157"/>
      <c r="K28" s="157"/>
      <c r="L28" s="157"/>
      <c r="M28" s="157"/>
      <c r="N28" s="157"/>
      <c r="O28" s="157"/>
      <c r="P28" s="157"/>
      <c r="Q28" s="157"/>
      <c r="R28" s="157"/>
      <c r="S28" s="156"/>
    </row>
    <row r="29" spans="1:320" ht="87.6" hidden="1" customHeight="1" x14ac:dyDescent="0.25">
      <c r="B29" s="122"/>
      <c r="C29" s="122"/>
      <c r="D29" s="122"/>
      <c r="E29" s="157"/>
      <c r="F29" s="157"/>
      <c r="G29" s="157"/>
      <c r="H29" s="157"/>
      <c r="I29" s="157"/>
      <c r="J29" s="157"/>
      <c r="K29" s="157"/>
      <c r="L29" s="157"/>
      <c r="M29" s="157"/>
      <c r="N29" s="157"/>
      <c r="O29" s="157"/>
      <c r="P29" s="157"/>
      <c r="Q29" s="157"/>
      <c r="R29" s="157"/>
      <c r="S29" s="156"/>
    </row>
    <row r="30" spans="1:320" ht="87.6" hidden="1" customHeight="1" x14ac:dyDescent="0.25">
      <c r="B30" s="17"/>
      <c r="C30" s="17"/>
      <c r="D30" s="17"/>
      <c r="E30" s="156"/>
      <c r="F30" s="156"/>
      <c r="G30" s="156"/>
      <c r="H30" s="156"/>
      <c r="I30" s="156"/>
      <c r="J30" s="156"/>
      <c r="K30" s="156"/>
      <c r="L30" s="156"/>
      <c r="M30" s="156"/>
      <c r="N30" s="156"/>
      <c r="O30" s="156"/>
      <c r="P30" s="156"/>
      <c r="Q30" s="156"/>
      <c r="R30" s="156"/>
      <c r="S30" s="156"/>
    </row>
    <row r="31" spans="1:320" ht="87.6" hidden="1" customHeight="1" x14ac:dyDescent="0.25">
      <c r="B31" s="17"/>
      <c r="E31" s="156"/>
      <c r="F31" s="156"/>
      <c r="G31" s="156"/>
      <c r="H31" s="156"/>
      <c r="I31" s="156"/>
      <c r="J31" s="156"/>
      <c r="K31" s="156"/>
      <c r="L31" s="156"/>
      <c r="M31" s="156"/>
      <c r="N31" s="156"/>
      <c r="O31" s="156"/>
      <c r="P31" s="156"/>
      <c r="Q31" s="156"/>
      <c r="R31" s="156"/>
      <c r="S31" s="156"/>
    </row>
    <row r="32" spans="1:320" x14ac:dyDescent="0.25">
      <c r="H32" s="156"/>
      <c r="I32" s="156"/>
      <c r="J32" s="156"/>
      <c r="K32" s="156"/>
      <c r="L32" s="156"/>
      <c r="M32" s="156"/>
      <c r="N32" s="156"/>
      <c r="O32" s="156"/>
      <c r="P32" s="156"/>
      <c r="Q32" s="156"/>
      <c r="R32" s="156"/>
      <c r="S32" s="156"/>
    </row>
    <row r="33" spans="1:320" x14ac:dyDescent="0.25">
      <c r="H33" s="156"/>
      <c r="I33" s="156"/>
      <c r="J33" s="156"/>
      <c r="K33" s="156"/>
      <c r="L33" s="156"/>
      <c r="M33" s="156"/>
      <c r="N33" s="156"/>
      <c r="O33" s="156"/>
      <c r="P33" s="156"/>
      <c r="Q33" s="156"/>
      <c r="R33" s="156"/>
      <c r="S33" s="156"/>
    </row>
    <row r="34" spans="1:320" x14ac:dyDescent="0.25">
      <c r="B34" s="17"/>
      <c r="C34" s="17"/>
      <c r="D34" s="17"/>
      <c r="E34" s="156"/>
      <c r="F34" s="156"/>
      <c r="G34" s="156"/>
      <c r="H34" s="156"/>
      <c r="I34" s="156"/>
      <c r="J34" s="156"/>
      <c r="K34" s="156"/>
      <c r="L34" s="156"/>
      <c r="M34" s="156"/>
      <c r="N34" s="156"/>
      <c r="O34" s="156"/>
      <c r="P34" s="156"/>
      <c r="Q34" s="156"/>
      <c r="R34" s="156"/>
      <c r="S34" s="156"/>
    </row>
    <row r="35" spans="1:320" x14ac:dyDescent="0.25">
      <c r="B35" s="17"/>
      <c r="C35" s="17"/>
      <c r="D35" s="17"/>
      <c r="E35" s="156"/>
      <c r="F35" s="156"/>
      <c r="G35" s="156"/>
      <c r="H35" s="156"/>
      <c r="I35" s="156"/>
      <c r="J35" s="156"/>
      <c r="K35" s="156"/>
      <c r="L35" s="156"/>
      <c r="M35" s="156"/>
      <c r="N35" s="156"/>
      <c r="O35" s="156"/>
      <c r="P35" s="156"/>
      <c r="Q35" s="156"/>
      <c r="R35" s="156"/>
      <c r="S35" s="156"/>
    </row>
    <row r="36" spans="1:320" s="17" customFormat="1" x14ac:dyDescent="0.25">
      <c r="A36" s="147"/>
      <c r="E36" s="156"/>
      <c r="F36" s="156"/>
      <c r="G36" s="156"/>
      <c r="H36" s="156"/>
      <c r="I36" s="156"/>
      <c r="J36" s="156"/>
      <c r="K36" s="156"/>
      <c r="L36" s="156"/>
      <c r="M36" s="156"/>
      <c r="N36" s="156"/>
      <c r="O36" s="156"/>
      <c r="P36" s="156"/>
      <c r="Q36" s="156"/>
      <c r="R36" s="156"/>
      <c r="S36" s="156"/>
      <c r="AC36" s="60"/>
      <c r="AD36" s="60"/>
      <c r="AE36" s="60"/>
      <c r="AF36" s="60"/>
      <c r="AG36" s="60"/>
      <c r="AH36" s="60"/>
      <c r="AI36" s="60"/>
      <c r="AJ36" s="60"/>
      <c r="AK36" s="60"/>
      <c r="AL36" s="60"/>
      <c r="AM36" s="60"/>
      <c r="AN36" s="60"/>
      <c r="AO36" s="60"/>
      <c r="AP36" s="60"/>
      <c r="AQ36" s="60"/>
      <c r="AR36" s="60"/>
      <c r="AS36" s="60"/>
      <c r="AT36" s="60"/>
      <c r="AU36" s="60"/>
      <c r="AV36" s="60"/>
      <c r="AW36" s="60"/>
      <c r="AX36" s="60"/>
      <c r="AY36" s="60"/>
      <c r="AZ36" s="60"/>
      <c r="BA36" s="60"/>
      <c r="BB36" s="60"/>
      <c r="BC36" s="60"/>
      <c r="BD36" s="60"/>
      <c r="BE36" s="60"/>
      <c r="BF36" s="60"/>
      <c r="BG36" s="60"/>
      <c r="BH36" s="60"/>
      <c r="BI36" s="60"/>
      <c r="BJ36" s="60"/>
      <c r="BK36" s="60"/>
      <c r="BL36" s="60"/>
      <c r="BM36" s="60"/>
      <c r="BN36" s="60"/>
      <c r="BO36" s="60"/>
      <c r="BP36" s="60"/>
      <c r="BQ36" s="60"/>
      <c r="BR36" s="60"/>
      <c r="BS36" s="60"/>
      <c r="BT36" s="60"/>
      <c r="BU36" s="60"/>
      <c r="BV36" s="60"/>
      <c r="BW36" s="60"/>
      <c r="BX36" s="60"/>
      <c r="BY36" s="60"/>
      <c r="BZ36" s="60"/>
      <c r="CA36" s="60"/>
      <c r="CB36" s="60"/>
      <c r="CC36" s="60"/>
      <c r="CD36" s="60"/>
      <c r="CE36" s="60"/>
      <c r="CF36" s="60"/>
      <c r="CG36" s="60"/>
      <c r="CH36" s="60"/>
      <c r="CI36" s="60"/>
      <c r="CJ36" s="60"/>
      <c r="CK36" s="60"/>
      <c r="CL36" s="60"/>
      <c r="CM36" s="60"/>
      <c r="CN36" s="60"/>
      <c r="CO36" s="60"/>
      <c r="CP36" s="60"/>
      <c r="CQ36" s="60"/>
      <c r="CR36" s="60"/>
      <c r="CS36" s="60"/>
      <c r="CT36" s="60"/>
      <c r="CU36" s="60"/>
      <c r="CV36" s="60"/>
      <c r="CW36" s="60"/>
      <c r="CX36" s="60"/>
      <c r="CY36" s="60"/>
      <c r="CZ36" s="60"/>
      <c r="DA36" s="60"/>
      <c r="DB36" s="60"/>
      <c r="DC36" s="60"/>
      <c r="DD36" s="60"/>
      <c r="DE36" s="60"/>
      <c r="DF36" s="60"/>
      <c r="DG36" s="60"/>
      <c r="DH36" s="60"/>
      <c r="DI36" s="60"/>
      <c r="DJ36" s="60"/>
      <c r="DK36" s="60"/>
      <c r="DL36" s="60"/>
      <c r="DM36" s="60"/>
      <c r="DN36" s="60"/>
      <c r="DO36" s="60"/>
      <c r="DP36" s="60"/>
      <c r="DQ36" s="60"/>
      <c r="DR36" s="60"/>
      <c r="DS36" s="60"/>
      <c r="DT36" s="60"/>
      <c r="DU36" s="60"/>
      <c r="DV36" s="60"/>
      <c r="DW36" s="60"/>
      <c r="DX36" s="60"/>
      <c r="DY36" s="60"/>
      <c r="DZ36" s="60"/>
      <c r="EA36" s="60"/>
      <c r="EB36" s="60"/>
      <c r="EC36" s="60"/>
      <c r="ED36" s="60"/>
      <c r="EE36" s="60"/>
      <c r="EF36" s="60"/>
      <c r="EG36" s="60"/>
      <c r="EH36" s="60"/>
      <c r="EI36" s="60"/>
      <c r="EJ36" s="60"/>
      <c r="EK36" s="60"/>
      <c r="EL36" s="60"/>
      <c r="EM36" s="60"/>
      <c r="EN36" s="60"/>
      <c r="EO36" s="60"/>
      <c r="EP36" s="60"/>
      <c r="EQ36" s="60"/>
      <c r="ER36" s="60"/>
      <c r="ES36" s="60"/>
      <c r="ET36" s="60"/>
      <c r="EU36" s="60"/>
      <c r="EV36" s="60"/>
      <c r="EW36" s="60"/>
      <c r="EX36" s="60"/>
      <c r="EY36" s="60"/>
      <c r="EZ36" s="60"/>
      <c r="FA36" s="60"/>
      <c r="FB36" s="60"/>
      <c r="FC36" s="60"/>
      <c r="FD36" s="60"/>
      <c r="FE36" s="60"/>
      <c r="FF36" s="60"/>
      <c r="FG36" s="60"/>
      <c r="FH36" s="60"/>
      <c r="FI36" s="60"/>
      <c r="FJ36" s="60"/>
      <c r="FK36" s="60"/>
      <c r="FL36" s="60"/>
      <c r="FM36" s="60"/>
      <c r="FN36" s="60"/>
      <c r="FO36" s="60"/>
      <c r="FP36" s="60"/>
      <c r="FQ36" s="60"/>
      <c r="FR36" s="60"/>
      <c r="FS36" s="60"/>
      <c r="FT36" s="60"/>
      <c r="FU36" s="60"/>
      <c r="FV36" s="60"/>
      <c r="FW36" s="60"/>
      <c r="FX36" s="60"/>
      <c r="FY36" s="60"/>
      <c r="FZ36" s="60"/>
      <c r="GA36" s="60"/>
      <c r="GB36" s="60"/>
      <c r="GC36" s="60"/>
      <c r="GD36" s="60"/>
      <c r="GE36" s="60"/>
      <c r="GF36" s="60"/>
      <c r="GG36" s="60"/>
      <c r="GH36" s="60"/>
      <c r="GI36" s="60"/>
      <c r="GJ36" s="60"/>
      <c r="GK36" s="60"/>
      <c r="GL36" s="60"/>
      <c r="GM36" s="60"/>
      <c r="GN36" s="60"/>
      <c r="GO36" s="60"/>
      <c r="GP36" s="60"/>
      <c r="GQ36" s="60"/>
      <c r="GR36" s="60"/>
      <c r="GS36" s="60"/>
      <c r="GT36" s="60"/>
      <c r="GU36" s="60"/>
      <c r="GV36" s="60"/>
      <c r="GW36" s="60"/>
      <c r="GX36" s="60"/>
      <c r="GY36" s="60"/>
      <c r="GZ36" s="60"/>
      <c r="HA36" s="60"/>
      <c r="HB36" s="60"/>
      <c r="HC36" s="60"/>
      <c r="HD36" s="60"/>
      <c r="HE36" s="60"/>
      <c r="HF36" s="60"/>
      <c r="HG36" s="60"/>
      <c r="HH36" s="60"/>
      <c r="HI36" s="60"/>
      <c r="HJ36" s="60"/>
      <c r="HK36" s="60"/>
      <c r="HL36" s="60"/>
      <c r="HM36" s="60"/>
      <c r="HN36" s="60"/>
      <c r="HO36" s="60"/>
      <c r="HP36" s="60"/>
      <c r="HQ36" s="60"/>
      <c r="HR36" s="60"/>
      <c r="HS36" s="60"/>
      <c r="HT36" s="60"/>
      <c r="HU36" s="60"/>
      <c r="HV36" s="60"/>
      <c r="HW36" s="60"/>
      <c r="HX36" s="60"/>
      <c r="HY36" s="60"/>
      <c r="HZ36" s="60"/>
      <c r="IA36" s="60"/>
      <c r="IB36" s="60"/>
      <c r="IC36" s="60"/>
      <c r="ID36" s="60"/>
      <c r="IE36" s="60"/>
      <c r="IF36" s="60"/>
      <c r="IG36" s="60"/>
      <c r="IH36" s="60"/>
      <c r="II36" s="60"/>
      <c r="IJ36" s="60"/>
      <c r="IK36" s="60"/>
      <c r="IL36" s="60"/>
      <c r="IM36" s="60"/>
      <c r="IN36" s="60"/>
      <c r="IO36" s="60"/>
      <c r="IP36" s="60"/>
      <c r="IQ36" s="60"/>
      <c r="IR36" s="60"/>
      <c r="IS36" s="60"/>
      <c r="IT36" s="60"/>
      <c r="IU36" s="60"/>
      <c r="IV36" s="60"/>
      <c r="IW36" s="60"/>
      <c r="IX36" s="60"/>
      <c r="IY36" s="60"/>
      <c r="IZ36" s="60"/>
      <c r="JA36" s="60"/>
      <c r="JB36" s="60"/>
      <c r="JC36" s="60"/>
      <c r="JD36" s="60"/>
      <c r="JE36" s="60"/>
      <c r="JF36" s="60"/>
      <c r="JG36" s="60"/>
      <c r="JH36" s="60"/>
      <c r="JI36" s="60"/>
      <c r="JJ36" s="60"/>
      <c r="JK36" s="60"/>
      <c r="JL36" s="60"/>
      <c r="JM36" s="60"/>
      <c r="JN36" s="60"/>
      <c r="JO36" s="60"/>
      <c r="JP36" s="60"/>
      <c r="JQ36" s="60"/>
      <c r="JR36" s="60"/>
      <c r="JS36" s="60"/>
      <c r="JT36" s="60"/>
      <c r="JU36" s="60"/>
      <c r="JV36" s="60"/>
      <c r="JW36" s="60"/>
      <c r="JX36" s="60"/>
      <c r="JY36" s="60"/>
      <c r="JZ36" s="60"/>
      <c r="KA36" s="60"/>
      <c r="KB36" s="60"/>
      <c r="KC36" s="60"/>
      <c r="KD36" s="60"/>
      <c r="KE36" s="60"/>
      <c r="KF36" s="60"/>
      <c r="KG36" s="60"/>
      <c r="KH36" s="60"/>
      <c r="KI36" s="60"/>
      <c r="KJ36" s="60"/>
      <c r="KK36" s="60"/>
      <c r="KL36" s="60"/>
      <c r="KM36" s="60"/>
      <c r="KN36" s="60"/>
      <c r="KO36" s="60"/>
      <c r="KP36" s="60"/>
      <c r="KQ36" s="60"/>
      <c r="KR36" s="60"/>
      <c r="KS36" s="60"/>
      <c r="KT36" s="60"/>
      <c r="KU36" s="60"/>
      <c r="KV36" s="60"/>
      <c r="KW36" s="60"/>
      <c r="KX36" s="60"/>
      <c r="KY36" s="60"/>
      <c r="KZ36" s="60"/>
      <c r="LA36" s="60"/>
      <c r="LB36" s="60"/>
      <c r="LC36" s="60"/>
      <c r="LD36" s="60"/>
      <c r="LE36" s="60"/>
      <c r="LF36" s="60"/>
      <c r="LG36" s="60"/>
      <c r="LH36" s="60"/>
    </row>
    <row r="37" spans="1:320" s="17" customFormat="1" x14ac:dyDescent="0.25">
      <c r="A37" s="147"/>
      <c r="E37" s="156"/>
      <c r="F37" s="156"/>
      <c r="G37" s="156"/>
      <c r="H37" s="156"/>
      <c r="I37" s="156"/>
      <c r="J37" s="156"/>
      <c r="K37" s="156"/>
      <c r="L37" s="156"/>
      <c r="M37" s="156"/>
      <c r="N37" s="156"/>
      <c r="O37" s="156"/>
      <c r="P37" s="156"/>
      <c r="Q37" s="156"/>
      <c r="R37" s="156"/>
      <c r="S37" s="156"/>
      <c r="AC37" s="60"/>
      <c r="AD37" s="60"/>
      <c r="AE37" s="60"/>
      <c r="AF37" s="60"/>
      <c r="AG37" s="60"/>
      <c r="AH37" s="60"/>
      <c r="AI37" s="60"/>
      <c r="AJ37" s="60"/>
      <c r="AK37" s="60"/>
      <c r="AL37" s="60"/>
      <c r="AM37" s="60"/>
      <c r="AN37" s="60"/>
      <c r="AO37" s="60"/>
      <c r="AP37" s="60"/>
      <c r="AQ37" s="60"/>
      <c r="AR37" s="60"/>
      <c r="AS37" s="60"/>
      <c r="AT37" s="60"/>
      <c r="AU37" s="60"/>
      <c r="AV37" s="60"/>
      <c r="AW37" s="60"/>
      <c r="AX37" s="60"/>
      <c r="AY37" s="60"/>
      <c r="AZ37" s="60"/>
      <c r="BA37" s="60"/>
      <c r="BB37" s="60"/>
      <c r="BC37" s="60"/>
      <c r="BD37" s="60"/>
      <c r="BE37" s="60"/>
      <c r="BF37" s="60"/>
      <c r="BG37" s="60"/>
      <c r="BH37" s="60"/>
      <c r="BI37" s="60"/>
      <c r="BJ37" s="60"/>
      <c r="BK37" s="60"/>
      <c r="BL37" s="60"/>
      <c r="BM37" s="60"/>
      <c r="BN37" s="60"/>
      <c r="BO37" s="60"/>
      <c r="BP37" s="60"/>
      <c r="BQ37" s="60"/>
      <c r="BR37" s="60"/>
      <c r="BS37" s="60"/>
      <c r="BT37" s="60"/>
      <c r="BU37" s="60"/>
      <c r="BV37" s="60"/>
      <c r="BW37" s="60"/>
      <c r="BX37" s="60"/>
      <c r="BY37" s="60"/>
      <c r="BZ37" s="60"/>
      <c r="CA37" s="60"/>
      <c r="CB37" s="60"/>
      <c r="CC37" s="60"/>
      <c r="CD37" s="60"/>
      <c r="CE37" s="60"/>
      <c r="CF37" s="60"/>
      <c r="CG37" s="60"/>
      <c r="CH37" s="60"/>
      <c r="CI37" s="60"/>
      <c r="CJ37" s="60"/>
      <c r="CK37" s="60"/>
      <c r="CL37" s="60"/>
      <c r="CM37" s="60"/>
      <c r="CN37" s="60"/>
      <c r="CO37" s="60"/>
      <c r="CP37" s="60"/>
      <c r="CQ37" s="60"/>
      <c r="CR37" s="60"/>
      <c r="CS37" s="60"/>
      <c r="CT37" s="60"/>
      <c r="CU37" s="60"/>
      <c r="CV37" s="60"/>
      <c r="CW37" s="60"/>
      <c r="CX37" s="60"/>
      <c r="CY37" s="60"/>
      <c r="CZ37" s="60"/>
      <c r="DA37" s="60"/>
      <c r="DB37" s="60"/>
      <c r="DC37" s="60"/>
      <c r="DD37" s="60"/>
      <c r="DE37" s="60"/>
      <c r="DF37" s="60"/>
      <c r="DG37" s="60"/>
      <c r="DH37" s="60"/>
      <c r="DI37" s="60"/>
      <c r="DJ37" s="60"/>
      <c r="DK37" s="60"/>
      <c r="DL37" s="60"/>
      <c r="DM37" s="60"/>
      <c r="DN37" s="60"/>
      <c r="DO37" s="60"/>
      <c r="DP37" s="60"/>
      <c r="DQ37" s="60"/>
      <c r="DR37" s="60"/>
      <c r="DS37" s="60"/>
      <c r="DT37" s="60"/>
      <c r="DU37" s="60"/>
      <c r="DV37" s="60"/>
      <c r="DW37" s="60"/>
      <c r="DX37" s="60"/>
      <c r="DY37" s="60"/>
      <c r="DZ37" s="60"/>
      <c r="EA37" s="60"/>
      <c r="EB37" s="60"/>
      <c r="EC37" s="60"/>
      <c r="ED37" s="60"/>
      <c r="EE37" s="60"/>
      <c r="EF37" s="60"/>
      <c r="EG37" s="60"/>
      <c r="EH37" s="60"/>
      <c r="EI37" s="60"/>
      <c r="EJ37" s="60"/>
      <c r="EK37" s="60"/>
      <c r="EL37" s="60"/>
      <c r="EM37" s="60"/>
      <c r="EN37" s="60"/>
      <c r="EO37" s="60"/>
      <c r="EP37" s="60"/>
      <c r="EQ37" s="60"/>
      <c r="ER37" s="60"/>
      <c r="ES37" s="60"/>
      <c r="ET37" s="60"/>
      <c r="EU37" s="60"/>
      <c r="EV37" s="60"/>
      <c r="EW37" s="60"/>
      <c r="EX37" s="60"/>
      <c r="EY37" s="60"/>
      <c r="EZ37" s="60"/>
      <c r="FA37" s="60"/>
      <c r="FB37" s="60"/>
      <c r="FC37" s="60"/>
      <c r="FD37" s="60"/>
      <c r="FE37" s="60"/>
      <c r="FF37" s="60"/>
      <c r="FG37" s="60"/>
      <c r="FH37" s="60"/>
      <c r="FI37" s="60"/>
      <c r="FJ37" s="60"/>
      <c r="FK37" s="60"/>
      <c r="FL37" s="60"/>
      <c r="FM37" s="60"/>
      <c r="FN37" s="60"/>
      <c r="FO37" s="60"/>
      <c r="FP37" s="60"/>
      <c r="FQ37" s="60"/>
      <c r="FR37" s="60"/>
      <c r="FS37" s="60"/>
      <c r="FT37" s="60"/>
      <c r="FU37" s="60"/>
      <c r="FV37" s="60"/>
      <c r="FW37" s="60"/>
      <c r="FX37" s="60"/>
      <c r="FY37" s="60"/>
      <c r="FZ37" s="60"/>
      <c r="GA37" s="60"/>
      <c r="GB37" s="60"/>
      <c r="GC37" s="60"/>
      <c r="GD37" s="60"/>
      <c r="GE37" s="60"/>
      <c r="GF37" s="60"/>
      <c r="GG37" s="60"/>
      <c r="GH37" s="60"/>
      <c r="GI37" s="60"/>
      <c r="GJ37" s="60"/>
      <c r="GK37" s="60"/>
      <c r="GL37" s="60"/>
      <c r="GM37" s="60"/>
      <c r="GN37" s="60"/>
      <c r="GO37" s="60"/>
      <c r="GP37" s="60"/>
      <c r="GQ37" s="60"/>
      <c r="GR37" s="60"/>
      <c r="GS37" s="60"/>
      <c r="GT37" s="60"/>
      <c r="GU37" s="60"/>
      <c r="GV37" s="60"/>
      <c r="GW37" s="60"/>
      <c r="GX37" s="60"/>
      <c r="GY37" s="60"/>
      <c r="GZ37" s="60"/>
      <c r="HA37" s="60"/>
      <c r="HB37" s="60"/>
      <c r="HC37" s="60"/>
      <c r="HD37" s="60"/>
      <c r="HE37" s="60"/>
      <c r="HF37" s="60"/>
      <c r="HG37" s="60"/>
      <c r="HH37" s="60"/>
      <c r="HI37" s="60"/>
      <c r="HJ37" s="60"/>
      <c r="HK37" s="60"/>
      <c r="HL37" s="60"/>
      <c r="HM37" s="60"/>
      <c r="HN37" s="60"/>
      <c r="HO37" s="60"/>
      <c r="HP37" s="60"/>
      <c r="HQ37" s="60"/>
      <c r="HR37" s="60"/>
      <c r="HS37" s="60"/>
      <c r="HT37" s="60"/>
      <c r="HU37" s="60"/>
      <c r="HV37" s="60"/>
      <c r="HW37" s="60"/>
      <c r="HX37" s="60"/>
      <c r="HY37" s="60"/>
      <c r="HZ37" s="60"/>
      <c r="IA37" s="60"/>
      <c r="IB37" s="60"/>
      <c r="IC37" s="60"/>
      <c r="ID37" s="60"/>
      <c r="IE37" s="60"/>
      <c r="IF37" s="60"/>
      <c r="IG37" s="60"/>
      <c r="IH37" s="60"/>
      <c r="II37" s="60"/>
      <c r="IJ37" s="60"/>
      <c r="IK37" s="60"/>
      <c r="IL37" s="60"/>
      <c r="IM37" s="60"/>
      <c r="IN37" s="60"/>
      <c r="IO37" s="60"/>
      <c r="IP37" s="60"/>
      <c r="IQ37" s="60"/>
      <c r="IR37" s="60"/>
      <c r="IS37" s="60"/>
      <c r="IT37" s="60"/>
      <c r="IU37" s="60"/>
      <c r="IV37" s="60"/>
      <c r="IW37" s="60"/>
      <c r="IX37" s="60"/>
      <c r="IY37" s="60"/>
      <c r="IZ37" s="60"/>
      <c r="JA37" s="60"/>
      <c r="JB37" s="60"/>
      <c r="JC37" s="60"/>
      <c r="JD37" s="60"/>
      <c r="JE37" s="60"/>
      <c r="JF37" s="60"/>
      <c r="JG37" s="60"/>
      <c r="JH37" s="60"/>
      <c r="JI37" s="60"/>
      <c r="JJ37" s="60"/>
      <c r="JK37" s="60"/>
      <c r="JL37" s="60"/>
      <c r="JM37" s="60"/>
      <c r="JN37" s="60"/>
      <c r="JO37" s="60"/>
      <c r="JP37" s="60"/>
      <c r="JQ37" s="60"/>
      <c r="JR37" s="60"/>
      <c r="JS37" s="60"/>
      <c r="JT37" s="60"/>
      <c r="JU37" s="60"/>
      <c r="JV37" s="60"/>
      <c r="JW37" s="60"/>
      <c r="JX37" s="60"/>
      <c r="JY37" s="60"/>
      <c r="JZ37" s="60"/>
      <c r="KA37" s="60"/>
      <c r="KB37" s="60"/>
      <c r="KC37" s="60"/>
      <c r="KD37" s="60"/>
      <c r="KE37" s="60"/>
      <c r="KF37" s="60"/>
      <c r="KG37" s="60"/>
      <c r="KH37" s="60"/>
      <c r="KI37" s="60"/>
      <c r="KJ37" s="60"/>
      <c r="KK37" s="60"/>
      <c r="KL37" s="60"/>
      <c r="KM37" s="60"/>
      <c r="KN37" s="60"/>
      <c r="KO37" s="60"/>
      <c r="KP37" s="60"/>
      <c r="KQ37" s="60"/>
      <c r="KR37" s="60"/>
      <c r="KS37" s="60"/>
      <c r="KT37" s="60"/>
      <c r="KU37" s="60"/>
      <c r="KV37" s="60"/>
      <c r="KW37" s="60"/>
      <c r="KX37" s="60"/>
      <c r="KY37" s="60"/>
      <c r="KZ37" s="60"/>
      <c r="LA37" s="60"/>
      <c r="LB37" s="60"/>
      <c r="LC37" s="60"/>
      <c r="LD37" s="60"/>
      <c r="LE37" s="60"/>
      <c r="LF37" s="60"/>
      <c r="LG37" s="60"/>
      <c r="LH37" s="60"/>
    </row>
    <row r="38" spans="1:320" s="17" customFormat="1" x14ac:dyDescent="0.25">
      <c r="A38" s="147"/>
      <c r="E38" s="156"/>
      <c r="F38" s="157"/>
      <c r="G38" s="157"/>
      <c r="H38" s="156"/>
      <c r="I38" s="156"/>
      <c r="J38" s="156"/>
      <c r="K38" s="156"/>
      <c r="L38" s="156"/>
      <c r="M38" s="156"/>
      <c r="N38" s="156"/>
      <c r="O38" s="156"/>
      <c r="P38" s="156"/>
      <c r="Q38" s="156"/>
      <c r="R38" s="156"/>
      <c r="S38" s="156"/>
      <c r="AC38" s="60"/>
      <c r="AD38" s="60"/>
      <c r="AE38" s="60"/>
      <c r="AF38" s="60"/>
      <c r="AG38" s="60"/>
      <c r="AH38" s="60"/>
      <c r="AI38" s="60"/>
      <c r="AJ38" s="60"/>
      <c r="AK38" s="60"/>
      <c r="AL38" s="60"/>
      <c r="AM38" s="60"/>
      <c r="AN38" s="60"/>
      <c r="AO38" s="60"/>
      <c r="AP38" s="60"/>
      <c r="AQ38" s="60"/>
      <c r="AR38" s="60"/>
      <c r="AS38" s="60"/>
      <c r="AT38" s="60"/>
      <c r="AU38" s="60"/>
      <c r="AV38" s="60"/>
      <c r="AW38" s="60"/>
      <c r="AX38" s="60"/>
      <c r="AY38" s="60"/>
      <c r="AZ38" s="60"/>
      <c r="BA38" s="60"/>
      <c r="BB38" s="60"/>
      <c r="BC38" s="60"/>
      <c r="BD38" s="60"/>
      <c r="BE38" s="60"/>
      <c r="BF38" s="60"/>
      <c r="BG38" s="60"/>
      <c r="BH38" s="60"/>
      <c r="BI38" s="60"/>
      <c r="BJ38" s="60"/>
      <c r="BK38" s="60"/>
      <c r="BL38" s="60"/>
      <c r="BM38" s="60"/>
      <c r="BN38" s="60"/>
      <c r="BO38" s="60"/>
      <c r="BP38" s="60"/>
      <c r="BQ38" s="60"/>
      <c r="BR38" s="60"/>
      <c r="BS38" s="60"/>
      <c r="BT38" s="60"/>
      <c r="BU38" s="60"/>
      <c r="BV38" s="60"/>
      <c r="BW38" s="60"/>
      <c r="BX38" s="60"/>
      <c r="BY38" s="60"/>
      <c r="BZ38" s="60"/>
      <c r="CA38" s="60"/>
      <c r="CB38" s="60"/>
      <c r="CC38" s="60"/>
      <c r="CD38" s="60"/>
      <c r="CE38" s="60"/>
      <c r="CF38" s="60"/>
      <c r="CG38" s="60"/>
      <c r="CH38" s="60"/>
      <c r="CI38" s="60"/>
      <c r="CJ38" s="60"/>
      <c r="CK38" s="60"/>
      <c r="CL38" s="60"/>
      <c r="CM38" s="60"/>
      <c r="CN38" s="60"/>
      <c r="CO38" s="60"/>
      <c r="CP38" s="60"/>
      <c r="CQ38" s="60"/>
      <c r="CR38" s="60"/>
      <c r="CS38" s="60"/>
      <c r="CT38" s="60"/>
      <c r="CU38" s="60"/>
      <c r="CV38" s="60"/>
      <c r="CW38" s="60"/>
      <c r="CX38" s="60"/>
      <c r="CY38" s="60"/>
      <c r="CZ38" s="60"/>
      <c r="DA38" s="60"/>
      <c r="DB38" s="60"/>
      <c r="DC38" s="60"/>
      <c r="DD38" s="60"/>
      <c r="DE38" s="60"/>
      <c r="DF38" s="60"/>
      <c r="DG38" s="60"/>
      <c r="DH38" s="60"/>
      <c r="DI38" s="60"/>
      <c r="DJ38" s="60"/>
      <c r="DK38" s="60"/>
      <c r="DL38" s="60"/>
      <c r="DM38" s="60"/>
      <c r="DN38" s="60"/>
      <c r="DO38" s="60"/>
      <c r="DP38" s="60"/>
      <c r="DQ38" s="60"/>
      <c r="DR38" s="60"/>
      <c r="DS38" s="60"/>
      <c r="DT38" s="60"/>
      <c r="DU38" s="60"/>
      <c r="DV38" s="60"/>
      <c r="DW38" s="60"/>
      <c r="DX38" s="60"/>
      <c r="DY38" s="60"/>
      <c r="DZ38" s="60"/>
      <c r="EA38" s="60"/>
      <c r="EB38" s="60"/>
      <c r="EC38" s="60"/>
      <c r="ED38" s="60"/>
      <c r="EE38" s="60"/>
      <c r="EF38" s="60"/>
      <c r="EG38" s="60"/>
      <c r="EH38" s="60"/>
      <c r="EI38" s="60"/>
      <c r="EJ38" s="60"/>
      <c r="EK38" s="60"/>
      <c r="EL38" s="60"/>
      <c r="EM38" s="60"/>
      <c r="EN38" s="60"/>
      <c r="EO38" s="60"/>
      <c r="EP38" s="60"/>
      <c r="EQ38" s="60"/>
      <c r="ER38" s="60"/>
      <c r="ES38" s="60"/>
      <c r="ET38" s="60"/>
      <c r="EU38" s="60"/>
      <c r="EV38" s="60"/>
      <c r="EW38" s="60"/>
      <c r="EX38" s="60"/>
      <c r="EY38" s="60"/>
      <c r="EZ38" s="60"/>
      <c r="FA38" s="60"/>
      <c r="FB38" s="60"/>
      <c r="FC38" s="60"/>
      <c r="FD38" s="60"/>
      <c r="FE38" s="60"/>
      <c r="FF38" s="60"/>
      <c r="FG38" s="60"/>
      <c r="FH38" s="60"/>
      <c r="FI38" s="60"/>
      <c r="FJ38" s="60"/>
      <c r="FK38" s="60"/>
      <c r="FL38" s="60"/>
      <c r="FM38" s="60"/>
      <c r="FN38" s="60"/>
      <c r="FO38" s="60"/>
      <c r="FP38" s="60"/>
      <c r="FQ38" s="60"/>
      <c r="FR38" s="60"/>
      <c r="FS38" s="60"/>
      <c r="FT38" s="60"/>
      <c r="FU38" s="60"/>
      <c r="FV38" s="60"/>
      <c r="FW38" s="60"/>
      <c r="FX38" s="60"/>
      <c r="FY38" s="60"/>
      <c r="FZ38" s="60"/>
      <c r="GA38" s="60"/>
      <c r="GB38" s="60"/>
      <c r="GC38" s="60"/>
      <c r="GD38" s="60"/>
      <c r="GE38" s="60"/>
      <c r="GF38" s="60"/>
      <c r="GG38" s="60"/>
      <c r="GH38" s="60"/>
      <c r="GI38" s="60"/>
      <c r="GJ38" s="60"/>
      <c r="GK38" s="60"/>
      <c r="GL38" s="60"/>
      <c r="GM38" s="60"/>
      <c r="GN38" s="60"/>
      <c r="GO38" s="60"/>
      <c r="GP38" s="60"/>
      <c r="GQ38" s="60"/>
      <c r="GR38" s="60"/>
      <c r="GS38" s="60"/>
      <c r="GT38" s="60"/>
      <c r="GU38" s="60"/>
      <c r="GV38" s="60"/>
      <c r="GW38" s="60"/>
      <c r="GX38" s="60"/>
      <c r="GY38" s="60"/>
      <c r="GZ38" s="60"/>
      <c r="HA38" s="60"/>
      <c r="HB38" s="60"/>
      <c r="HC38" s="60"/>
      <c r="HD38" s="60"/>
      <c r="HE38" s="60"/>
      <c r="HF38" s="60"/>
      <c r="HG38" s="60"/>
      <c r="HH38" s="60"/>
      <c r="HI38" s="60"/>
      <c r="HJ38" s="60"/>
      <c r="HK38" s="60"/>
      <c r="HL38" s="60"/>
      <c r="HM38" s="60"/>
      <c r="HN38" s="60"/>
      <c r="HO38" s="60"/>
      <c r="HP38" s="60"/>
      <c r="HQ38" s="60"/>
      <c r="HR38" s="60"/>
      <c r="HS38" s="60"/>
      <c r="HT38" s="60"/>
      <c r="HU38" s="60"/>
      <c r="HV38" s="60"/>
      <c r="HW38" s="60"/>
      <c r="HX38" s="60"/>
      <c r="HY38" s="60"/>
      <c r="HZ38" s="60"/>
      <c r="IA38" s="60"/>
      <c r="IB38" s="60"/>
      <c r="IC38" s="60"/>
      <c r="ID38" s="60"/>
      <c r="IE38" s="60"/>
      <c r="IF38" s="60"/>
      <c r="IG38" s="60"/>
      <c r="IH38" s="60"/>
      <c r="II38" s="60"/>
      <c r="IJ38" s="60"/>
      <c r="IK38" s="60"/>
      <c r="IL38" s="60"/>
      <c r="IM38" s="60"/>
      <c r="IN38" s="60"/>
      <c r="IO38" s="60"/>
      <c r="IP38" s="60"/>
      <c r="IQ38" s="60"/>
      <c r="IR38" s="60"/>
      <c r="IS38" s="60"/>
      <c r="IT38" s="60"/>
      <c r="IU38" s="60"/>
      <c r="IV38" s="60"/>
      <c r="IW38" s="60"/>
      <c r="IX38" s="60"/>
      <c r="IY38" s="60"/>
      <c r="IZ38" s="60"/>
      <c r="JA38" s="60"/>
      <c r="JB38" s="60"/>
      <c r="JC38" s="60"/>
      <c r="JD38" s="60"/>
      <c r="JE38" s="60"/>
      <c r="JF38" s="60"/>
      <c r="JG38" s="60"/>
      <c r="JH38" s="60"/>
      <c r="JI38" s="60"/>
      <c r="JJ38" s="60"/>
      <c r="JK38" s="60"/>
      <c r="JL38" s="60"/>
      <c r="JM38" s="60"/>
      <c r="JN38" s="60"/>
      <c r="JO38" s="60"/>
      <c r="JP38" s="60"/>
      <c r="JQ38" s="60"/>
      <c r="JR38" s="60"/>
      <c r="JS38" s="60"/>
      <c r="JT38" s="60"/>
      <c r="JU38" s="60"/>
      <c r="JV38" s="60"/>
      <c r="JW38" s="60"/>
      <c r="JX38" s="60"/>
      <c r="JY38" s="60"/>
      <c r="JZ38" s="60"/>
      <c r="KA38" s="60"/>
      <c r="KB38" s="60"/>
      <c r="KC38" s="60"/>
      <c r="KD38" s="60"/>
      <c r="KE38" s="60"/>
      <c r="KF38" s="60"/>
      <c r="KG38" s="60"/>
      <c r="KH38" s="60"/>
      <c r="KI38" s="60"/>
      <c r="KJ38" s="60"/>
      <c r="KK38" s="60"/>
      <c r="KL38" s="60"/>
      <c r="KM38" s="60"/>
      <c r="KN38" s="60"/>
      <c r="KO38" s="60"/>
      <c r="KP38" s="60"/>
      <c r="KQ38" s="60"/>
      <c r="KR38" s="60"/>
      <c r="KS38" s="60"/>
      <c r="KT38" s="60"/>
      <c r="KU38" s="60"/>
      <c r="KV38" s="60"/>
      <c r="KW38" s="60"/>
      <c r="KX38" s="60"/>
      <c r="KY38" s="60"/>
      <c r="KZ38" s="60"/>
      <c r="LA38" s="60"/>
      <c r="LB38" s="60"/>
      <c r="LC38" s="60"/>
      <c r="LD38" s="60"/>
      <c r="LE38" s="60"/>
      <c r="LF38" s="60"/>
      <c r="LG38" s="60"/>
      <c r="LH38" s="60"/>
    </row>
    <row r="39" spans="1:320" s="17" customFormat="1" x14ac:dyDescent="0.25">
      <c r="A39" s="147"/>
      <c r="E39" s="156"/>
      <c r="F39" s="157"/>
      <c r="G39" s="157"/>
      <c r="H39" s="156"/>
      <c r="I39" s="156"/>
      <c r="J39" s="156"/>
      <c r="K39" s="156"/>
      <c r="L39" s="156"/>
      <c r="M39" s="156"/>
      <c r="N39" s="156"/>
      <c r="O39" s="156"/>
      <c r="P39" s="156"/>
      <c r="Q39" s="156"/>
      <c r="R39" s="156"/>
      <c r="S39" s="156"/>
      <c r="AC39" s="60"/>
      <c r="AD39" s="60"/>
      <c r="AE39" s="60"/>
      <c r="AF39" s="60"/>
      <c r="AG39" s="60"/>
      <c r="AH39" s="60"/>
      <c r="AI39" s="60"/>
      <c r="AJ39" s="60"/>
      <c r="AK39" s="60"/>
      <c r="AL39" s="60"/>
      <c r="AM39" s="60"/>
      <c r="AN39" s="60"/>
      <c r="AO39" s="60"/>
      <c r="AP39" s="60"/>
      <c r="AQ39" s="60"/>
      <c r="AR39" s="60"/>
      <c r="AS39" s="60"/>
      <c r="AT39" s="60"/>
      <c r="AU39" s="60"/>
      <c r="AV39" s="60"/>
      <c r="AW39" s="60"/>
      <c r="AX39" s="60"/>
      <c r="AY39" s="60"/>
      <c r="AZ39" s="60"/>
      <c r="BA39" s="60"/>
      <c r="BB39" s="60"/>
      <c r="BC39" s="60"/>
      <c r="BD39" s="60"/>
      <c r="BE39" s="60"/>
      <c r="BF39" s="60"/>
      <c r="BG39" s="60"/>
      <c r="BH39" s="60"/>
      <c r="BI39" s="60"/>
      <c r="BJ39" s="60"/>
      <c r="BK39" s="60"/>
      <c r="BL39" s="60"/>
      <c r="BM39" s="60"/>
      <c r="BN39" s="60"/>
      <c r="BO39" s="60"/>
      <c r="BP39" s="60"/>
      <c r="BQ39" s="60"/>
      <c r="BR39" s="60"/>
      <c r="BS39" s="60"/>
      <c r="BT39" s="60"/>
      <c r="BU39" s="60"/>
      <c r="BV39" s="60"/>
      <c r="BW39" s="60"/>
      <c r="BX39" s="60"/>
      <c r="BY39" s="60"/>
      <c r="BZ39" s="60"/>
      <c r="CA39" s="60"/>
      <c r="CB39" s="60"/>
      <c r="CC39" s="60"/>
      <c r="CD39" s="60"/>
      <c r="CE39" s="60"/>
      <c r="CF39" s="60"/>
      <c r="CG39" s="60"/>
      <c r="CH39" s="60"/>
      <c r="CI39" s="60"/>
      <c r="CJ39" s="60"/>
      <c r="CK39" s="60"/>
      <c r="CL39" s="60"/>
      <c r="CM39" s="60"/>
      <c r="CN39" s="60"/>
      <c r="CO39" s="60"/>
      <c r="CP39" s="60"/>
      <c r="CQ39" s="60"/>
      <c r="CR39" s="60"/>
      <c r="CS39" s="60"/>
      <c r="CT39" s="60"/>
      <c r="CU39" s="60"/>
      <c r="CV39" s="60"/>
      <c r="CW39" s="60"/>
      <c r="CX39" s="60"/>
      <c r="CY39" s="60"/>
      <c r="CZ39" s="60"/>
      <c r="DA39" s="60"/>
      <c r="DB39" s="60"/>
      <c r="DC39" s="60"/>
      <c r="DD39" s="60"/>
      <c r="DE39" s="60"/>
      <c r="DF39" s="60"/>
      <c r="DG39" s="60"/>
      <c r="DH39" s="60"/>
      <c r="DI39" s="60"/>
      <c r="DJ39" s="60"/>
      <c r="DK39" s="60"/>
      <c r="DL39" s="60"/>
      <c r="DM39" s="60"/>
      <c r="DN39" s="60"/>
      <c r="DO39" s="60"/>
      <c r="DP39" s="60"/>
      <c r="DQ39" s="60"/>
      <c r="DR39" s="60"/>
      <c r="DS39" s="60"/>
      <c r="DT39" s="60"/>
      <c r="DU39" s="60"/>
      <c r="DV39" s="60"/>
      <c r="DW39" s="60"/>
      <c r="DX39" s="60"/>
      <c r="DY39" s="60"/>
      <c r="DZ39" s="60"/>
      <c r="EA39" s="60"/>
      <c r="EB39" s="60"/>
      <c r="EC39" s="60"/>
      <c r="ED39" s="60"/>
      <c r="EE39" s="60"/>
      <c r="EF39" s="60"/>
      <c r="EG39" s="60"/>
      <c r="EH39" s="60"/>
      <c r="EI39" s="60"/>
      <c r="EJ39" s="60"/>
      <c r="EK39" s="60"/>
      <c r="EL39" s="60"/>
      <c r="EM39" s="60"/>
      <c r="EN39" s="60"/>
      <c r="EO39" s="60"/>
      <c r="EP39" s="60"/>
      <c r="EQ39" s="60"/>
      <c r="ER39" s="60"/>
      <c r="ES39" s="60"/>
      <c r="ET39" s="60"/>
      <c r="EU39" s="60"/>
      <c r="EV39" s="60"/>
      <c r="EW39" s="60"/>
      <c r="EX39" s="60"/>
      <c r="EY39" s="60"/>
      <c r="EZ39" s="60"/>
      <c r="FA39" s="60"/>
      <c r="FB39" s="60"/>
      <c r="FC39" s="60"/>
      <c r="FD39" s="60"/>
      <c r="FE39" s="60"/>
      <c r="FF39" s="60"/>
      <c r="FG39" s="60"/>
      <c r="FH39" s="60"/>
      <c r="FI39" s="60"/>
      <c r="FJ39" s="60"/>
      <c r="FK39" s="60"/>
      <c r="FL39" s="60"/>
      <c r="FM39" s="60"/>
      <c r="FN39" s="60"/>
      <c r="FO39" s="60"/>
      <c r="FP39" s="60"/>
      <c r="FQ39" s="60"/>
      <c r="FR39" s="60"/>
      <c r="FS39" s="60"/>
      <c r="FT39" s="60"/>
      <c r="FU39" s="60"/>
      <c r="FV39" s="60"/>
      <c r="FW39" s="60"/>
      <c r="FX39" s="60"/>
      <c r="FY39" s="60"/>
      <c r="FZ39" s="60"/>
      <c r="GA39" s="60"/>
      <c r="GB39" s="60"/>
      <c r="GC39" s="60"/>
      <c r="GD39" s="60"/>
      <c r="GE39" s="60"/>
      <c r="GF39" s="60"/>
      <c r="GG39" s="60"/>
      <c r="GH39" s="60"/>
      <c r="GI39" s="60"/>
      <c r="GJ39" s="60"/>
      <c r="GK39" s="60"/>
      <c r="GL39" s="60"/>
      <c r="GM39" s="60"/>
      <c r="GN39" s="60"/>
      <c r="GO39" s="60"/>
      <c r="GP39" s="60"/>
      <c r="GQ39" s="60"/>
      <c r="GR39" s="60"/>
      <c r="GS39" s="60"/>
      <c r="GT39" s="60"/>
      <c r="GU39" s="60"/>
      <c r="GV39" s="60"/>
      <c r="GW39" s="60"/>
      <c r="GX39" s="60"/>
      <c r="GY39" s="60"/>
      <c r="GZ39" s="60"/>
      <c r="HA39" s="60"/>
      <c r="HB39" s="60"/>
      <c r="HC39" s="60"/>
      <c r="HD39" s="60"/>
      <c r="HE39" s="60"/>
      <c r="HF39" s="60"/>
      <c r="HG39" s="60"/>
      <c r="HH39" s="60"/>
      <c r="HI39" s="60"/>
      <c r="HJ39" s="60"/>
      <c r="HK39" s="60"/>
      <c r="HL39" s="60"/>
      <c r="HM39" s="60"/>
      <c r="HN39" s="60"/>
      <c r="HO39" s="60"/>
      <c r="HP39" s="60"/>
      <c r="HQ39" s="60"/>
      <c r="HR39" s="60"/>
      <c r="HS39" s="60"/>
      <c r="HT39" s="60"/>
      <c r="HU39" s="60"/>
      <c r="HV39" s="60"/>
      <c r="HW39" s="60"/>
      <c r="HX39" s="60"/>
      <c r="HY39" s="60"/>
      <c r="HZ39" s="60"/>
      <c r="IA39" s="60"/>
      <c r="IB39" s="60"/>
      <c r="IC39" s="60"/>
      <c r="ID39" s="60"/>
      <c r="IE39" s="60"/>
      <c r="IF39" s="60"/>
      <c r="IG39" s="60"/>
      <c r="IH39" s="60"/>
      <c r="II39" s="60"/>
      <c r="IJ39" s="60"/>
      <c r="IK39" s="60"/>
      <c r="IL39" s="60"/>
      <c r="IM39" s="60"/>
      <c r="IN39" s="60"/>
      <c r="IO39" s="60"/>
      <c r="IP39" s="60"/>
      <c r="IQ39" s="60"/>
      <c r="IR39" s="60"/>
      <c r="IS39" s="60"/>
      <c r="IT39" s="60"/>
      <c r="IU39" s="60"/>
      <c r="IV39" s="60"/>
      <c r="IW39" s="60"/>
      <c r="IX39" s="60"/>
      <c r="IY39" s="60"/>
      <c r="IZ39" s="60"/>
      <c r="JA39" s="60"/>
      <c r="JB39" s="60"/>
      <c r="JC39" s="60"/>
      <c r="JD39" s="60"/>
      <c r="JE39" s="60"/>
      <c r="JF39" s="60"/>
      <c r="JG39" s="60"/>
      <c r="JH39" s="60"/>
      <c r="JI39" s="60"/>
      <c r="JJ39" s="60"/>
      <c r="JK39" s="60"/>
      <c r="JL39" s="60"/>
      <c r="JM39" s="60"/>
      <c r="JN39" s="60"/>
      <c r="JO39" s="60"/>
      <c r="JP39" s="60"/>
      <c r="JQ39" s="60"/>
      <c r="JR39" s="60"/>
      <c r="JS39" s="60"/>
      <c r="JT39" s="60"/>
      <c r="JU39" s="60"/>
      <c r="JV39" s="60"/>
      <c r="JW39" s="60"/>
      <c r="JX39" s="60"/>
      <c r="JY39" s="60"/>
      <c r="JZ39" s="60"/>
      <c r="KA39" s="60"/>
      <c r="KB39" s="60"/>
      <c r="KC39" s="60"/>
      <c r="KD39" s="60"/>
      <c r="KE39" s="60"/>
      <c r="KF39" s="60"/>
      <c r="KG39" s="60"/>
      <c r="KH39" s="60"/>
      <c r="KI39" s="60"/>
      <c r="KJ39" s="60"/>
      <c r="KK39" s="60"/>
      <c r="KL39" s="60"/>
      <c r="KM39" s="60"/>
      <c r="KN39" s="60"/>
      <c r="KO39" s="60"/>
      <c r="KP39" s="60"/>
      <c r="KQ39" s="60"/>
      <c r="KR39" s="60"/>
      <c r="KS39" s="60"/>
      <c r="KT39" s="60"/>
      <c r="KU39" s="60"/>
      <c r="KV39" s="60"/>
      <c r="KW39" s="60"/>
      <c r="KX39" s="60"/>
      <c r="KY39" s="60"/>
      <c r="KZ39" s="60"/>
      <c r="LA39" s="60"/>
      <c r="LB39" s="60"/>
      <c r="LC39" s="60"/>
      <c r="LD39" s="60"/>
      <c r="LE39" s="60"/>
      <c r="LF39" s="60"/>
      <c r="LG39" s="60"/>
      <c r="LH39" s="60"/>
    </row>
    <row r="40" spans="1:320" s="17" customFormat="1" x14ac:dyDescent="0.25">
      <c r="A40" s="147"/>
      <c r="E40" s="156"/>
      <c r="F40" s="157"/>
      <c r="G40" s="157"/>
      <c r="H40" s="156"/>
      <c r="I40" s="156"/>
      <c r="J40" s="156"/>
      <c r="K40" s="156"/>
      <c r="L40" s="156"/>
      <c r="M40" s="156"/>
      <c r="N40" s="156"/>
      <c r="O40" s="156"/>
      <c r="P40" s="156"/>
      <c r="Q40" s="156"/>
      <c r="R40" s="156"/>
      <c r="S40" s="156"/>
      <c r="AC40" s="60"/>
      <c r="AD40" s="60"/>
      <c r="AE40" s="60"/>
      <c r="AF40" s="60"/>
      <c r="AG40" s="60"/>
      <c r="AH40" s="60"/>
      <c r="AI40" s="60"/>
      <c r="AJ40" s="60"/>
      <c r="AK40" s="60"/>
      <c r="AL40" s="60"/>
      <c r="AM40" s="60"/>
      <c r="AN40" s="60"/>
      <c r="AO40" s="60"/>
      <c r="AP40" s="60"/>
      <c r="AQ40" s="60"/>
      <c r="AR40" s="60"/>
      <c r="AS40" s="60"/>
      <c r="AT40" s="60"/>
      <c r="AU40" s="60"/>
      <c r="AV40" s="60"/>
      <c r="AW40" s="60"/>
      <c r="AX40" s="60"/>
      <c r="AY40" s="60"/>
      <c r="AZ40" s="60"/>
      <c r="BA40" s="60"/>
      <c r="BB40" s="60"/>
      <c r="BC40" s="60"/>
      <c r="BD40" s="60"/>
      <c r="BE40" s="60"/>
      <c r="BF40" s="60"/>
      <c r="BG40" s="60"/>
      <c r="BH40" s="60"/>
      <c r="BI40" s="60"/>
      <c r="BJ40" s="60"/>
      <c r="BK40" s="60"/>
      <c r="BL40" s="60"/>
      <c r="BM40" s="60"/>
      <c r="BN40" s="60"/>
      <c r="BO40" s="60"/>
      <c r="BP40" s="60"/>
      <c r="BQ40" s="60"/>
      <c r="BR40" s="60"/>
      <c r="BS40" s="60"/>
      <c r="BT40" s="60"/>
      <c r="BU40" s="60"/>
      <c r="BV40" s="60"/>
      <c r="BW40" s="60"/>
      <c r="BX40" s="60"/>
      <c r="BY40" s="60"/>
      <c r="BZ40" s="60"/>
      <c r="CA40" s="60"/>
      <c r="CB40" s="60"/>
      <c r="CC40" s="60"/>
      <c r="CD40" s="60"/>
      <c r="CE40" s="60"/>
      <c r="CF40" s="60"/>
      <c r="CG40" s="60"/>
      <c r="CH40" s="60"/>
      <c r="CI40" s="60"/>
      <c r="CJ40" s="60"/>
      <c r="CK40" s="60"/>
      <c r="CL40" s="60"/>
      <c r="CM40" s="60"/>
      <c r="CN40" s="60"/>
      <c r="CO40" s="60"/>
      <c r="CP40" s="60"/>
      <c r="CQ40" s="60"/>
      <c r="CR40" s="60"/>
      <c r="CS40" s="60"/>
      <c r="CT40" s="60"/>
      <c r="CU40" s="60"/>
      <c r="CV40" s="60"/>
      <c r="CW40" s="60"/>
      <c r="CX40" s="60"/>
      <c r="CY40" s="60"/>
      <c r="CZ40" s="60"/>
      <c r="DA40" s="60"/>
      <c r="DB40" s="60"/>
      <c r="DC40" s="60"/>
      <c r="DD40" s="60"/>
      <c r="DE40" s="60"/>
      <c r="DF40" s="60"/>
      <c r="DG40" s="60"/>
      <c r="DH40" s="60"/>
      <c r="DI40" s="60"/>
      <c r="DJ40" s="60"/>
      <c r="DK40" s="60"/>
      <c r="DL40" s="60"/>
      <c r="DM40" s="60"/>
      <c r="DN40" s="60"/>
      <c r="DO40" s="60"/>
      <c r="DP40" s="60"/>
      <c r="DQ40" s="60"/>
      <c r="DR40" s="60"/>
      <c r="DS40" s="60"/>
      <c r="DT40" s="60"/>
      <c r="DU40" s="60"/>
      <c r="DV40" s="60"/>
      <c r="DW40" s="60"/>
      <c r="DX40" s="60"/>
      <c r="DY40" s="60"/>
      <c r="DZ40" s="60"/>
      <c r="EA40" s="60"/>
      <c r="EB40" s="60"/>
      <c r="EC40" s="60"/>
      <c r="ED40" s="60"/>
      <c r="EE40" s="60"/>
      <c r="EF40" s="60"/>
      <c r="EG40" s="60"/>
      <c r="EH40" s="60"/>
      <c r="EI40" s="60"/>
      <c r="EJ40" s="60"/>
      <c r="EK40" s="60"/>
      <c r="EL40" s="60"/>
      <c r="EM40" s="60"/>
      <c r="EN40" s="60"/>
      <c r="EO40" s="60"/>
      <c r="EP40" s="60"/>
      <c r="EQ40" s="60"/>
      <c r="ER40" s="60"/>
      <c r="ES40" s="60"/>
      <c r="ET40" s="60"/>
      <c r="EU40" s="60"/>
      <c r="EV40" s="60"/>
      <c r="EW40" s="60"/>
      <c r="EX40" s="60"/>
      <c r="EY40" s="60"/>
      <c r="EZ40" s="60"/>
      <c r="FA40" s="60"/>
      <c r="FB40" s="60"/>
      <c r="FC40" s="60"/>
      <c r="FD40" s="60"/>
      <c r="FE40" s="60"/>
      <c r="FF40" s="60"/>
      <c r="FG40" s="60"/>
      <c r="FH40" s="60"/>
      <c r="FI40" s="60"/>
      <c r="FJ40" s="60"/>
      <c r="FK40" s="60"/>
      <c r="FL40" s="60"/>
      <c r="FM40" s="60"/>
      <c r="FN40" s="60"/>
      <c r="FO40" s="60"/>
      <c r="FP40" s="60"/>
      <c r="FQ40" s="60"/>
      <c r="FR40" s="60"/>
      <c r="FS40" s="60"/>
      <c r="FT40" s="60"/>
      <c r="FU40" s="60"/>
      <c r="FV40" s="60"/>
      <c r="FW40" s="60"/>
      <c r="FX40" s="60"/>
      <c r="FY40" s="60"/>
      <c r="FZ40" s="60"/>
      <c r="GA40" s="60"/>
      <c r="GB40" s="60"/>
      <c r="GC40" s="60"/>
      <c r="GD40" s="60"/>
      <c r="GE40" s="60"/>
      <c r="GF40" s="60"/>
      <c r="GG40" s="60"/>
      <c r="GH40" s="60"/>
      <c r="GI40" s="60"/>
      <c r="GJ40" s="60"/>
      <c r="GK40" s="60"/>
      <c r="GL40" s="60"/>
      <c r="GM40" s="60"/>
      <c r="GN40" s="60"/>
      <c r="GO40" s="60"/>
      <c r="GP40" s="60"/>
      <c r="GQ40" s="60"/>
      <c r="GR40" s="60"/>
      <c r="GS40" s="60"/>
      <c r="GT40" s="60"/>
      <c r="GU40" s="60"/>
      <c r="GV40" s="60"/>
      <c r="GW40" s="60"/>
      <c r="GX40" s="60"/>
      <c r="GY40" s="60"/>
      <c r="GZ40" s="60"/>
      <c r="HA40" s="60"/>
      <c r="HB40" s="60"/>
      <c r="HC40" s="60"/>
      <c r="HD40" s="60"/>
      <c r="HE40" s="60"/>
      <c r="HF40" s="60"/>
      <c r="HG40" s="60"/>
      <c r="HH40" s="60"/>
      <c r="HI40" s="60"/>
      <c r="HJ40" s="60"/>
      <c r="HK40" s="60"/>
      <c r="HL40" s="60"/>
      <c r="HM40" s="60"/>
      <c r="HN40" s="60"/>
      <c r="HO40" s="60"/>
      <c r="HP40" s="60"/>
      <c r="HQ40" s="60"/>
      <c r="HR40" s="60"/>
      <c r="HS40" s="60"/>
      <c r="HT40" s="60"/>
      <c r="HU40" s="60"/>
      <c r="HV40" s="60"/>
      <c r="HW40" s="60"/>
      <c r="HX40" s="60"/>
      <c r="HY40" s="60"/>
      <c r="HZ40" s="60"/>
      <c r="IA40" s="60"/>
      <c r="IB40" s="60"/>
      <c r="IC40" s="60"/>
      <c r="ID40" s="60"/>
      <c r="IE40" s="60"/>
      <c r="IF40" s="60"/>
      <c r="IG40" s="60"/>
      <c r="IH40" s="60"/>
      <c r="II40" s="60"/>
      <c r="IJ40" s="60"/>
      <c r="IK40" s="60"/>
      <c r="IL40" s="60"/>
      <c r="IM40" s="60"/>
      <c r="IN40" s="60"/>
      <c r="IO40" s="60"/>
      <c r="IP40" s="60"/>
      <c r="IQ40" s="60"/>
      <c r="IR40" s="60"/>
      <c r="IS40" s="60"/>
      <c r="IT40" s="60"/>
      <c r="IU40" s="60"/>
      <c r="IV40" s="60"/>
      <c r="IW40" s="60"/>
      <c r="IX40" s="60"/>
      <c r="IY40" s="60"/>
      <c r="IZ40" s="60"/>
      <c r="JA40" s="60"/>
      <c r="JB40" s="60"/>
      <c r="JC40" s="60"/>
      <c r="JD40" s="60"/>
      <c r="JE40" s="60"/>
      <c r="JF40" s="60"/>
      <c r="JG40" s="60"/>
      <c r="JH40" s="60"/>
      <c r="JI40" s="60"/>
      <c r="JJ40" s="60"/>
      <c r="JK40" s="60"/>
      <c r="JL40" s="60"/>
      <c r="JM40" s="60"/>
      <c r="JN40" s="60"/>
      <c r="JO40" s="60"/>
      <c r="JP40" s="60"/>
      <c r="JQ40" s="60"/>
      <c r="JR40" s="60"/>
      <c r="JS40" s="60"/>
      <c r="JT40" s="60"/>
      <c r="JU40" s="60"/>
      <c r="JV40" s="60"/>
      <c r="JW40" s="60"/>
      <c r="JX40" s="60"/>
      <c r="JY40" s="60"/>
      <c r="JZ40" s="60"/>
      <c r="KA40" s="60"/>
      <c r="KB40" s="60"/>
      <c r="KC40" s="60"/>
      <c r="KD40" s="60"/>
      <c r="KE40" s="60"/>
      <c r="KF40" s="60"/>
      <c r="KG40" s="60"/>
      <c r="KH40" s="60"/>
      <c r="KI40" s="60"/>
      <c r="KJ40" s="60"/>
      <c r="KK40" s="60"/>
      <c r="KL40" s="60"/>
      <c r="KM40" s="60"/>
      <c r="KN40" s="60"/>
      <c r="KO40" s="60"/>
      <c r="KP40" s="60"/>
      <c r="KQ40" s="60"/>
      <c r="KR40" s="60"/>
      <c r="KS40" s="60"/>
      <c r="KT40" s="60"/>
      <c r="KU40" s="60"/>
      <c r="KV40" s="60"/>
      <c r="KW40" s="60"/>
      <c r="KX40" s="60"/>
      <c r="KY40" s="60"/>
      <c r="KZ40" s="60"/>
      <c r="LA40" s="60"/>
      <c r="LB40" s="60"/>
      <c r="LC40" s="60"/>
      <c r="LD40" s="60"/>
      <c r="LE40" s="60"/>
      <c r="LF40" s="60"/>
      <c r="LG40" s="60"/>
      <c r="LH40" s="60"/>
    </row>
    <row r="41" spans="1:320" s="17" customFormat="1" x14ac:dyDescent="0.25">
      <c r="A41" s="147"/>
      <c r="B41" s="1"/>
      <c r="C41" s="1"/>
      <c r="D41" s="1"/>
      <c r="E41" s="146"/>
      <c r="F41" s="158"/>
      <c r="G41" s="158"/>
      <c r="H41" s="146"/>
      <c r="I41" s="146"/>
      <c r="J41" s="146"/>
      <c r="K41" s="146"/>
      <c r="L41" s="146"/>
      <c r="M41" s="146"/>
      <c r="N41" s="146"/>
      <c r="O41" s="146"/>
      <c r="P41" s="146"/>
      <c r="Q41" s="146"/>
      <c r="R41" s="146"/>
      <c r="S41" s="146"/>
      <c r="AC41" s="60"/>
      <c r="AD41" s="60"/>
      <c r="AE41" s="60"/>
      <c r="AF41" s="60"/>
      <c r="AG41" s="60"/>
      <c r="AH41" s="60"/>
      <c r="AI41" s="60"/>
      <c r="AJ41" s="60"/>
      <c r="AK41" s="60"/>
      <c r="AL41" s="60"/>
      <c r="AM41" s="60"/>
      <c r="AN41" s="60"/>
      <c r="AO41" s="60"/>
      <c r="AP41" s="60"/>
      <c r="AQ41" s="60"/>
      <c r="AR41" s="60"/>
      <c r="AS41" s="60"/>
      <c r="AT41" s="60"/>
      <c r="AU41" s="60"/>
      <c r="AV41" s="60"/>
      <c r="AW41" s="60"/>
      <c r="AX41" s="60"/>
      <c r="AY41" s="60"/>
      <c r="AZ41" s="60"/>
      <c r="BA41" s="60"/>
      <c r="BB41" s="60"/>
      <c r="BC41" s="60"/>
      <c r="BD41" s="60"/>
      <c r="BE41" s="60"/>
      <c r="BF41" s="60"/>
      <c r="BG41" s="60"/>
      <c r="BH41" s="60"/>
      <c r="BI41" s="60"/>
      <c r="BJ41" s="60"/>
      <c r="BK41" s="60"/>
      <c r="BL41" s="60"/>
      <c r="BM41" s="60"/>
      <c r="BN41" s="60"/>
      <c r="BO41" s="60"/>
      <c r="BP41" s="60"/>
      <c r="BQ41" s="60"/>
      <c r="BR41" s="60"/>
      <c r="BS41" s="60"/>
      <c r="BT41" s="60"/>
      <c r="BU41" s="60"/>
      <c r="BV41" s="60"/>
      <c r="BW41" s="60"/>
      <c r="BX41" s="60"/>
      <c r="BY41" s="60"/>
      <c r="BZ41" s="60"/>
      <c r="CA41" s="60"/>
      <c r="CB41" s="60"/>
      <c r="CC41" s="60"/>
      <c r="CD41" s="60"/>
      <c r="CE41" s="60"/>
      <c r="CF41" s="60"/>
      <c r="CG41" s="60"/>
      <c r="CH41" s="60"/>
      <c r="CI41" s="60"/>
      <c r="CJ41" s="60"/>
      <c r="CK41" s="60"/>
      <c r="CL41" s="60"/>
      <c r="CM41" s="60"/>
      <c r="CN41" s="60"/>
      <c r="CO41" s="60"/>
      <c r="CP41" s="60"/>
      <c r="CQ41" s="60"/>
      <c r="CR41" s="60"/>
      <c r="CS41" s="60"/>
      <c r="CT41" s="60"/>
      <c r="CU41" s="60"/>
      <c r="CV41" s="60"/>
      <c r="CW41" s="60"/>
      <c r="CX41" s="60"/>
      <c r="CY41" s="60"/>
      <c r="CZ41" s="60"/>
      <c r="DA41" s="60"/>
      <c r="DB41" s="60"/>
      <c r="DC41" s="60"/>
      <c r="DD41" s="60"/>
      <c r="DE41" s="60"/>
      <c r="DF41" s="60"/>
      <c r="DG41" s="60"/>
      <c r="DH41" s="60"/>
      <c r="DI41" s="60"/>
      <c r="DJ41" s="60"/>
      <c r="DK41" s="60"/>
      <c r="DL41" s="60"/>
      <c r="DM41" s="60"/>
      <c r="DN41" s="60"/>
      <c r="DO41" s="60"/>
      <c r="DP41" s="60"/>
      <c r="DQ41" s="60"/>
      <c r="DR41" s="60"/>
      <c r="DS41" s="60"/>
      <c r="DT41" s="60"/>
      <c r="DU41" s="60"/>
      <c r="DV41" s="60"/>
      <c r="DW41" s="60"/>
      <c r="DX41" s="60"/>
      <c r="DY41" s="60"/>
      <c r="DZ41" s="60"/>
      <c r="EA41" s="60"/>
      <c r="EB41" s="60"/>
      <c r="EC41" s="60"/>
      <c r="ED41" s="60"/>
      <c r="EE41" s="60"/>
      <c r="EF41" s="60"/>
      <c r="EG41" s="60"/>
      <c r="EH41" s="60"/>
      <c r="EI41" s="60"/>
      <c r="EJ41" s="60"/>
      <c r="EK41" s="60"/>
      <c r="EL41" s="60"/>
      <c r="EM41" s="60"/>
      <c r="EN41" s="60"/>
      <c r="EO41" s="60"/>
      <c r="EP41" s="60"/>
      <c r="EQ41" s="60"/>
      <c r="ER41" s="60"/>
      <c r="ES41" s="60"/>
      <c r="ET41" s="60"/>
      <c r="EU41" s="60"/>
      <c r="EV41" s="60"/>
      <c r="EW41" s="60"/>
      <c r="EX41" s="60"/>
      <c r="EY41" s="60"/>
      <c r="EZ41" s="60"/>
      <c r="FA41" s="60"/>
      <c r="FB41" s="60"/>
      <c r="FC41" s="60"/>
      <c r="FD41" s="60"/>
      <c r="FE41" s="60"/>
      <c r="FF41" s="60"/>
      <c r="FG41" s="60"/>
      <c r="FH41" s="60"/>
      <c r="FI41" s="60"/>
      <c r="FJ41" s="60"/>
      <c r="FK41" s="60"/>
      <c r="FL41" s="60"/>
      <c r="FM41" s="60"/>
      <c r="FN41" s="60"/>
      <c r="FO41" s="60"/>
      <c r="FP41" s="60"/>
      <c r="FQ41" s="60"/>
      <c r="FR41" s="60"/>
      <c r="FS41" s="60"/>
      <c r="FT41" s="60"/>
      <c r="FU41" s="60"/>
      <c r="FV41" s="60"/>
      <c r="FW41" s="60"/>
      <c r="FX41" s="60"/>
      <c r="FY41" s="60"/>
      <c r="FZ41" s="60"/>
      <c r="GA41" s="60"/>
      <c r="GB41" s="60"/>
      <c r="GC41" s="60"/>
      <c r="GD41" s="60"/>
      <c r="GE41" s="60"/>
      <c r="GF41" s="60"/>
      <c r="GG41" s="60"/>
      <c r="GH41" s="60"/>
      <c r="GI41" s="60"/>
      <c r="GJ41" s="60"/>
      <c r="GK41" s="60"/>
      <c r="GL41" s="60"/>
      <c r="GM41" s="60"/>
      <c r="GN41" s="60"/>
      <c r="GO41" s="60"/>
      <c r="GP41" s="60"/>
      <c r="GQ41" s="60"/>
      <c r="GR41" s="60"/>
      <c r="GS41" s="60"/>
      <c r="GT41" s="60"/>
      <c r="GU41" s="60"/>
      <c r="GV41" s="60"/>
      <c r="GW41" s="60"/>
      <c r="GX41" s="60"/>
      <c r="GY41" s="60"/>
      <c r="GZ41" s="60"/>
      <c r="HA41" s="60"/>
      <c r="HB41" s="60"/>
      <c r="HC41" s="60"/>
      <c r="HD41" s="60"/>
      <c r="HE41" s="60"/>
      <c r="HF41" s="60"/>
      <c r="HG41" s="60"/>
      <c r="HH41" s="60"/>
      <c r="HI41" s="60"/>
      <c r="HJ41" s="60"/>
      <c r="HK41" s="60"/>
      <c r="HL41" s="60"/>
      <c r="HM41" s="60"/>
      <c r="HN41" s="60"/>
      <c r="HO41" s="60"/>
      <c r="HP41" s="60"/>
      <c r="HQ41" s="60"/>
      <c r="HR41" s="60"/>
      <c r="HS41" s="60"/>
      <c r="HT41" s="60"/>
      <c r="HU41" s="60"/>
      <c r="HV41" s="60"/>
      <c r="HW41" s="60"/>
      <c r="HX41" s="60"/>
      <c r="HY41" s="60"/>
      <c r="HZ41" s="60"/>
      <c r="IA41" s="60"/>
      <c r="IB41" s="60"/>
      <c r="IC41" s="60"/>
      <c r="ID41" s="60"/>
      <c r="IE41" s="60"/>
      <c r="IF41" s="60"/>
      <c r="IG41" s="60"/>
      <c r="IH41" s="60"/>
      <c r="II41" s="60"/>
      <c r="IJ41" s="60"/>
      <c r="IK41" s="60"/>
      <c r="IL41" s="60"/>
      <c r="IM41" s="60"/>
      <c r="IN41" s="60"/>
      <c r="IO41" s="60"/>
      <c r="IP41" s="60"/>
      <c r="IQ41" s="60"/>
      <c r="IR41" s="60"/>
      <c r="IS41" s="60"/>
      <c r="IT41" s="60"/>
      <c r="IU41" s="60"/>
      <c r="IV41" s="60"/>
      <c r="IW41" s="60"/>
      <c r="IX41" s="60"/>
      <c r="IY41" s="60"/>
      <c r="IZ41" s="60"/>
      <c r="JA41" s="60"/>
      <c r="JB41" s="60"/>
      <c r="JC41" s="60"/>
      <c r="JD41" s="60"/>
      <c r="JE41" s="60"/>
      <c r="JF41" s="60"/>
      <c r="JG41" s="60"/>
      <c r="JH41" s="60"/>
      <c r="JI41" s="60"/>
      <c r="JJ41" s="60"/>
      <c r="JK41" s="60"/>
      <c r="JL41" s="60"/>
      <c r="JM41" s="60"/>
      <c r="JN41" s="60"/>
      <c r="JO41" s="60"/>
      <c r="JP41" s="60"/>
      <c r="JQ41" s="60"/>
      <c r="JR41" s="60"/>
      <c r="JS41" s="60"/>
      <c r="JT41" s="60"/>
      <c r="JU41" s="60"/>
      <c r="JV41" s="60"/>
      <c r="JW41" s="60"/>
      <c r="JX41" s="60"/>
      <c r="JY41" s="60"/>
      <c r="JZ41" s="60"/>
      <c r="KA41" s="60"/>
      <c r="KB41" s="60"/>
      <c r="KC41" s="60"/>
      <c r="KD41" s="60"/>
      <c r="KE41" s="60"/>
      <c r="KF41" s="60"/>
      <c r="KG41" s="60"/>
      <c r="KH41" s="60"/>
      <c r="KI41" s="60"/>
      <c r="KJ41" s="60"/>
      <c r="KK41" s="60"/>
      <c r="KL41" s="60"/>
      <c r="KM41" s="60"/>
      <c r="KN41" s="60"/>
      <c r="KO41" s="60"/>
      <c r="KP41" s="60"/>
      <c r="KQ41" s="60"/>
      <c r="KR41" s="60"/>
      <c r="KS41" s="60"/>
      <c r="KT41" s="60"/>
      <c r="KU41" s="60"/>
      <c r="KV41" s="60"/>
      <c r="KW41" s="60"/>
      <c r="KX41" s="60"/>
      <c r="KY41" s="60"/>
      <c r="KZ41" s="60"/>
      <c r="LA41" s="60"/>
      <c r="LB41" s="60"/>
      <c r="LC41" s="60"/>
      <c r="LD41" s="60"/>
      <c r="LE41" s="60"/>
      <c r="LF41" s="60"/>
      <c r="LG41" s="60"/>
      <c r="LH41" s="60"/>
    </row>
    <row r="42" spans="1:320" s="17" customFormat="1" x14ac:dyDescent="0.25">
      <c r="A42" s="147"/>
      <c r="E42" s="156"/>
      <c r="F42" s="157"/>
      <c r="G42" s="157"/>
      <c r="H42" s="156"/>
      <c r="I42" s="156"/>
      <c r="J42" s="156"/>
      <c r="K42" s="156"/>
      <c r="L42" s="156"/>
      <c r="M42" s="156"/>
      <c r="N42" s="156"/>
      <c r="O42" s="156"/>
      <c r="P42" s="156"/>
      <c r="Q42" s="156"/>
      <c r="R42" s="156"/>
      <c r="S42" s="156"/>
      <c r="AC42" s="60"/>
      <c r="AD42" s="60"/>
      <c r="AE42" s="60"/>
      <c r="AF42" s="60"/>
      <c r="AG42" s="60"/>
      <c r="AH42" s="60"/>
      <c r="AI42" s="60"/>
      <c r="AJ42" s="60"/>
      <c r="AK42" s="60"/>
      <c r="AL42" s="60"/>
      <c r="AM42" s="60"/>
      <c r="AN42" s="60"/>
      <c r="AO42" s="60"/>
      <c r="AP42" s="60"/>
      <c r="AQ42" s="60"/>
      <c r="AR42" s="60"/>
      <c r="AS42" s="60"/>
      <c r="AT42" s="60"/>
      <c r="AU42" s="60"/>
      <c r="AV42" s="60"/>
      <c r="AW42" s="60"/>
      <c r="AX42" s="60"/>
      <c r="AY42" s="60"/>
      <c r="AZ42" s="60"/>
      <c r="BA42" s="60"/>
      <c r="BB42" s="60"/>
      <c r="BC42" s="60"/>
      <c r="BD42" s="60"/>
      <c r="BE42" s="60"/>
      <c r="BF42" s="60"/>
      <c r="BG42" s="60"/>
      <c r="BH42" s="60"/>
      <c r="BI42" s="60"/>
      <c r="BJ42" s="60"/>
      <c r="BK42" s="60"/>
      <c r="BL42" s="60"/>
      <c r="BM42" s="60"/>
      <c r="BN42" s="60"/>
      <c r="BO42" s="60"/>
      <c r="BP42" s="60"/>
      <c r="BQ42" s="60"/>
      <c r="BR42" s="60"/>
      <c r="BS42" s="60"/>
      <c r="BT42" s="60"/>
      <c r="BU42" s="60"/>
      <c r="BV42" s="60"/>
      <c r="BW42" s="60"/>
      <c r="BX42" s="60"/>
      <c r="BY42" s="60"/>
      <c r="BZ42" s="60"/>
      <c r="CA42" s="60"/>
      <c r="CB42" s="60"/>
      <c r="CC42" s="60"/>
      <c r="CD42" s="60"/>
      <c r="CE42" s="60"/>
      <c r="CF42" s="60"/>
      <c r="CG42" s="60"/>
      <c r="CH42" s="60"/>
      <c r="CI42" s="60"/>
      <c r="CJ42" s="60"/>
      <c r="CK42" s="60"/>
      <c r="CL42" s="60"/>
      <c r="CM42" s="60"/>
      <c r="CN42" s="60"/>
      <c r="CO42" s="60"/>
      <c r="CP42" s="60"/>
      <c r="CQ42" s="60"/>
      <c r="CR42" s="60"/>
      <c r="CS42" s="60"/>
      <c r="CT42" s="60"/>
      <c r="CU42" s="60"/>
      <c r="CV42" s="60"/>
      <c r="CW42" s="60"/>
      <c r="CX42" s="60"/>
      <c r="CY42" s="60"/>
      <c r="CZ42" s="60"/>
      <c r="DA42" s="60"/>
      <c r="DB42" s="60"/>
      <c r="DC42" s="60"/>
      <c r="DD42" s="60"/>
      <c r="DE42" s="60"/>
      <c r="DF42" s="60"/>
      <c r="DG42" s="60"/>
      <c r="DH42" s="60"/>
      <c r="DI42" s="60"/>
      <c r="DJ42" s="60"/>
      <c r="DK42" s="60"/>
      <c r="DL42" s="60"/>
      <c r="DM42" s="60"/>
      <c r="DN42" s="60"/>
      <c r="DO42" s="60"/>
      <c r="DP42" s="60"/>
      <c r="DQ42" s="60"/>
      <c r="DR42" s="60"/>
      <c r="DS42" s="60"/>
      <c r="DT42" s="60"/>
      <c r="DU42" s="60"/>
      <c r="DV42" s="60"/>
      <c r="DW42" s="60"/>
      <c r="DX42" s="60"/>
      <c r="DY42" s="60"/>
      <c r="DZ42" s="60"/>
      <c r="EA42" s="60"/>
      <c r="EB42" s="60"/>
      <c r="EC42" s="60"/>
      <c r="ED42" s="60"/>
      <c r="EE42" s="60"/>
      <c r="EF42" s="60"/>
      <c r="EG42" s="60"/>
      <c r="EH42" s="60"/>
      <c r="EI42" s="60"/>
      <c r="EJ42" s="60"/>
      <c r="EK42" s="60"/>
      <c r="EL42" s="60"/>
      <c r="EM42" s="60"/>
      <c r="EN42" s="60"/>
      <c r="EO42" s="60"/>
      <c r="EP42" s="60"/>
      <c r="EQ42" s="60"/>
      <c r="ER42" s="60"/>
      <c r="ES42" s="60"/>
      <c r="ET42" s="60"/>
      <c r="EU42" s="60"/>
      <c r="EV42" s="60"/>
      <c r="EW42" s="60"/>
      <c r="EX42" s="60"/>
      <c r="EY42" s="60"/>
      <c r="EZ42" s="60"/>
      <c r="FA42" s="60"/>
      <c r="FB42" s="60"/>
      <c r="FC42" s="60"/>
      <c r="FD42" s="60"/>
      <c r="FE42" s="60"/>
      <c r="FF42" s="60"/>
      <c r="FG42" s="60"/>
      <c r="FH42" s="60"/>
      <c r="FI42" s="60"/>
      <c r="FJ42" s="60"/>
      <c r="FK42" s="60"/>
      <c r="FL42" s="60"/>
      <c r="FM42" s="60"/>
      <c r="FN42" s="60"/>
      <c r="FO42" s="60"/>
      <c r="FP42" s="60"/>
      <c r="FQ42" s="60"/>
      <c r="FR42" s="60"/>
      <c r="FS42" s="60"/>
      <c r="FT42" s="60"/>
      <c r="FU42" s="60"/>
      <c r="FV42" s="60"/>
      <c r="FW42" s="60"/>
      <c r="FX42" s="60"/>
      <c r="FY42" s="60"/>
      <c r="FZ42" s="60"/>
      <c r="GA42" s="60"/>
      <c r="GB42" s="60"/>
      <c r="GC42" s="60"/>
      <c r="GD42" s="60"/>
      <c r="GE42" s="60"/>
      <c r="GF42" s="60"/>
      <c r="GG42" s="60"/>
      <c r="GH42" s="60"/>
      <c r="GI42" s="60"/>
      <c r="GJ42" s="60"/>
      <c r="GK42" s="60"/>
      <c r="GL42" s="60"/>
      <c r="GM42" s="60"/>
      <c r="GN42" s="60"/>
      <c r="GO42" s="60"/>
      <c r="GP42" s="60"/>
      <c r="GQ42" s="60"/>
      <c r="GR42" s="60"/>
      <c r="GS42" s="60"/>
      <c r="GT42" s="60"/>
      <c r="GU42" s="60"/>
      <c r="GV42" s="60"/>
      <c r="GW42" s="60"/>
      <c r="GX42" s="60"/>
      <c r="GY42" s="60"/>
      <c r="GZ42" s="60"/>
      <c r="HA42" s="60"/>
      <c r="HB42" s="60"/>
      <c r="HC42" s="60"/>
      <c r="HD42" s="60"/>
      <c r="HE42" s="60"/>
      <c r="HF42" s="60"/>
      <c r="HG42" s="60"/>
      <c r="HH42" s="60"/>
      <c r="HI42" s="60"/>
      <c r="HJ42" s="60"/>
      <c r="HK42" s="60"/>
      <c r="HL42" s="60"/>
      <c r="HM42" s="60"/>
      <c r="HN42" s="60"/>
      <c r="HO42" s="60"/>
      <c r="HP42" s="60"/>
      <c r="HQ42" s="60"/>
      <c r="HR42" s="60"/>
      <c r="HS42" s="60"/>
      <c r="HT42" s="60"/>
      <c r="HU42" s="60"/>
      <c r="HV42" s="60"/>
      <c r="HW42" s="60"/>
      <c r="HX42" s="60"/>
      <c r="HY42" s="60"/>
      <c r="HZ42" s="60"/>
      <c r="IA42" s="60"/>
      <c r="IB42" s="60"/>
      <c r="IC42" s="60"/>
      <c r="ID42" s="60"/>
      <c r="IE42" s="60"/>
      <c r="IF42" s="60"/>
      <c r="IG42" s="60"/>
      <c r="IH42" s="60"/>
      <c r="II42" s="60"/>
      <c r="IJ42" s="60"/>
      <c r="IK42" s="60"/>
      <c r="IL42" s="60"/>
      <c r="IM42" s="60"/>
      <c r="IN42" s="60"/>
      <c r="IO42" s="60"/>
      <c r="IP42" s="60"/>
      <c r="IQ42" s="60"/>
      <c r="IR42" s="60"/>
      <c r="IS42" s="60"/>
      <c r="IT42" s="60"/>
      <c r="IU42" s="60"/>
      <c r="IV42" s="60"/>
      <c r="IW42" s="60"/>
      <c r="IX42" s="60"/>
      <c r="IY42" s="60"/>
      <c r="IZ42" s="60"/>
      <c r="JA42" s="60"/>
      <c r="JB42" s="60"/>
      <c r="JC42" s="60"/>
      <c r="JD42" s="60"/>
      <c r="JE42" s="60"/>
      <c r="JF42" s="60"/>
      <c r="JG42" s="60"/>
      <c r="JH42" s="60"/>
      <c r="JI42" s="60"/>
      <c r="JJ42" s="60"/>
      <c r="JK42" s="60"/>
      <c r="JL42" s="60"/>
      <c r="JM42" s="60"/>
      <c r="JN42" s="60"/>
      <c r="JO42" s="60"/>
      <c r="JP42" s="60"/>
      <c r="JQ42" s="60"/>
      <c r="JR42" s="60"/>
      <c r="JS42" s="60"/>
      <c r="JT42" s="60"/>
      <c r="JU42" s="60"/>
      <c r="JV42" s="60"/>
      <c r="JW42" s="60"/>
      <c r="JX42" s="60"/>
      <c r="JY42" s="60"/>
      <c r="JZ42" s="60"/>
      <c r="KA42" s="60"/>
      <c r="KB42" s="60"/>
      <c r="KC42" s="60"/>
      <c r="KD42" s="60"/>
      <c r="KE42" s="60"/>
      <c r="KF42" s="60"/>
      <c r="KG42" s="60"/>
      <c r="KH42" s="60"/>
      <c r="KI42" s="60"/>
      <c r="KJ42" s="60"/>
      <c r="KK42" s="60"/>
      <c r="KL42" s="60"/>
      <c r="KM42" s="60"/>
      <c r="KN42" s="60"/>
      <c r="KO42" s="60"/>
      <c r="KP42" s="60"/>
      <c r="KQ42" s="60"/>
      <c r="KR42" s="60"/>
      <c r="KS42" s="60"/>
      <c r="KT42" s="60"/>
      <c r="KU42" s="60"/>
      <c r="KV42" s="60"/>
      <c r="KW42" s="60"/>
      <c r="KX42" s="60"/>
      <c r="KY42" s="60"/>
      <c r="KZ42" s="60"/>
      <c r="LA42" s="60"/>
      <c r="LB42" s="60"/>
      <c r="LC42" s="60"/>
      <c r="LD42" s="60"/>
      <c r="LE42" s="60"/>
      <c r="LF42" s="60"/>
      <c r="LG42" s="60"/>
      <c r="LH42" s="60"/>
    </row>
    <row r="43" spans="1:320" s="17" customFormat="1" x14ac:dyDescent="0.25">
      <c r="A43" s="147"/>
      <c r="E43" s="156"/>
      <c r="F43" s="157"/>
      <c r="G43" s="157"/>
      <c r="H43" s="156"/>
      <c r="I43" s="156"/>
      <c r="J43" s="156"/>
      <c r="K43" s="156"/>
      <c r="L43" s="156"/>
      <c r="M43" s="156"/>
      <c r="N43" s="156"/>
      <c r="O43" s="156"/>
      <c r="P43" s="156"/>
      <c r="Q43" s="156"/>
      <c r="R43" s="156"/>
      <c r="S43" s="156"/>
      <c r="AC43" s="60"/>
      <c r="AD43" s="60"/>
      <c r="AE43" s="60"/>
      <c r="AF43" s="60"/>
      <c r="AG43" s="60"/>
      <c r="AH43" s="60"/>
      <c r="AI43" s="60"/>
      <c r="AJ43" s="60"/>
      <c r="AK43" s="60"/>
      <c r="AL43" s="60"/>
      <c r="AM43" s="60"/>
      <c r="AN43" s="60"/>
      <c r="AO43" s="60"/>
      <c r="AP43" s="60"/>
      <c r="AQ43" s="60"/>
      <c r="AR43" s="60"/>
      <c r="AS43" s="60"/>
      <c r="AT43" s="60"/>
      <c r="AU43" s="60"/>
      <c r="AV43" s="60"/>
      <c r="AW43" s="60"/>
      <c r="AX43" s="60"/>
      <c r="AY43" s="60"/>
      <c r="AZ43" s="60"/>
      <c r="BA43" s="60"/>
      <c r="BB43" s="60"/>
      <c r="BC43" s="60"/>
      <c r="BD43" s="60"/>
      <c r="BE43" s="60"/>
      <c r="BF43" s="60"/>
      <c r="BG43" s="60"/>
      <c r="BH43" s="60"/>
      <c r="BI43" s="60"/>
      <c r="BJ43" s="60"/>
      <c r="BK43" s="60"/>
      <c r="BL43" s="60"/>
      <c r="BM43" s="60"/>
      <c r="BN43" s="60"/>
      <c r="BO43" s="60"/>
      <c r="BP43" s="60"/>
      <c r="BQ43" s="60"/>
      <c r="BR43" s="60"/>
      <c r="BS43" s="60"/>
      <c r="BT43" s="60"/>
      <c r="BU43" s="60"/>
      <c r="BV43" s="60"/>
      <c r="BW43" s="60"/>
      <c r="BX43" s="60"/>
      <c r="BY43" s="60"/>
      <c r="BZ43" s="60"/>
      <c r="CA43" s="60"/>
      <c r="CB43" s="60"/>
      <c r="CC43" s="60"/>
      <c r="CD43" s="60"/>
      <c r="CE43" s="60"/>
      <c r="CF43" s="60"/>
      <c r="CG43" s="60"/>
      <c r="CH43" s="60"/>
      <c r="CI43" s="60"/>
      <c r="CJ43" s="60"/>
      <c r="CK43" s="60"/>
      <c r="CL43" s="60"/>
      <c r="CM43" s="60"/>
      <c r="CN43" s="60"/>
      <c r="CO43" s="60"/>
      <c r="CP43" s="60"/>
      <c r="CQ43" s="60"/>
      <c r="CR43" s="60"/>
      <c r="CS43" s="60"/>
      <c r="CT43" s="60"/>
      <c r="CU43" s="60"/>
      <c r="CV43" s="60"/>
      <c r="CW43" s="60"/>
      <c r="CX43" s="60"/>
      <c r="CY43" s="60"/>
      <c r="CZ43" s="60"/>
      <c r="DA43" s="60"/>
      <c r="DB43" s="60"/>
      <c r="DC43" s="60"/>
      <c r="DD43" s="60"/>
      <c r="DE43" s="60"/>
      <c r="DF43" s="60"/>
      <c r="DG43" s="60"/>
      <c r="DH43" s="60"/>
      <c r="DI43" s="60"/>
      <c r="DJ43" s="60"/>
      <c r="DK43" s="60"/>
      <c r="DL43" s="60"/>
      <c r="DM43" s="60"/>
      <c r="DN43" s="60"/>
      <c r="DO43" s="60"/>
      <c r="DP43" s="60"/>
      <c r="DQ43" s="60"/>
      <c r="DR43" s="60"/>
      <c r="DS43" s="60"/>
      <c r="DT43" s="60"/>
      <c r="DU43" s="60"/>
      <c r="DV43" s="60"/>
      <c r="DW43" s="60"/>
      <c r="DX43" s="60"/>
      <c r="DY43" s="60"/>
      <c r="DZ43" s="60"/>
      <c r="EA43" s="60"/>
      <c r="EB43" s="60"/>
      <c r="EC43" s="60"/>
      <c r="ED43" s="60"/>
      <c r="EE43" s="60"/>
      <c r="EF43" s="60"/>
      <c r="EG43" s="60"/>
      <c r="EH43" s="60"/>
      <c r="EI43" s="60"/>
      <c r="EJ43" s="60"/>
      <c r="EK43" s="60"/>
      <c r="EL43" s="60"/>
      <c r="EM43" s="60"/>
      <c r="EN43" s="60"/>
      <c r="EO43" s="60"/>
      <c r="EP43" s="60"/>
      <c r="EQ43" s="60"/>
      <c r="ER43" s="60"/>
      <c r="ES43" s="60"/>
      <c r="ET43" s="60"/>
      <c r="EU43" s="60"/>
      <c r="EV43" s="60"/>
      <c r="EW43" s="60"/>
      <c r="EX43" s="60"/>
      <c r="EY43" s="60"/>
      <c r="EZ43" s="60"/>
      <c r="FA43" s="60"/>
      <c r="FB43" s="60"/>
      <c r="FC43" s="60"/>
      <c r="FD43" s="60"/>
      <c r="FE43" s="60"/>
      <c r="FF43" s="60"/>
      <c r="FG43" s="60"/>
      <c r="FH43" s="60"/>
      <c r="FI43" s="60"/>
      <c r="FJ43" s="60"/>
      <c r="FK43" s="60"/>
      <c r="FL43" s="60"/>
      <c r="FM43" s="60"/>
      <c r="FN43" s="60"/>
      <c r="FO43" s="60"/>
      <c r="FP43" s="60"/>
      <c r="FQ43" s="60"/>
      <c r="FR43" s="60"/>
      <c r="FS43" s="60"/>
      <c r="FT43" s="60"/>
      <c r="FU43" s="60"/>
      <c r="FV43" s="60"/>
      <c r="FW43" s="60"/>
      <c r="FX43" s="60"/>
      <c r="FY43" s="60"/>
      <c r="FZ43" s="60"/>
      <c r="GA43" s="60"/>
      <c r="GB43" s="60"/>
      <c r="GC43" s="60"/>
      <c r="GD43" s="60"/>
      <c r="GE43" s="60"/>
      <c r="GF43" s="60"/>
      <c r="GG43" s="60"/>
      <c r="GH43" s="60"/>
      <c r="GI43" s="60"/>
      <c r="GJ43" s="60"/>
      <c r="GK43" s="60"/>
      <c r="GL43" s="60"/>
      <c r="GM43" s="60"/>
      <c r="GN43" s="60"/>
      <c r="GO43" s="60"/>
      <c r="GP43" s="60"/>
      <c r="GQ43" s="60"/>
      <c r="GR43" s="60"/>
      <c r="GS43" s="60"/>
      <c r="GT43" s="60"/>
      <c r="GU43" s="60"/>
      <c r="GV43" s="60"/>
      <c r="GW43" s="60"/>
      <c r="GX43" s="60"/>
      <c r="GY43" s="60"/>
      <c r="GZ43" s="60"/>
      <c r="HA43" s="60"/>
      <c r="HB43" s="60"/>
      <c r="HC43" s="60"/>
      <c r="HD43" s="60"/>
      <c r="HE43" s="60"/>
      <c r="HF43" s="60"/>
      <c r="HG43" s="60"/>
      <c r="HH43" s="60"/>
      <c r="HI43" s="60"/>
      <c r="HJ43" s="60"/>
      <c r="HK43" s="60"/>
      <c r="HL43" s="60"/>
      <c r="HM43" s="60"/>
      <c r="HN43" s="60"/>
      <c r="HO43" s="60"/>
      <c r="HP43" s="60"/>
      <c r="HQ43" s="60"/>
      <c r="HR43" s="60"/>
      <c r="HS43" s="60"/>
      <c r="HT43" s="60"/>
      <c r="HU43" s="60"/>
      <c r="HV43" s="60"/>
      <c r="HW43" s="60"/>
      <c r="HX43" s="60"/>
      <c r="HY43" s="60"/>
      <c r="HZ43" s="60"/>
      <c r="IA43" s="60"/>
      <c r="IB43" s="60"/>
      <c r="IC43" s="60"/>
      <c r="ID43" s="60"/>
      <c r="IE43" s="60"/>
      <c r="IF43" s="60"/>
      <c r="IG43" s="60"/>
      <c r="IH43" s="60"/>
      <c r="II43" s="60"/>
      <c r="IJ43" s="60"/>
      <c r="IK43" s="60"/>
      <c r="IL43" s="60"/>
      <c r="IM43" s="60"/>
      <c r="IN43" s="60"/>
      <c r="IO43" s="60"/>
      <c r="IP43" s="60"/>
      <c r="IQ43" s="60"/>
      <c r="IR43" s="60"/>
      <c r="IS43" s="60"/>
      <c r="IT43" s="60"/>
      <c r="IU43" s="60"/>
      <c r="IV43" s="60"/>
      <c r="IW43" s="60"/>
      <c r="IX43" s="60"/>
      <c r="IY43" s="60"/>
      <c r="IZ43" s="60"/>
      <c r="JA43" s="60"/>
      <c r="JB43" s="60"/>
      <c r="JC43" s="60"/>
      <c r="JD43" s="60"/>
      <c r="JE43" s="60"/>
      <c r="JF43" s="60"/>
      <c r="JG43" s="60"/>
      <c r="JH43" s="60"/>
      <c r="JI43" s="60"/>
      <c r="JJ43" s="60"/>
      <c r="JK43" s="60"/>
      <c r="JL43" s="60"/>
      <c r="JM43" s="60"/>
      <c r="JN43" s="60"/>
      <c r="JO43" s="60"/>
      <c r="JP43" s="60"/>
      <c r="JQ43" s="60"/>
      <c r="JR43" s="60"/>
      <c r="JS43" s="60"/>
      <c r="JT43" s="60"/>
      <c r="JU43" s="60"/>
      <c r="JV43" s="60"/>
      <c r="JW43" s="60"/>
      <c r="JX43" s="60"/>
      <c r="JY43" s="60"/>
      <c r="JZ43" s="60"/>
      <c r="KA43" s="60"/>
      <c r="KB43" s="60"/>
      <c r="KC43" s="60"/>
      <c r="KD43" s="60"/>
      <c r="KE43" s="60"/>
      <c r="KF43" s="60"/>
      <c r="KG43" s="60"/>
      <c r="KH43" s="60"/>
      <c r="KI43" s="60"/>
      <c r="KJ43" s="60"/>
      <c r="KK43" s="60"/>
      <c r="KL43" s="60"/>
      <c r="KM43" s="60"/>
      <c r="KN43" s="60"/>
      <c r="KO43" s="60"/>
      <c r="KP43" s="60"/>
      <c r="KQ43" s="60"/>
      <c r="KR43" s="60"/>
      <c r="KS43" s="60"/>
      <c r="KT43" s="60"/>
      <c r="KU43" s="60"/>
      <c r="KV43" s="60"/>
      <c r="KW43" s="60"/>
      <c r="KX43" s="60"/>
      <c r="KY43" s="60"/>
      <c r="KZ43" s="60"/>
      <c r="LA43" s="60"/>
      <c r="LB43" s="60"/>
      <c r="LC43" s="60"/>
      <c r="LD43" s="60"/>
      <c r="LE43" s="60"/>
      <c r="LF43" s="60"/>
      <c r="LG43" s="60"/>
      <c r="LH43" s="60"/>
    </row>
    <row r="44" spans="1:320" s="17" customFormat="1" x14ac:dyDescent="0.25">
      <c r="A44" s="147"/>
      <c r="E44" s="156"/>
      <c r="F44" s="157"/>
      <c r="G44" s="157"/>
      <c r="H44" s="156"/>
      <c r="I44" s="156"/>
      <c r="J44" s="156"/>
      <c r="K44" s="156"/>
      <c r="L44" s="156"/>
      <c r="M44" s="156"/>
      <c r="N44" s="156"/>
      <c r="O44" s="156"/>
      <c r="P44" s="156"/>
      <c r="Q44" s="156"/>
      <c r="R44" s="156"/>
      <c r="S44" s="156"/>
      <c r="AC44" s="60"/>
      <c r="AD44" s="60"/>
      <c r="AE44" s="60"/>
      <c r="AF44" s="60"/>
      <c r="AG44" s="60"/>
      <c r="AH44" s="60"/>
      <c r="AI44" s="60"/>
      <c r="AJ44" s="60"/>
      <c r="AK44" s="60"/>
      <c r="AL44" s="60"/>
      <c r="AM44" s="60"/>
      <c r="AN44" s="60"/>
      <c r="AO44" s="60"/>
      <c r="AP44" s="60"/>
      <c r="AQ44" s="60"/>
      <c r="AR44" s="60"/>
      <c r="AS44" s="60"/>
      <c r="AT44" s="60"/>
      <c r="AU44" s="60"/>
      <c r="AV44" s="60"/>
      <c r="AW44" s="60"/>
      <c r="AX44" s="60"/>
      <c r="AY44" s="60"/>
      <c r="AZ44" s="60"/>
      <c r="BA44" s="60"/>
      <c r="BB44" s="60"/>
      <c r="BC44" s="60"/>
      <c r="BD44" s="60"/>
      <c r="BE44" s="60"/>
      <c r="BF44" s="60"/>
      <c r="BG44" s="60"/>
      <c r="BH44" s="60"/>
      <c r="BI44" s="60"/>
      <c r="BJ44" s="60"/>
      <c r="BK44" s="60"/>
      <c r="BL44" s="60"/>
      <c r="BM44" s="60"/>
      <c r="BN44" s="60"/>
      <c r="BO44" s="60"/>
      <c r="BP44" s="60"/>
      <c r="BQ44" s="60"/>
      <c r="BR44" s="60"/>
      <c r="BS44" s="60"/>
      <c r="BT44" s="60"/>
      <c r="BU44" s="60"/>
      <c r="BV44" s="60"/>
      <c r="BW44" s="60"/>
      <c r="BX44" s="60"/>
      <c r="BY44" s="60"/>
      <c r="BZ44" s="60"/>
      <c r="CA44" s="60"/>
      <c r="CB44" s="60"/>
      <c r="CC44" s="60"/>
      <c r="CD44" s="60"/>
      <c r="CE44" s="60"/>
      <c r="CF44" s="60"/>
      <c r="CG44" s="60"/>
      <c r="CH44" s="60"/>
      <c r="CI44" s="60"/>
      <c r="CJ44" s="60"/>
      <c r="CK44" s="60"/>
      <c r="CL44" s="60"/>
      <c r="CM44" s="60"/>
      <c r="CN44" s="60"/>
      <c r="CO44" s="60"/>
      <c r="CP44" s="60"/>
      <c r="CQ44" s="60"/>
      <c r="CR44" s="60"/>
      <c r="CS44" s="60"/>
      <c r="CT44" s="60"/>
      <c r="CU44" s="60"/>
      <c r="CV44" s="60"/>
      <c r="CW44" s="60"/>
      <c r="CX44" s="60"/>
      <c r="CY44" s="60"/>
      <c r="CZ44" s="60"/>
      <c r="DA44" s="60"/>
      <c r="DB44" s="60"/>
      <c r="DC44" s="60"/>
      <c r="DD44" s="60"/>
      <c r="DE44" s="60"/>
      <c r="DF44" s="60"/>
      <c r="DG44" s="60"/>
      <c r="DH44" s="60"/>
      <c r="DI44" s="60"/>
      <c r="DJ44" s="60"/>
      <c r="DK44" s="60"/>
      <c r="DL44" s="60"/>
      <c r="DM44" s="60"/>
      <c r="DN44" s="60"/>
      <c r="DO44" s="60"/>
      <c r="DP44" s="60"/>
      <c r="DQ44" s="60"/>
      <c r="DR44" s="60"/>
      <c r="DS44" s="60"/>
      <c r="DT44" s="60"/>
      <c r="DU44" s="60"/>
      <c r="DV44" s="60"/>
      <c r="DW44" s="60"/>
      <c r="DX44" s="60"/>
      <c r="DY44" s="60"/>
      <c r="DZ44" s="60"/>
      <c r="EA44" s="60"/>
      <c r="EB44" s="60"/>
      <c r="EC44" s="60"/>
      <c r="ED44" s="60"/>
      <c r="EE44" s="60"/>
      <c r="EF44" s="60"/>
      <c r="EG44" s="60"/>
      <c r="EH44" s="60"/>
      <c r="EI44" s="60"/>
      <c r="EJ44" s="60"/>
      <c r="EK44" s="60"/>
      <c r="EL44" s="60"/>
      <c r="EM44" s="60"/>
      <c r="EN44" s="60"/>
      <c r="EO44" s="60"/>
      <c r="EP44" s="60"/>
      <c r="EQ44" s="60"/>
      <c r="ER44" s="60"/>
      <c r="ES44" s="60"/>
      <c r="ET44" s="60"/>
      <c r="EU44" s="60"/>
      <c r="EV44" s="60"/>
      <c r="EW44" s="60"/>
      <c r="EX44" s="60"/>
      <c r="EY44" s="60"/>
      <c r="EZ44" s="60"/>
      <c r="FA44" s="60"/>
      <c r="FB44" s="60"/>
      <c r="FC44" s="60"/>
      <c r="FD44" s="60"/>
      <c r="FE44" s="60"/>
      <c r="FF44" s="60"/>
      <c r="FG44" s="60"/>
      <c r="FH44" s="60"/>
      <c r="FI44" s="60"/>
      <c r="FJ44" s="60"/>
      <c r="FK44" s="60"/>
      <c r="FL44" s="60"/>
      <c r="FM44" s="60"/>
      <c r="FN44" s="60"/>
      <c r="FO44" s="60"/>
      <c r="FP44" s="60"/>
      <c r="FQ44" s="60"/>
      <c r="FR44" s="60"/>
      <c r="FS44" s="60"/>
      <c r="FT44" s="60"/>
      <c r="FU44" s="60"/>
      <c r="FV44" s="60"/>
      <c r="FW44" s="60"/>
      <c r="FX44" s="60"/>
      <c r="FY44" s="60"/>
      <c r="FZ44" s="60"/>
      <c r="GA44" s="60"/>
      <c r="GB44" s="60"/>
      <c r="GC44" s="60"/>
      <c r="GD44" s="60"/>
      <c r="GE44" s="60"/>
      <c r="GF44" s="60"/>
      <c r="GG44" s="60"/>
      <c r="GH44" s="60"/>
      <c r="GI44" s="60"/>
      <c r="GJ44" s="60"/>
      <c r="GK44" s="60"/>
      <c r="GL44" s="60"/>
      <c r="GM44" s="60"/>
      <c r="GN44" s="60"/>
      <c r="GO44" s="60"/>
      <c r="GP44" s="60"/>
      <c r="GQ44" s="60"/>
      <c r="GR44" s="60"/>
      <c r="GS44" s="60"/>
      <c r="GT44" s="60"/>
      <c r="GU44" s="60"/>
      <c r="GV44" s="60"/>
      <c r="GW44" s="60"/>
      <c r="GX44" s="60"/>
      <c r="GY44" s="60"/>
      <c r="GZ44" s="60"/>
      <c r="HA44" s="60"/>
      <c r="HB44" s="60"/>
      <c r="HC44" s="60"/>
      <c r="HD44" s="60"/>
      <c r="HE44" s="60"/>
      <c r="HF44" s="60"/>
      <c r="HG44" s="60"/>
      <c r="HH44" s="60"/>
      <c r="HI44" s="60"/>
      <c r="HJ44" s="60"/>
      <c r="HK44" s="60"/>
      <c r="HL44" s="60"/>
      <c r="HM44" s="60"/>
      <c r="HN44" s="60"/>
      <c r="HO44" s="60"/>
      <c r="HP44" s="60"/>
      <c r="HQ44" s="60"/>
      <c r="HR44" s="60"/>
      <c r="HS44" s="60"/>
      <c r="HT44" s="60"/>
      <c r="HU44" s="60"/>
      <c r="HV44" s="60"/>
      <c r="HW44" s="60"/>
      <c r="HX44" s="60"/>
      <c r="HY44" s="60"/>
      <c r="HZ44" s="60"/>
      <c r="IA44" s="60"/>
      <c r="IB44" s="60"/>
      <c r="IC44" s="60"/>
      <c r="ID44" s="60"/>
      <c r="IE44" s="60"/>
      <c r="IF44" s="60"/>
      <c r="IG44" s="60"/>
      <c r="IH44" s="60"/>
      <c r="II44" s="60"/>
      <c r="IJ44" s="60"/>
      <c r="IK44" s="60"/>
      <c r="IL44" s="60"/>
      <c r="IM44" s="60"/>
      <c r="IN44" s="60"/>
      <c r="IO44" s="60"/>
      <c r="IP44" s="60"/>
      <c r="IQ44" s="60"/>
      <c r="IR44" s="60"/>
      <c r="IS44" s="60"/>
      <c r="IT44" s="60"/>
      <c r="IU44" s="60"/>
      <c r="IV44" s="60"/>
      <c r="IW44" s="60"/>
      <c r="IX44" s="60"/>
      <c r="IY44" s="60"/>
      <c r="IZ44" s="60"/>
      <c r="JA44" s="60"/>
      <c r="JB44" s="60"/>
      <c r="JC44" s="60"/>
      <c r="JD44" s="60"/>
      <c r="JE44" s="60"/>
      <c r="JF44" s="60"/>
      <c r="JG44" s="60"/>
      <c r="JH44" s="60"/>
      <c r="JI44" s="60"/>
      <c r="JJ44" s="60"/>
      <c r="JK44" s="60"/>
      <c r="JL44" s="60"/>
      <c r="JM44" s="60"/>
      <c r="JN44" s="60"/>
      <c r="JO44" s="60"/>
      <c r="JP44" s="60"/>
      <c r="JQ44" s="60"/>
      <c r="JR44" s="60"/>
      <c r="JS44" s="60"/>
      <c r="JT44" s="60"/>
      <c r="JU44" s="60"/>
      <c r="JV44" s="60"/>
      <c r="JW44" s="60"/>
      <c r="JX44" s="60"/>
      <c r="JY44" s="60"/>
      <c r="JZ44" s="60"/>
      <c r="KA44" s="60"/>
      <c r="KB44" s="60"/>
      <c r="KC44" s="60"/>
      <c r="KD44" s="60"/>
      <c r="KE44" s="60"/>
      <c r="KF44" s="60"/>
      <c r="KG44" s="60"/>
      <c r="KH44" s="60"/>
      <c r="KI44" s="60"/>
      <c r="KJ44" s="60"/>
      <c r="KK44" s="60"/>
      <c r="KL44" s="60"/>
      <c r="KM44" s="60"/>
      <c r="KN44" s="60"/>
      <c r="KO44" s="60"/>
      <c r="KP44" s="60"/>
      <c r="KQ44" s="60"/>
      <c r="KR44" s="60"/>
      <c r="KS44" s="60"/>
      <c r="KT44" s="60"/>
      <c r="KU44" s="60"/>
      <c r="KV44" s="60"/>
      <c r="KW44" s="60"/>
      <c r="KX44" s="60"/>
      <c r="KY44" s="60"/>
      <c r="KZ44" s="60"/>
      <c r="LA44" s="60"/>
      <c r="LB44" s="60"/>
      <c r="LC44" s="60"/>
      <c r="LD44" s="60"/>
      <c r="LE44" s="60"/>
      <c r="LF44" s="60"/>
      <c r="LG44" s="60"/>
      <c r="LH44" s="60"/>
    </row>
    <row r="45" spans="1:320" s="17" customFormat="1" x14ac:dyDescent="0.25">
      <c r="A45" s="147"/>
      <c r="B45" s="122"/>
      <c r="C45" s="122"/>
      <c r="D45" s="122"/>
      <c r="E45" s="157"/>
      <c r="F45" s="157"/>
      <c r="G45" s="157"/>
      <c r="H45" s="157"/>
      <c r="I45" s="157"/>
      <c r="J45" s="157"/>
      <c r="K45" s="157"/>
      <c r="L45" s="157"/>
      <c r="M45" s="157"/>
      <c r="N45" s="157"/>
      <c r="O45" s="157"/>
      <c r="P45" s="157"/>
      <c r="Q45" s="157"/>
      <c r="R45" s="157"/>
      <c r="S45" s="157"/>
      <c r="T45" s="122"/>
      <c r="AC45" s="60"/>
      <c r="AD45" s="60"/>
      <c r="AE45" s="60"/>
      <c r="AF45" s="60"/>
      <c r="AG45" s="60"/>
      <c r="AH45" s="60"/>
      <c r="AI45" s="60"/>
      <c r="AJ45" s="60"/>
      <c r="AK45" s="60"/>
      <c r="AL45" s="60"/>
      <c r="AM45" s="60"/>
      <c r="AN45" s="60"/>
      <c r="AO45" s="60"/>
      <c r="AP45" s="60"/>
      <c r="AQ45" s="60"/>
      <c r="AR45" s="60"/>
      <c r="AS45" s="60"/>
      <c r="AT45" s="60"/>
      <c r="AU45" s="60"/>
      <c r="AV45" s="60"/>
      <c r="AW45" s="60"/>
      <c r="AX45" s="60"/>
      <c r="AY45" s="60"/>
      <c r="AZ45" s="60"/>
      <c r="BA45" s="60"/>
      <c r="BB45" s="60"/>
      <c r="BC45" s="60"/>
      <c r="BD45" s="60"/>
      <c r="BE45" s="60"/>
      <c r="BF45" s="60"/>
      <c r="BG45" s="60"/>
      <c r="BH45" s="60"/>
      <c r="BI45" s="60"/>
      <c r="BJ45" s="60"/>
      <c r="BK45" s="60"/>
      <c r="BL45" s="60"/>
      <c r="BM45" s="60"/>
      <c r="BN45" s="60"/>
      <c r="BO45" s="60"/>
      <c r="BP45" s="60"/>
      <c r="BQ45" s="60"/>
      <c r="BR45" s="60"/>
      <c r="BS45" s="60"/>
      <c r="BT45" s="60"/>
      <c r="BU45" s="60"/>
      <c r="BV45" s="60"/>
      <c r="BW45" s="60"/>
      <c r="BX45" s="60"/>
      <c r="BY45" s="60"/>
      <c r="BZ45" s="60"/>
      <c r="CA45" s="60"/>
      <c r="CB45" s="60"/>
      <c r="CC45" s="60"/>
      <c r="CD45" s="60"/>
      <c r="CE45" s="60"/>
      <c r="CF45" s="60"/>
      <c r="CG45" s="60"/>
      <c r="CH45" s="60"/>
      <c r="CI45" s="60"/>
      <c r="CJ45" s="60"/>
      <c r="CK45" s="60"/>
      <c r="CL45" s="60"/>
      <c r="CM45" s="60"/>
      <c r="CN45" s="60"/>
      <c r="CO45" s="60"/>
      <c r="CP45" s="60"/>
      <c r="CQ45" s="60"/>
      <c r="CR45" s="60"/>
      <c r="CS45" s="60"/>
      <c r="CT45" s="60"/>
      <c r="CU45" s="60"/>
      <c r="CV45" s="60"/>
      <c r="CW45" s="60"/>
      <c r="CX45" s="60"/>
      <c r="CY45" s="60"/>
      <c r="CZ45" s="60"/>
      <c r="DA45" s="60"/>
      <c r="DB45" s="60"/>
      <c r="DC45" s="60"/>
      <c r="DD45" s="60"/>
      <c r="DE45" s="60"/>
      <c r="DF45" s="60"/>
      <c r="DG45" s="60"/>
      <c r="DH45" s="60"/>
      <c r="DI45" s="60"/>
      <c r="DJ45" s="60"/>
      <c r="DK45" s="60"/>
      <c r="DL45" s="60"/>
      <c r="DM45" s="60"/>
      <c r="DN45" s="60"/>
      <c r="DO45" s="60"/>
      <c r="DP45" s="60"/>
      <c r="DQ45" s="60"/>
      <c r="DR45" s="60"/>
      <c r="DS45" s="60"/>
      <c r="DT45" s="60"/>
      <c r="DU45" s="60"/>
      <c r="DV45" s="60"/>
      <c r="DW45" s="60"/>
      <c r="DX45" s="60"/>
      <c r="DY45" s="60"/>
      <c r="DZ45" s="60"/>
      <c r="EA45" s="60"/>
      <c r="EB45" s="60"/>
      <c r="EC45" s="60"/>
      <c r="ED45" s="60"/>
      <c r="EE45" s="60"/>
      <c r="EF45" s="60"/>
      <c r="EG45" s="60"/>
      <c r="EH45" s="60"/>
      <c r="EI45" s="60"/>
      <c r="EJ45" s="60"/>
      <c r="EK45" s="60"/>
      <c r="EL45" s="60"/>
      <c r="EM45" s="60"/>
      <c r="EN45" s="60"/>
      <c r="EO45" s="60"/>
      <c r="EP45" s="60"/>
      <c r="EQ45" s="60"/>
      <c r="ER45" s="60"/>
      <c r="ES45" s="60"/>
      <c r="ET45" s="60"/>
      <c r="EU45" s="60"/>
      <c r="EV45" s="60"/>
      <c r="EW45" s="60"/>
      <c r="EX45" s="60"/>
      <c r="EY45" s="60"/>
      <c r="EZ45" s="60"/>
      <c r="FA45" s="60"/>
      <c r="FB45" s="60"/>
      <c r="FC45" s="60"/>
      <c r="FD45" s="60"/>
      <c r="FE45" s="60"/>
      <c r="FF45" s="60"/>
      <c r="FG45" s="60"/>
      <c r="FH45" s="60"/>
      <c r="FI45" s="60"/>
      <c r="FJ45" s="60"/>
      <c r="FK45" s="60"/>
      <c r="FL45" s="60"/>
      <c r="FM45" s="60"/>
      <c r="FN45" s="60"/>
      <c r="FO45" s="60"/>
      <c r="FP45" s="60"/>
      <c r="FQ45" s="60"/>
      <c r="FR45" s="60"/>
      <c r="FS45" s="60"/>
      <c r="FT45" s="60"/>
      <c r="FU45" s="60"/>
      <c r="FV45" s="60"/>
      <c r="FW45" s="60"/>
      <c r="FX45" s="60"/>
      <c r="FY45" s="60"/>
      <c r="FZ45" s="60"/>
      <c r="GA45" s="60"/>
      <c r="GB45" s="60"/>
      <c r="GC45" s="60"/>
      <c r="GD45" s="60"/>
      <c r="GE45" s="60"/>
      <c r="GF45" s="60"/>
      <c r="GG45" s="60"/>
      <c r="GH45" s="60"/>
      <c r="GI45" s="60"/>
      <c r="GJ45" s="60"/>
      <c r="GK45" s="60"/>
      <c r="GL45" s="60"/>
      <c r="GM45" s="60"/>
      <c r="GN45" s="60"/>
      <c r="GO45" s="60"/>
      <c r="GP45" s="60"/>
      <c r="GQ45" s="60"/>
      <c r="GR45" s="60"/>
      <c r="GS45" s="60"/>
      <c r="GT45" s="60"/>
      <c r="GU45" s="60"/>
      <c r="GV45" s="60"/>
      <c r="GW45" s="60"/>
      <c r="GX45" s="60"/>
      <c r="GY45" s="60"/>
      <c r="GZ45" s="60"/>
      <c r="HA45" s="60"/>
      <c r="HB45" s="60"/>
      <c r="HC45" s="60"/>
      <c r="HD45" s="60"/>
      <c r="HE45" s="60"/>
      <c r="HF45" s="60"/>
      <c r="HG45" s="60"/>
      <c r="HH45" s="60"/>
      <c r="HI45" s="60"/>
      <c r="HJ45" s="60"/>
      <c r="HK45" s="60"/>
      <c r="HL45" s="60"/>
      <c r="HM45" s="60"/>
      <c r="HN45" s="60"/>
      <c r="HO45" s="60"/>
      <c r="HP45" s="60"/>
      <c r="HQ45" s="60"/>
      <c r="HR45" s="60"/>
      <c r="HS45" s="60"/>
      <c r="HT45" s="60"/>
      <c r="HU45" s="60"/>
      <c r="HV45" s="60"/>
      <c r="HW45" s="60"/>
      <c r="HX45" s="60"/>
      <c r="HY45" s="60"/>
      <c r="HZ45" s="60"/>
      <c r="IA45" s="60"/>
      <c r="IB45" s="60"/>
      <c r="IC45" s="60"/>
      <c r="ID45" s="60"/>
      <c r="IE45" s="60"/>
      <c r="IF45" s="60"/>
      <c r="IG45" s="60"/>
      <c r="IH45" s="60"/>
      <c r="II45" s="60"/>
      <c r="IJ45" s="60"/>
      <c r="IK45" s="60"/>
      <c r="IL45" s="60"/>
      <c r="IM45" s="60"/>
      <c r="IN45" s="60"/>
      <c r="IO45" s="60"/>
      <c r="IP45" s="60"/>
      <c r="IQ45" s="60"/>
      <c r="IR45" s="60"/>
      <c r="IS45" s="60"/>
      <c r="IT45" s="60"/>
      <c r="IU45" s="60"/>
      <c r="IV45" s="60"/>
      <c r="IW45" s="60"/>
      <c r="IX45" s="60"/>
      <c r="IY45" s="60"/>
      <c r="IZ45" s="60"/>
      <c r="JA45" s="60"/>
      <c r="JB45" s="60"/>
      <c r="JC45" s="60"/>
      <c r="JD45" s="60"/>
      <c r="JE45" s="60"/>
      <c r="JF45" s="60"/>
      <c r="JG45" s="60"/>
      <c r="JH45" s="60"/>
      <c r="JI45" s="60"/>
      <c r="JJ45" s="60"/>
      <c r="JK45" s="60"/>
      <c r="JL45" s="60"/>
      <c r="JM45" s="60"/>
      <c r="JN45" s="60"/>
      <c r="JO45" s="60"/>
      <c r="JP45" s="60"/>
      <c r="JQ45" s="60"/>
      <c r="JR45" s="60"/>
      <c r="JS45" s="60"/>
      <c r="JT45" s="60"/>
      <c r="JU45" s="60"/>
      <c r="JV45" s="60"/>
      <c r="JW45" s="60"/>
      <c r="JX45" s="60"/>
      <c r="JY45" s="60"/>
      <c r="JZ45" s="60"/>
      <c r="KA45" s="60"/>
      <c r="KB45" s="60"/>
      <c r="KC45" s="60"/>
      <c r="KD45" s="60"/>
      <c r="KE45" s="60"/>
      <c r="KF45" s="60"/>
      <c r="KG45" s="60"/>
      <c r="KH45" s="60"/>
      <c r="KI45" s="60"/>
      <c r="KJ45" s="60"/>
      <c r="KK45" s="60"/>
      <c r="KL45" s="60"/>
      <c r="KM45" s="60"/>
      <c r="KN45" s="60"/>
      <c r="KO45" s="60"/>
      <c r="KP45" s="60"/>
      <c r="KQ45" s="60"/>
      <c r="KR45" s="60"/>
      <c r="KS45" s="60"/>
      <c r="KT45" s="60"/>
      <c r="KU45" s="60"/>
      <c r="KV45" s="60"/>
      <c r="KW45" s="60"/>
      <c r="KX45" s="60"/>
      <c r="KY45" s="60"/>
      <c r="KZ45" s="60"/>
      <c r="LA45" s="60"/>
      <c r="LB45" s="60"/>
      <c r="LC45" s="60"/>
      <c r="LD45" s="60"/>
      <c r="LE45" s="60"/>
      <c r="LF45" s="60"/>
      <c r="LG45" s="60"/>
      <c r="LH45" s="60"/>
    </row>
    <row r="46" spans="1:320" s="17" customFormat="1" x14ac:dyDescent="0.25">
      <c r="A46" s="147"/>
      <c r="B46" s="122"/>
      <c r="C46" s="122"/>
      <c r="D46" s="122"/>
      <c r="E46" s="157"/>
      <c r="F46" s="157"/>
      <c r="G46" s="157"/>
      <c r="H46" s="157"/>
      <c r="I46" s="157"/>
      <c r="J46" s="157"/>
      <c r="K46" s="157"/>
      <c r="L46" s="157"/>
      <c r="M46" s="157"/>
      <c r="N46" s="157"/>
      <c r="O46" s="157"/>
      <c r="P46" s="157"/>
      <c r="Q46" s="157"/>
      <c r="R46" s="157"/>
      <c r="S46" s="157"/>
      <c r="T46" s="122"/>
      <c r="AC46" s="60"/>
      <c r="AD46" s="60"/>
      <c r="AE46" s="60"/>
      <c r="AF46" s="60"/>
      <c r="AG46" s="60"/>
      <c r="AH46" s="60"/>
      <c r="AI46" s="60"/>
      <c r="AJ46" s="60"/>
      <c r="AK46" s="60"/>
      <c r="AL46" s="60"/>
      <c r="AM46" s="60"/>
      <c r="AN46" s="60"/>
      <c r="AO46" s="60"/>
      <c r="AP46" s="60"/>
      <c r="AQ46" s="60"/>
      <c r="AR46" s="60"/>
      <c r="AS46" s="60"/>
      <c r="AT46" s="60"/>
      <c r="AU46" s="60"/>
      <c r="AV46" s="60"/>
      <c r="AW46" s="60"/>
      <c r="AX46" s="60"/>
      <c r="AY46" s="60"/>
      <c r="AZ46" s="60"/>
      <c r="BA46" s="60"/>
      <c r="BB46" s="60"/>
      <c r="BC46" s="60"/>
      <c r="BD46" s="60"/>
      <c r="BE46" s="60"/>
      <c r="BF46" s="60"/>
      <c r="BG46" s="60"/>
      <c r="BH46" s="60"/>
      <c r="BI46" s="60"/>
      <c r="BJ46" s="60"/>
      <c r="BK46" s="60"/>
      <c r="BL46" s="60"/>
      <c r="BM46" s="60"/>
      <c r="BN46" s="60"/>
      <c r="BO46" s="60"/>
      <c r="BP46" s="60"/>
      <c r="BQ46" s="60"/>
      <c r="BR46" s="60"/>
      <c r="BS46" s="60"/>
      <c r="BT46" s="60"/>
      <c r="BU46" s="60"/>
      <c r="BV46" s="60"/>
      <c r="BW46" s="60"/>
      <c r="BX46" s="60"/>
      <c r="BY46" s="60"/>
      <c r="BZ46" s="60"/>
      <c r="CA46" s="60"/>
      <c r="CB46" s="60"/>
      <c r="CC46" s="60"/>
      <c r="CD46" s="60"/>
      <c r="CE46" s="60"/>
      <c r="CF46" s="60"/>
      <c r="CG46" s="60"/>
      <c r="CH46" s="60"/>
      <c r="CI46" s="60"/>
      <c r="CJ46" s="60"/>
      <c r="CK46" s="60"/>
      <c r="CL46" s="60"/>
      <c r="CM46" s="60"/>
      <c r="CN46" s="60"/>
      <c r="CO46" s="60"/>
      <c r="CP46" s="60"/>
      <c r="CQ46" s="60"/>
      <c r="CR46" s="60"/>
      <c r="CS46" s="60"/>
      <c r="CT46" s="60"/>
      <c r="CU46" s="60"/>
      <c r="CV46" s="60"/>
      <c r="CW46" s="60"/>
      <c r="CX46" s="60"/>
      <c r="CY46" s="60"/>
      <c r="CZ46" s="60"/>
      <c r="DA46" s="60"/>
      <c r="DB46" s="60"/>
      <c r="DC46" s="60"/>
      <c r="DD46" s="60"/>
      <c r="DE46" s="60"/>
      <c r="DF46" s="60"/>
      <c r="DG46" s="60"/>
      <c r="DH46" s="60"/>
      <c r="DI46" s="60"/>
      <c r="DJ46" s="60"/>
      <c r="DK46" s="60"/>
      <c r="DL46" s="60"/>
      <c r="DM46" s="60"/>
      <c r="DN46" s="60"/>
      <c r="DO46" s="60"/>
      <c r="DP46" s="60"/>
      <c r="DQ46" s="60"/>
      <c r="DR46" s="60"/>
      <c r="DS46" s="60"/>
      <c r="DT46" s="60"/>
      <c r="DU46" s="60"/>
      <c r="DV46" s="60"/>
      <c r="DW46" s="60"/>
      <c r="DX46" s="60"/>
      <c r="DY46" s="60"/>
      <c r="DZ46" s="60"/>
      <c r="EA46" s="60"/>
      <c r="EB46" s="60"/>
      <c r="EC46" s="60"/>
      <c r="ED46" s="60"/>
      <c r="EE46" s="60"/>
      <c r="EF46" s="60"/>
      <c r="EG46" s="60"/>
      <c r="EH46" s="60"/>
      <c r="EI46" s="60"/>
      <c r="EJ46" s="60"/>
      <c r="EK46" s="60"/>
      <c r="EL46" s="60"/>
      <c r="EM46" s="60"/>
      <c r="EN46" s="60"/>
      <c r="EO46" s="60"/>
      <c r="EP46" s="60"/>
      <c r="EQ46" s="60"/>
      <c r="ER46" s="60"/>
      <c r="ES46" s="60"/>
      <c r="ET46" s="60"/>
      <c r="EU46" s="60"/>
      <c r="EV46" s="60"/>
      <c r="EW46" s="60"/>
      <c r="EX46" s="60"/>
      <c r="EY46" s="60"/>
      <c r="EZ46" s="60"/>
      <c r="FA46" s="60"/>
      <c r="FB46" s="60"/>
      <c r="FC46" s="60"/>
      <c r="FD46" s="60"/>
      <c r="FE46" s="60"/>
      <c r="FF46" s="60"/>
      <c r="FG46" s="60"/>
      <c r="FH46" s="60"/>
      <c r="FI46" s="60"/>
      <c r="FJ46" s="60"/>
      <c r="FK46" s="60"/>
      <c r="FL46" s="60"/>
      <c r="FM46" s="60"/>
      <c r="FN46" s="60"/>
      <c r="FO46" s="60"/>
      <c r="FP46" s="60"/>
      <c r="FQ46" s="60"/>
      <c r="FR46" s="60"/>
      <c r="FS46" s="60"/>
      <c r="FT46" s="60"/>
      <c r="FU46" s="60"/>
      <c r="FV46" s="60"/>
      <c r="FW46" s="60"/>
      <c r="FX46" s="60"/>
      <c r="FY46" s="60"/>
      <c r="FZ46" s="60"/>
      <c r="GA46" s="60"/>
      <c r="GB46" s="60"/>
      <c r="GC46" s="60"/>
      <c r="GD46" s="60"/>
      <c r="GE46" s="60"/>
      <c r="GF46" s="60"/>
      <c r="GG46" s="60"/>
      <c r="GH46" s="60"/>
      <c r="GI46" s="60"/>
      <c r="GJ46" s="60"/>
      <c r="GK46" s="60"/>
      <c r="GL46" s="60"/>
      <c r="GM46" s="60"/>
      <c r="GN46" s="60"/>
      <c r="GO46" s="60"/>
      <c r="GP46" s="60"/>
      <c r="GQ46" s="60"/>
      <c r="GR46" s="60"/>
      <c r="GS46" s="60"/>
      <c r="GT46" s="60"/>
      <c r="GU46" s="60"/>
      <c r="GV46" s="60"/>
      <c r="GW46" s="60"/>
      <c r="GX46" s="60"/>
      <c r="GY46" s="60"/>
      <c r="GZ46" s="60"/>
      <c r="HA46" s="60"/>
      <c r="HB46" s="60"/>
      <c r="HC46" s="60"/>
      <c r="HD46" s="60"/>
      <c r="HE46" s="60"/>
      <c r="HF46" s="60"/>
      <c r="HG46" s="60"/>
      <c r="HH46" s="60"/>
      <c r="HI46" s="60"/>
      <c r="HJ46" s="60"/>
      <c r="HK46" s="60"/>
      <c r="HL46" s="60"/>
      <c r="HM46" s="60"/>
      <c r="HN46" s="60"/>
      <c r="HO46" s="60"/>
      <c r="HP46" s="60"/>
      <c r="HQ46" s="60"/>
      <c r="HR46" s="60"/>
      <c r="HS46" s="60"/>
      <c r="HT46" s="60"/>
      <c r="HU46" s="60"/>
      <c r="HV46" s="60"/>
      <c r="HW46" s="60"/>
      <c r="HX46" s="60"/>
      <c r="HY46" s="60"/>
      <c r="HZ46" s="60"/>
      <c r="IA46" s="60"/>
      <c r="IB46" s="60"/>
      <c r="IC46" s="60"/>
      <c r="ID46" s="60"/>
      <c r="IE46" s="60"/>
      <c r="IF46" s="60"/>
      <c r="IG46" s="60"/>
      <c r="IH46" s="60"/>
      <c r="II46" s="60"/>
      <c r="IJ46" s="60"/>
      <c r="IK46" s="60"/>
      <c r="IL46" s="60"/>
      <c r="IM46" s="60"/>
      <c r="IN46" s="60"/>
      <c r="IO46" s="60"/>
      <c r="IP46" s="60"/>
      <c r="IQ46" s="60"/>
      <c r="IR46" s="60"/>
      <c r="IS46" s="60"/>
      <c r="IT46" s="60"/>
      <c r="IU46" s="60"/>
      <c r="IV46" s="60"/>
      <c r="IW46" s="60"/>
      <c r="IX46" s="60"/>
      <c r="IY46" s="60"/>
      <c r="IZ46" s="60"/>
      <c r="JA46" s="60"/>
      <c r="JB46" s="60"/>
      <c r="JC46" s="60"/>
      <c r="JD46" s="60"/>
      <c r="JE46" s="60"/>
      <c r="JF46" s="60"/>
      <c r="JG46" s="60"/>
      <c r="JH46" s="60"/>
      <c r="JI46" s="60"/>
      <c r="JJ46" s="60"/>
      <c r="JK46" s="60"/>
      <c r="JL46" s="60"/>
      <c r="JM46" s="60"/>
      <c r="JN46" s="60"/>
      <c r="JO46" s="60"/>
      <c r="JP46" s="60"/>
      <c r="JQ46" s="60"/>
      <c r="JR46" s="60"/>
      <c r="JS46" s="60"/>
      <c r="JT46" s="60"/>
      <c r="JU46" s="60"/>
      <c r="JV46" s="60"/>
      <c r="JW46" s="60"/>
      <c r="JX46" s="60"/>
      <c r="JY46" s="60"/>
      <c r="JZ46" s="60"/>
      <c r="KA46" s="60"/>
      <c r="KB46" s="60"/>
      <c r="KC46" s="60"/>
      <c r="KD46" s="60"/>
      <c r="KE46" s="60"/>
      <c r="KF46" s="60"/>
      <c r="KG46" s="60"/>
      <c r="KH46" s="60"/>
      <c r="KI46" s="60"/>
      <c r="KJ46" s="60"/>
      <c r="KK46" s="60"/>
      <c r="KL46" s="60"/>
      <c r="KM46" s="60"/>
      <c r="KN46" s="60"/>
      <c r="KO46" s="60"/>
      <c r="KP46" s="60"/>
      <c r="KQ46" s="60"/>
      <c r="KR46" s="60"/>
      <c r="KS46" s="60"/>
      <c r="KT46" s="60"/>
      <c r="KU46" s="60"/>
      <c r="KV46" s="60"/>
      <c r="KW46" s="60"/>
      <c r="KX46" s="60"/>
      <c r="KY46" s="60"/>
      <c r="KZ46" s="60"/>
      <c r="LA46" s="60"/>
      <c r="LB46" s="60"/>
      <c r="LC46" s="60"/>
      <c r="LD46" s="60"/>
      <c r="LE46" s="60"/>
      <c r="LF46" s="60"/>
      <c r="LG46" s="60"/>
      <c r="LH46" s="60"/>
    </row>
    <row r="47" spans="1:320" s="17" customFormat="1" x14ac:dyDescent="0.25">
      <c r="A47" s="147"/>
      <c r="E47" s="156"/>
      <c r="F47" s="156"/>
      <c r="G47" s="156"/>
      <c r="H47" s="156"/>
      <c r="I47" s="156"/>
      <c r="J47" s="156"/>
      <c r="K47" s="156"/>
      <c r="L47" s="156"/>
      <c r="M47" s="156"/>
      <c r="N47" s="156"/>
      <c r="O47" s="156"/>
      <c r="P47" s="156"/>
      <c r="Q47" s="156"/>
      <c r="R47" s="156"/>
      <c r="S47" s="156"/>
      <c r="AC47" s="60"/>
      <c r="AD47" s="60"/>
      <c r="AE47" s="60"/>
      <c r="AF47" s="60"/>
      <c r="AG47" s="60"/>
      <c r="AH47" s="60"/>
      <c r="AI47" s="60"/>
      <c r="AJ47" s="60"/>
      <c r="AK47" s="60"/>
      <c r="AL47" s="60"/>
      <c r="AM47" s="60"/>
      <c r="AN47" s="60"/>
      <c r="AO47" s="60"/>
      <c r="AP47" s="60"/>
      <c r="AQ47" s="60"/>
      <c r="AR47" s="60"/>
      <c r="AS47" s="60"/>
      <c r="AT47" s="60"/>
      <c r="AU47" s="60"/>
      <c r="AV47" s="60"/>
      <c r="AW47" s="60"/>
      <c r="AX47" s="60"/>
      <c r="AY47" s="60"/>
      <c r="AZ47" s="60"/>
      <c r="BA47" s="60"/>
      <c r="BB47" s="60"/>
      <c r="BC47" s="60"/>
      <c r="BD47" s="60"/>
      <c r="BE47" s="60"/>
      <c r="BF47" s="60"/>
      <c r="BG47" s="60"/>
      <c r="BH47" s="60"/>
      <c r="BI47" s="60"/>
      <c r="BJ47" s="60"/>
      <c r="BK47" s="60"/>
      <c r="BL47" s="60"/>
      <c r="BM47" s="60"/>
      <c r="BN47" s="60"/>
      <c r="BO47" s="60"/>
      <c r="BP47" s="60"/>
      <c r="BQ47" s="60"/>
      <c r="BR47" s="60"/>
      <c r="BS47" s="60"/>
      <c r="BT47" s="60"/>
      <c r="BU47" s="60"/>
      <c r="BV47" s="60"/>
      <c r="BW47" s="60"/>
      <c r="BX47" s="60"/>
      <c r="BY47" s="60"/>
      <c r="BZ47" s="60"/>
      <c r="CA47" s="60"/>
      <c r="CB47" s="60"/>
      <c r="CC47" s="60"/>
      <c r="CD47" s="60"/>
      <c r="CE47" s="60"/>
      <c r="CF47" s="60"/>
      <c r="CG47" s="60"/>
      <c r="CH47" s="60"/>
      <c r="CI47" s="60"/>
      <c r="CJ47" s="60"/>
      <c r="CK47" s="60"/>
      <c r="CL47" s="60"/>
      <c r="CM47" s="60"/>
      <c r="CN47" s="60"/>
      <c r="CO47" s="60"/>
      <c r="CP47" s="60"/>
      <c r="CQ47" s="60"/>
      <c r="CR47" s="60"/>
      <c r="CS47" s="60"/>
      <c r="CT47" s="60"/>
      <c r="CU47" s="60"/>
      <c r="CV47" s="60"/>
      <c r="CW47" s="60"/>
      <c r="CX47" s="60"/>
      <c r="CY47" s="60"/>
      <c r="CZ47" s="60"/>
      <c r="DA47" s="60"/>
      <c r="DB47" s="60"/>
      <c r="DC47" s="60"/>
      <c r="DD47" s="60"/>
      <c r="DE47" s="60"/>
      <c r="DF47" s="60"/>
      <c r="DG47" s="60"/>
      <c r="DH47" s="60"/>
      <c r="DI47" s="60"/>
      <c r="DJ47" s="60"/>
      <c r="DK47" s="60"/>
      <c r="DL47" s="60"/>
      <c r="DM47" s="60"/>
      <c r="DN47" s="60"/>
      <c r="DO47" s="60"/>
      <c r="DP47" s="60"/>
      <c r="DQ47" s="60"/>
      <c r="DR47" s="60"/>
      <c r="DS47" s="60"/>
      <c r="DT47" s="60"/>
      <c r="DU47" s="60"/>
      <c r="DV47" s="60"/>
      <c r="DW47" s="60"/>
      <c r="DX47" s="60"/>
      <c r="DY47" s="60"/>
      <c r="DZ47" s="60"/>
      <c r="EA47" s="60"/>
      <c r="EB47" s="60"/>
      <c r="EC47" s="60"/>
      <c r="ED47" s="60"/>
      <c r="EE47" s="60"/>
      <c r="EF47" s="60"/>
      <c r="EG47" s="60"/>
      <c r="EH47" s="60"/>
      <c r="EI47" s="60"/>
      <c r="EJ47" s="60"/>
      <c r="EK47" s="60"/>
      <c r="EL47" s="60"/>
      <c r="EM47" s="60"/>
      <c r="EN47" s="60"/>
      <c r="EO47" s="60"/>
      <c r="EP47" s="60"/>
      <c r="EQ47" s="60"/>
      <c r="ER47" s="60"/>
      <c r="ES47" s="60"/>
      <c r="ET47" s="60"/>
      <c r="EU47" s="60"/>
      <c r="EV47" s="60"/>
      <c r="EW47" s="60"/>
      <c r="EX47" s="60"/>
      <c r="EY47" s="60"/>
      <c r="EZ47" s="60"/>
      <c r="FA47" s="60"/>
      <c r="FB47" s="60"/>
      <c r="FC47" s="60"/>
      <c r="FD47" s="60"/>
      <c r="FE47" s="60"/>
      <c r="FF47" s="60"/>
      <c r="FG47" s="60"/>
      <c r="FH47" s="60"/>
      <c r="FI47" s="60"/>
      <c r="FJ47" s="60"/>
      <c r="FK47" s="60"/>
      <c r="FL47" s="60"/>
      <c r="FM47" s="60"/>
      <c r="FN47" s="60"/>
      <c r="FO47" s="60"/>
      <c r="FP47" s="60"/>
      <c r="FQ47" s="60"/>
      <c r="FR47" s="60"/>
      <c r="FS47" s="60"/>
      <c r="FT47" s="60"/>
      <c r="FU47" s="60"/>
      <c r="FV47" s="60"/>
      <c r="FW47" s="60"/>
      <c r="FX47" s="60"/>
      <c r="FY47" s="60"/>
      <c r="FZ47" s="60"/>
      <c r="GA47" s="60"/>
      <c r="GB47" s="60"/>
      <c r="GC47" s="60"/>
      <c r="GD47" s="60"/>
      <c r="GE47" s="60"/>
      <c r="GF47" s="60"/>
      <c r="GG47" s="60"/>
      <c r="GH47" s="60"/>
      <c r="GI47" s="60"/>
      <c r="GJ47" s="60"/>
      <c r="GK47" s="60"/>
      <c r="GL47" s="60"/>
      <c r="GM47" s="60"/>
      <c r="GN47" s="60"/>
      <c r="GO47" s="60"/>
      <c r="GP47" s="60"/>
      <c r="GQ47" s="60"/>
      <c r="GR47" s="60"/>
      <c r="GS47" s="60"/>
      <c r="GT47" s="60"/>
      <c r="GU47" s="60"/>
      <c r="GV47" s="60"/>
      <c r="GW47" s="60"/>
      <c r="GX47" s="60"/>
      <c r="GY47" s="60"/>
      <c r="GZ47" s="60"/>
      <c r="HA47" s="60"/>
      <c r="HB47" s="60"/>
      <c r="HC47" s="60"/>
      <c r="HD47" s="60"/>
      <c r="HE47" s="60"/>
      <c r="HF47" s="60"/>
      <c r="HG47" s="60"/>
      <c r="HH47" s="60"/>
      <c r="HI47" s="60"/>
      <c r="HJ47" s="60"/>
      <c r="HK47" s="60"/>
      <c r="HL47" s="60"/>
      <c r="HM47" s="60"/>
      <c r="HN47" s="60"/>
      <c r="HO47" s="60"/>
      <c r="HP47" s="60"/>
      <c r="HQ47" s="60"/>
      <c r="HR47" s="60"/>
      <c r="HS47" s="60"/>
      <c r="HT47" s="60"/>
      <c r="HU47" s="60"/>
      <c r="HV47" s="60"/>
      <c r="HW47" s="60"/>
      <c r="HX47" s="60"/>
      <c r="HY47" s="60"/>
      <c r="HZ47" s="60"/>
      <c r="IA47" s="60"/>
      <c r="IB47" s="60"/>
      <c r="IC47" s="60"/>
      <c r="ID47" s="60"/>
      <c r="IE47" s="60"/>
      <c r="IF47" s="60"/>
      <c r="IG47" s="60"/>
      <c r="IH47" s="60"/>
      <c r="II47" s="60"/>
      <c r="IJ47" s="60"/>
      <c r="IK47" s="60"/>
      <c r="IL47" s="60"/>
      <c r="IM47" s="60"/>
      <c r="IN47" s="60"/>
      <c r="IO47" s="60"/>
      <c r="IP47" s="60"/>
      <c r="IQ47" s="60"/>
      <c r="IR47" s="60"/>
      <c r="IS47" s="60"/>
      <c r="IT47" s="60"/>
      <c r="IU47" s="60"/>
      <c r="IV47" s="60"/>
      <c r="IW47" s="60"/>
      <c r="IX47" s="60"/>
      <c r="IY47" s="60"/>
      <c r="IZ47" s="60"/>
      <c r="JA47" s="60"/>
      <c r="JB47" s="60"/>
      <c r="JC47" s="60"/>
      <c r="JD47" s="60"/>
      <c r="JE47" s="60"/>
      <c r="JF47" s="60"/>
      <c r="JG47" s="60"/>
      <c r="JH47" s="60"/>
      <c r="JI47" s="60"/>
      <c r="JJ47" s="60"/>
      <c r="JK47" s="60"/>
      <c r="JL47" s="60"/>
      <c r="JM47" s="60"/>
      <c r="JN47" s="60"/>
      <c r="JO47" s="60"/>
      <c r="JP47" s="60"/>
      <c r="JQ47" s="60"/>
      <c r="JR47" s="60"/>
      <c r="JS47" s="60"/>
      <c r="JT47" s="60"/>
      <c r="JU47" s="60"/>
      <c r="JV47" s="60"/>
      <c r="JW47" s="60"/>
      <c r="JX47" s="60"/>
      <c r="JY47" s="60"/>
      <c r="JZ47" s="60"/>
      <c r="KA47" s="60"/>
      <c r="KB47" s="60"/>
      <c r="KC47" s="60"/>
      <c r="KD47" s="60"/>
      <c r="KE47" s="60"/>
      <c r="KF47" s="60"/>
      <c r="KG47" s="60"/>
      <c r="KH47" s="60"/>
      <c r="KI47" s="60"/>
      <c r="KJ47" s="60"/>
      <c r="KK47" s="60"/>
      <c r="KL47" s="60"/>
      <c r="KM47" s="60"/>
      <c r="KN47" s="60"/>
      <c r="KO47" s="60"/>
      <c r="KP47" s="60"/>
      <c r="KQ47" s="60"/>
      <c r="KR47" s="60"/>
      <c r="KS47" s="60"/>
      <c r="KT47" s="60"/>
      <c r="KU47" s="60"/>
      <c r="KV47" s="60"/>
      <c r="KW47" s="60"/>
      <c r="KX47" s="60"/>
      <c r="KY47" s="60"/>
      <c r="KZ47" s="60"/>
      <c r="LA47" s="60"/>
      <c r="LB47" s="60"/>
      <c r="LC47" s="60"/>
      <c r="LD47" s="60"/>
      <c r="LE47" s="60"/>
      <c r="LF47" s="60"/>
      <c r="LG47" s="60"/>
      <c r="LH47" s="60"/>
    </row>
    <row r="48" spans="1:320" s="17" customFormat="1" x14ac:dyDescent="0.25">
      <c r="A48" s="147"/>
      <c r="E48" s="156"/>
      <c r="F48" s="156"/>
      <c r="G48" s="156"/>
      <c r="H48" s="156"/>
      <c r="I48" s="156"/>
      <c r="J48" s="156"/>
      <c r="K48" s="156"/>
      <c r="L48" s="156"/>
      <c r="M48" s="156"/>
      <c r="N48" s="156"/>
      <c r="O48" s="156"/>
      <c r="P48" s="156"/>
      <c r="Q48" s="156"/>
      <c r="R48" s="156"/>
      <c r="S48" s="156"/>
      <c r="AC48" s="60"/>
      <c r="AD48" s="60"/>
      <c r="AE48" s="60"/>
      <c r="AF48" s="60"/>
      <c r="AG48" s="60"/>
      <c r="AH48" s="60"/>
      <c r="AI48" s="60"/>
      <c r="AJ48" s="60"/>
      <c r="AK48" s="60"/>
      <c r="AL48" s="60"/>
      <c r="AM48" s="60"/>
      <c r="AN48" s="60"/>
      <c r="AO48" s="60"/>
      <c r="AP48" s="60"/>
      <c r="AQ48" s="60"/>
      <c r="AR48" s="60"/>
      <c r="AS48" s="60"/>
      <c r="AT48" s="60"/>
      <c r="AU48" s="60"/>
      <c r="AV48" s="60"/>
      <c r="AW48" s="60"/>
      <c r="AX48" s="60"/>
      <c r="AY48" s="60"/>
      <c r="AZ48" s="60"/>
      <c r="BA48" s="60"/>
      <c r="BB48" s="60"/>
      <c r="BC48" s="60"/>
      <c r="BD48" s="60"/>
      <c r="BE48" s="60"/>
      <c r="BF48" s="60"/>
      <c r="BG48" s="60"/>
      <c r="BH48" s="60"/>
      <c r="BI48" s="60"/>
      <c r="BJ48" s="60"/>
      <c r="BK48" s="60"/>
      <c r="BL48" s="60"/>
      <c r="BM48" s="60"/>
      <c r="BN48" s="60"/>
      <c r="BO48" s="60"/>
      <c r="BP48" s="60"/>
      <c r="BQ48" s="60"/>
      <c r="BR48" s="60"/>
      <c r="BS48" s="60"/>
      <c r="BT48" s="60"/>
      <c r="BU48" s="60"/>
      <c r="BV48" s="60"/>
      <c r="BW48" s="60"/>
      <c r="BX48" s="60"/>
      <c r="BY48" s="60"/>
      <c r="BZ48" s="60"/>
      <c r="CA48" s="60"/>
      <c r="CB48" s="60"/>
      <c r="CC48" s="60"/>
      <c r="CD48" s="60"/>
      <c r="CE48" s="60"/>
      <c r="CF48" s="60"/>
      <c r="CG48" s="60"/>
      <c r="CH48" s="60"/>
      <c r="CI48" s="60"/>
      <c r="CJ48" s="60"/>
      <c r="CK48" s="60"/>
      <c r="CL48" s="60"/>
      <c r="CM48" s="60"/>
      <c r="CN48" s="60"/>
      <c r="CO48" s="60"/>
      <c r="CP48" s="60"/>
      <c r="CQ48" s="60"/>
      <c r="CR48" s="60"/>
      <c r="CS48" s="60"/>
      <c r="CT48" s="60"/>
      <c r="CU48" s="60"/>
      <c r="CV48" s="60"/>
      <c r="CW48" s="60"/>
      <c r="CX48" s="60"/>
      <c r="CY48" s="60"/>
      <c r="CZ48" s="60"/>
      <c r="DA48" s="60"/>
      <c r="DB48" s="60"/>
      <c r="DC48" s="60"/>
      <c r="DD48" s="60"/>
      <c r="DE48" s="60"/>
      <c r="DF48" s="60"/>
      <c r="DG48" s="60"/>
      <c r="DH48" s="60"/>
      <c r="DI48" s="60"/>
      <c r="DJ48" s="60"/>
      <c r="DK48" s="60"/>
      <c r="DL48" s="60"/>
      <c r="DM48" s="60"/>
      <c r="DN48" s="60"/>
      <c r="DO48" s="60"/>
      <c r="DP48" s="60"/>
      <c r="DQ48" s="60"/>
      <c r="DR48" s="60"/>
      <c r="DS48" s="60"/>
      <c r="DT48" s="60"/>
      <c r="DU48" s="60"/>
      <c r="DV48" s="60"/>
      <c r="DW48" s="60"/>
      <c r="DX48" s="60"/>
      <c r="DY48" s="60"/>
      <c r="DZ48" s="60"/>
      <c r="EA48" s="60"/>
      <c r="EB48" s="60"/>
      <c r="EC48" s="60"/>
      <c r="ED48" s="60"/>
      <c r="EE48" s="60"/>
      <c r="EF48" s="60"/>
      <c r="EG48" s="60"/>
      <c r="EH48" s="60"/>
      <c r="EI48" s="60"/>
      <c r="EJ48" s="60"/>
      <c r="EK48" s="60"/>
      <c r="EL48" s="60"/>
      <c r="EM48" s="60"/>
      <c r="EN48" s="60"/>
      <c r="EO48" s="60"/>
      <c r="EP48" s="60"/>
      <c r="EQ48" s="60"/>
      <c r="ER48" s="60"/>
      <c r="ES48" s="60"/>
      <c r="ET48" s="60"/>
      <c r="EU48" s="60"/>
      <c r="EV48" s="60"/>
      <c r="EW48" s="60"/>
      <c r="EX48" s="60"/>
      <c r="EY48" s="60"/>
      <c r="EZ48" s="60"/>
      <c r="FA48" s="60"/>
      <c r="FB48" s="60"/>
      <c r="FC48" s="60"/>
      <c r="FD48" s="60"/>
      <c r="FE48" s="60"/>
      <c r="FF48" s="60"/>
      <c r="FG48" s="60"/>
      <c r="FH48" s="60"/>
      <c r="FI48" s="60"/>
      <c r="FJ48" s="60"/>
      <c r="FK48" s="60"/>
      <c r="FL48" s="60"/>
      <c r="FM48" s="60"/>
      <c r="FN48" s="60"/>
      <c r="FO48" s="60"/>
      <c r="FP48" s="60"/>
      <c r="FQ48" s="60"/>
      <c r="FR48" s="60"/>
      <c r="FS48" s="60"/>
      <c r="FT48" s="60"/>
      <c r="FU48" s="60"/>
      <c r="FV48" s="60"/>
      <c r="FW48" s="60"/>
      <c r="FX48" s="60"/>
      <c r="FY48" s="60"/>
      <c r="FZ48" s="60"/>
      <c r="GA48" s="60"/>
      <c r="GB48" s="60"/>
      <c r="GC48" s="60"/>
      <c r="GD48" s="60"/>
      <c r="GE48" s="60"/>
      <c r="GF48" s="60"/>
      <c r="GG48" s="60"/>
      <c r="GH48" s="60"/>
      <c r="GI48" s="60"/>
      <c r="GJ48" s="60"/>
      <c r="GK48" s="60"/>
      <c r="GL48" s="60"/>
      <c r="GM48" s="60"/>
      <c r="GN48" s="60"/>
      <c r="GO48" s="60"/>
      <c r="GP48" s="60"/>
      <c r="GQ48" s="60"/>
      <c r="GR48" s="60"/>
      <c r="GS48" s="60"/>
      <c r="GT48" s="60"/>
      <c r="GU48" s="60"/>
      <c r="GV48" s="60"/>
      <c r="GW48" s="60"/>
      <c r="GX48" s="60"/>
      <c r="GY48" s="60"/>
      <c r="GZ48" s="60"/>
      <c r="HA48" s="60"/>
      <c r="HB48" s="60"/>
      <c r="HC48" s="60"/>
      <c r="HD48" s="60"/>
      <c r="HE48" s="60"/>
      <c r="HF48" s="60"/>
      <c r="HG48" s="60"/>
      <c r="HH48" s="60"/>
      <c r="HI48" s="60"/>
      <c r="HJ48" s="60"/>
      <c r="HK48" s="60"/>
      <c r="HL48" s="60"/>
      <c r="HM48" s="60"/>
      <c r="HN48" s="60"/>
      <c r="HO48" s="60"/>
      <c r="HP48" s="60"/>
      <c r="HQ48" s="60"/>
      <c r="HR48" s="60"/>
      <c r="HS48" s="60"/>
      <c r="HT48" s="60"/>
      <c r="HU48" s="60"/>
      <c r="HV48" s="60"/>
      <c r="HW48" s="60"/>
      <c r="HX48" s="60"/>
      <c r="HY48" s="60"/>
      <c r="HZ48" s="60"/>
      <c r="IA48" s="60"/>
      <c r="IB48" s="60"/>
      <c r="IC48" s="60"/>
      <c r="ID48" s="60"/>
      <c r="IE48" s="60"/>
      <c r="IF48" s="60"/>
      <c r="IG48" s="60"/>
      <c r="IH48" s="60"/>
      <c r="II48" s="60"/>
      <c r="IJ48" s="60"/>
      <c r="IK48" s="60"/>
      <c r="IL48" s="60"/>
      <c r="IM48" s="60"/>
      <c r="IN48" s="60"/>
      <c r="IO48" s="60"/>
      <c r="IP48" s="60"/>
      <c r="IQ48" s="60"/>
      <c r="IR48" s="60"/>
      <c r="IS48" s="60"/>
      <c r="IT48" s="60"/>
      <c r="IU48" s="60"/>
      <c r="IV48" s="60"/>
      <c r="IW48" s="60"/>
      <c r="IX48" s="60"/>
      <c r="IY48" s="60"/>
      <c r="IZ48" s="60"/>
      <c r="JA48" s="60"/>
      <c r="JB48" s="60"/>
      <c r="JC48" s="60"/>
      <c r="JD48" s="60"/>
      <c r="JE48" s="60"/>
      <c r="JF48" s="60"/>
      <c r="JG48" s="60"/>
      <c r="JH48" s="60"/>
      <c r="JI48" s="60"/>
      <c r="JJ48" s="60"/>
      <c r="JK48" s="60"/>
      <c r="JL48" s="60"/>
      <c r="JM48" s="60"/>
      <c r="JN48" s="60"/>
      <c r="JO48" s="60"/>
      <c r="JP48" s="60"/>
      <c r="JQ48" s="60"/>
      <c r="JR48" s="60"/>
      <c r="JS48" s="60"/>
      <c r="JT48" s="60"/>
      <c r="JU48" s="60"/>
      <c r="JV48" s="60"/>
      <c r="JW48" s="60"/>
      <c r="JX48" s="60"/>
      <c r="JY48" s="60"/>
      <c r="JZ48" s="60"/>
      <c r="KA48" s="60"/>
      <c r="KB48" s="60"/>
      <c r="KC48" s="60"/>
      <c r="KD48" s="60"/>
      <c r="KE48" s="60"/>
      <c r="KF48" s="60"/>
      <c r="KG48" s="60"/>
      <c r="KH48" s="60"/>
      <c r="KI48" s="60"/>
      <c r="KJ48" s="60"/>
      <c r="KK48" s="60"/>
      <c r="KL48" s="60"/>
      <c r="KM48" s="60"/>
      <c r="KN48" s="60"/>
      <c r="KO48" s="60"/>
      <c r="KP48" s="60"/>
      <c r="KQ48" s="60"/>
      <c r="KR48" s="60"/>
      <c r="KS48" s="60"/>
      <c r="KT48" s="60"/>
      <c r="KU48" s="60"/>
      <c r="KV48" s="60"/>
      <c r="KW48" s="60"/>
      <c r="KX48" s="60"/>
      <c r="KY48" s="60"/>
      <c r="KZ48" s="60"/>
      <c r="LA48" s="60"/>
      <c r="LB48" s="60"/>
      <c r="LC48" s="60"/>
      <c r="LD48" s="60"/>
      <c r="LE48" s="60"/>
      <c r="LF48" s="60"/>
      <c r="LG48" s="60"/>
      <c r="LH48" s="60"/>
    </row>
    <row r="49" spans="1:320" s="17" customFormat="1" x14ac:dyDescent="0.25">
      <c r="A49" s="147"/>
      <c r="E49" s="156"/>
      <c r="F49" s="156"/>
      <c r="G49" s="156"/>
      <c r="H49" s="156"/>
      <c r="I49" s="156"/>
      <c r="J49" s="156"/>
      <c r="K49" s="156"/>
      <c r="L49" s="156"/>
      <c r="M49" s="156"/>
      <c r="N49" s="156"/>
      <c r="O49" s="156"/>
      <c r="P49" s="156"/>
      <c r="Q49" s="156"/>
      <c r="R49" s="156"/>
      <c r="S49" s="156"/>
      <c r="AC49" s="60"/>
      <c r="AD49" s="60"/>
      <c r="AE49" s="60"/>
      <c r="AF49" s="60"/>
      <c r="AG49" s="60"/>
      <c r="AH49" s="60"/>
      <c r="AI49" s="60"/>
      <c r="AJ49" s="60"/>
      <c r="AK49" s="60"/>
      <c r="AL49" s="60"/>
      <c r="AM49" s="60"/>
      <c r="AN49" s="60"/>
      <c r="AO49" s="60"/>
      <c r="AP49" s="60"/>
      <c r="AQ49" s="60"/>
      <c r="AR49" s="60"/>
      <c r="AS49" s="60"/>
      <c r="AT49" s="60"/>
      <c r="AU49" s="60"/>
      <c r="AV49" s="60"/>
      <c r="AW49" s="60"/>
      <c r="AX49" s="60"/>
      <c r="AY49" s="60"/>
      <c r="AZ49" s="60"/>
      <c r="BA49" s="60"/>
      <c r="BB49" s="60"/>
      <c r="BC49" s="60"/>
      <c r="BD49" s="60"/>
      <c r="BE49" s="60"/>
      <c r="BF49" s="60"/>
      <c r="BG49" s="60"/>
      <c r="BH49" s="60"/>
      <c r="BI49" s="60"/>
      <c r="BJ49" s="60"/>
      <c r="BK49" s="60"/>
      <c r="BL49" s="60"/>
      <c r="BM49" s="60"/>
      <c r="BN49" s="60"/>
      <c r="BO49" s="60"/>
      <c r="BP49" s="60"/>
      <c r="BQ49" s="60"/>
      <c r="BR49" s="60"/>
      <c r="BS49" s="60"/>
      <c r="BT49" s="60"/>
      <c r="BU49" s="60"/>
      <c r="BV49" s="60"/>
      <c r="BW49" s="60"/>
      <c r="BX49" s="60"/>
      <c r="BY49" s="60"/>
      <c r="BZ49" s="60"/>
      <c r="CA49" s="60"/>
      <c r="CB49" s="60"/>
      <c r="CC49" s="60"/>
      <c r="CD49" s="60"/>
      <c r="CE49" s="60"/>
      <c r="CF49" s="60"/>
      <c r="CG49" s="60"/>
      <c r="CH49" s="60"/>
      <c r="CI49" s="60"/>
      <c r="CJ49" s="60"/>
      <c r="CK49" s="60"/>
      <c r="CL49" s="60"/>
      <c r="CM49" s="60"/>
      <c r="CN49" s="60"/>
      <c r="CO49" s="60"/>
      <c r="CP49" s="60"/>
      <c r="CQ49" s="60"/>
      <c r="CR49" s="60"/>
      <c r="CS49" s="60"/>
      <c r="CT49" s="60"/>
      <c r="CU49" s="60"/>
      <c r="CV49" s="60"/>
      <c r="CW49" s="60"/>
      <c r="CX49" s="60"/>
      <c r="CY49" s="60"/>
      <c r="CZ49" s="60"/>
      <c r="DA49" s="60"/>
      <c r="DB49" s="60"/>
      <c r="DC49" s="60"/>
      <c r="DD49" s="60"/>
      <c r="DE49" s="60"/>
      <c r="DF49" s="60"/>
      <c r="DG49" s="60"/>
      <c r="DH49" s="60"/>
      <c r="DI49" s="60"/>
      <c r="DJ49" s="60"/>
      <c r="DK49" s="60"/>
      <c r="DL49" s="60"/>
      <c r="DM49" s="60"/>
      <c r="DN49" s="60"/>
      <c r="DO49" s="60"/>
      <c r="DP49" s="60"/>
      <c r="DQ49" s="60"/>
      <c r="DR49" s="60"/>
      <c r="DS49" s="60"/>
      <c r="DT49" s="60"/>
      <c r="DU49" s="60"/>
      <c r="DV49" s="60"/>
      <c r="DW49" s="60"/>
      <c r="DX49" s="60"/>
      <c r="DY49" s="60"/>
      <c r="DZ49" s="60"/>
      <c r="EA49" s="60"/>
      <c r="EB49" s="60"/>
      <c r="EC49" s="60"/>
      <c r="ED49" s="60"/>
      <c r="EE49" s="60"/>
      <c r="EF49" s="60"/>
      <c r="EG49" s="60"/>
      <c r="EH49" s="60"/>
      <c r="EI49" s="60"/>
      <c r="EJ49" s="60"/>
      <c r="EK49" s="60"/>
      <c r="EL49" s="60"/>
      <c r="EM49" s="60"/>
      <c r="EN49" s="60"/>
      <c r="EO49" s="60"/>
      <c r="EP49" s="60"/>
      <c r="EQ49" s="60"/>
      <c r="ER49" s="60"/>
      <c r="ES49" s="60"/>
      <c r="ET49" s="60"/>
      <c r="EU49" s="60"/>
      <c r="EV49" s="60"/>
      <c r="EW49" s="60"/>
      <c r="EX49" s="60"/>
      <c r="EY49" s="60"/>
      <c r="EZ49" s="60"/>
      <c r="FA49" s="60"/>
      <c r="FB49" s="60"/>
      <c r="FC49" s="60"/>
      <c r="FD49" s="60"/>
      <c r="FE49" s="60"/>
      <c r="FF49" s="60"/>
      <c r="FG49" s="60"/>
      <c r="FH49" s="60"/>
      <c r="FI49" s="60"/>
      <c r="FJ49" s="60"/>
      <c r="FK49" s="60"/>
      <c r="FL49" s="60"/>
      <c r="FM49" s="60"/>
      <c r="FN49" s="60"/>
      <c r="FO49" s="60"/>
      <c r="FP49" s="60"/>
      <c r="FQ49" s="60"/>
      <c r="FR49" s="60"/>
      <c r="FS49" s="60"/>
      <c r="FT49" s="60"/>
      <c r="FU49" s="60"/>
      <c r="FV49" s="60"/>
      <c r="FW49" s="60"/>
      <c r="FX49" s="60"/>
      <c r="FY49" s="60"/>
      <c r="FZ49" s="60"/>
      <c r="GA49" s="60"/>
      <c r="GB49" s="60"/>
      <c r="GC49" s="60"/>
      <c r="GD49" s="60"/>
      <c r="GE49" s="60"/>
      <c r="GF49" s="60"/>
      <c r="GG49" s="60"/>
      <c r="GH49" s="60"/>
      <c r="GI49" s="60"/>
      <c r="GJ49" s="60"/>
      <c r="GK49" s="60"/>
      <c r="GL49" s="60"/>
      <c r="GM49" s="60"/>
      <c r="GN49" s="60"/>
      <c r="GO49" s="60"/>
      <c r="GP49" s="60"/>
      <c r="GQ49" s="60"/>
      <c r="GR49" s="60"/>
      <c r="GS49" s="60"/>
      <c r="GT49" s="60"/>
      <c r="GU49" s="60"/>
      <c r="GV49" s="60"/>
      <c r="GW49" s="60"/>
      <c r="GX49" s="60"/>
      <c r="GY49" s="60"/>
      <c r="GZ49" s="60"/>
      <c r="HA49" s="60"/>
      <c r="HB49" s="60"/>
      <c r="HC49" s="60"/>
      <c r="HD49" s="60"/>
      <c r="HE49" s="60"/>
      <c r="HF49" s="60"/>
      <c r="HG49" s="60"/>
      <c r="HH49" s="60"/>
      <c r="HI49" s="60"/>
      <c r="HJ49" s="60"/>
      <c r="HK49" s="60"/>
      <c r="HL49" s="60"/>
      <c r="HM49" s="60"/>
      <c r="HN49" s="60"/>
      <c r="HO49" s="60"/>
      <c r="HP49" s="60"/>
      <c r="HQ49" s="60"/>
      <c r="HR49" s="60"/>
      <c r="HS49" s="60"/>
      <c r="HT49" s="60"/>
      <c r="HU49" s="60"/>
      <c r="HV49" s="60"/>
      <c r="HW49" s="60"/>
      <c r="HX49" s="60"/>
      <c r="HY49" s="60"/>
      <c r="HZ49" s="60"/>
      <c r="IA49" s="60"/>
      <c r="IB49" s="60"/>
      <c r="IC49" s="60"/>
      <c r="ID49" s="60"/>
      <c r="IE49" s="60"/>
      <c r="IF49" s="60"/>
      <c r="IG49" s="60"/>
      <c r="IH49" s="60"/>
      <c r="II49" s="60"/>
      <c r="IJ49" s="60"/>
      <c r="IK49" s="60"/>
      <c r="IL49" s="60"/>
      <c r="IM49" s="60"/>
      <c r="IN49" s="60"/>
      <c r="IO49" s="60"/>
      <c r="IP49" s="60"/>
      <c r="IQ49" s="60"/>
      <c r="IR49" s="60"/>
      <c r="IS49" s="60"/>
      <c r="IT49" s="60"/>
      <c r="IU49" s="60"/>
      <c r="IV49" s="60"/>
      <c r="IW49" s="60"/>
      <c r="IX49" s="60"/>
      <c r="IY49" s="60"/>
      <c r="IZ49" s="60"/>
      <c r="JA49" s="60"/>
      <c r="JB49" s="60"/>
      <c r="JC49" s="60"/>
      <c r="JD49" s="60"/>
      <c r="JE49" s="60"/>
      <c r="JF49" s="60"/>
      <c r="JG49" s="60"/>
      <c r="JH49" s="60"/>
      <c r="JI49" s="60"/>
      <c r="JJ49" s="60"/>
      <c r="JK49" s="60"/>
      <c r="JL49" s="60"/>
      <c r="JM49" s="60"/>
      <c r="JN49" s="60"/>
      <c r="JO49" s="60"/>
      <c r="JP49" s="60"/>
      <c r="JQ49" s="60"/>
      <c r="JR49" s="60"/>
      <c r="JS49" s="60"/>
      <c r="JT49" s="60"/>
      <c r="JU49" s="60"/>
      <c r="JV49" s="60"/>
      <c r="JW49" s="60"/>
      <c r="JX49" s="60"/>
      <c r="JY49" s="60"/>
      <c r="JZ49" s="60"/>
      <c r="KA49" s="60"/>
      <c r="KB49" s="60"/>
      <c r="KC49" s="60"/>
      <c r="KD49" s="60"/>
      <c r="KE49" s="60"/>
      <c r="KF49" s="60"/>
      <c r="KG49" s="60"/>
      <c r="KH49" s="60"/>
      <c r="KI49" s="60"/>
      <c r="KJ49" s="60"/>
      <c r="KK49" s="60"/>
      <c r="KL49" s="60"/>
      <c r="KM49" s="60"/>
      <c r="KN49" s="60"/>
      <c r="KO49" s="60"/>
      <c r="KP49" s="60"/>
      <c r="KQ49" s="60"/>
      <c r="KR49" s="60"/>
      <c r="KS49" s="60"/>
      <c r="KT49" s="60"/>
      <c r="KU49" s="60"/>
      <c r="KV49" s="60"/>
      <c r="KW49" s="60"/>
      <c r="KX49" s="60"/>
      <c r="KY49" s="60"/>
      <c r="KZ49" s="60"/>
      <c r="LA49" s="60"/>
      <c r="LB49" s="60"/>
      <c r="LC49" s="60"/>
      <c r="LD49" s="60"/>
      <c r="LE49" s="60"/>
      <c r="LF49" s="60"/>
      <c r="LG49" s="60"/>
      <c r="LH49" s="60"/>
    </row>
    <row r="50" spans="1:320" s="17" customFormat="1" x14ac:dyDescent="0.25">
      <c r="A50" s="147"/>
      <c r="E50" s="156"/>
      <c r="F50" s="156"/>
      <c r="G50" s="156"/>
      <c r="H50" s="156"/>
      <c r="I50" s="156"/>
      <c r="J50" s="156"/>
      <c r="K50" s="156"/>
      <c r="L50" s="156"/>
      <c r="M50" s="156"/>
      <c r="N50" s="156"/>
      <c r="O50" s="156"/>
      <c r="P50" s="156"/>
      <c r="Q50" s="156"/>
      <c r="R50" s="156"/>
      <c r="S50" s="156"/>
      <c r="AC50" s="60"/>
      <c r="AD50" s="60"/>
      <c r="AE50" s="60"/>
      <c r="AF50" s="60"/>
      <c r="AG50" s="60"/>
      <c r="AH50" s="60"/>
      <c r="AI50" s="60"/>
      <c r="AJ50" s="60"/>
      <c r="AK50" s="60"/>
      <c r="AL50" s="60"/>
      <c r="AM50" s="60"/>
      <c r="AN50" s="60"/>
      <c r="AO50" s="60"/>
      <c r="AP50" s="60"/>
      <c r="AQ50" s="60"/>
      <c r="AR50" s="60"/>
      <c r="AS50" s="60"/>
      <c r="AT50" s="60"/>
      <c r="AU50" s="60"/>
      <c r="AV50" s="60"/>
      <c r="AW50" s="60"/>
      <c r="AX50" s="60"/>
      <c r="AY50" s="60"/>
      <c r="AZ50" s="60"/>
      <c r="BA50" s="60"/>
      <c r="BB50" s="60"/>
      <c r="BC50" s="60"/>
      <c r="BD50" s="60"/>
      <c r="BE50" s="60"/>
      <c r="BF50" s="60"/>
      <c r="BG50" s="60"/>
      <c r="BH50" s="60"/>
      <c r="BI50" s="60"/>
      <c r="BJ50" s="60"/>
      <c r="BK50" s="60"/>
      <c r="BL50" s="60"/>
      <c r="BM50" s="60"/>
      <c r="BN50" s="60"/>
      <c r="BO50" s="60"/>
      <c r="BP50" s="60"/>
      <c r="BQ50" s="60"/>
      <c r="BR50" s="60"/>
      <c r="BS50" s="60"/>
      <c r="BT50" s="60"/>
      <c r="BU50" s="60"/>
      <c r="BV50" s="60"/>
      <c r="BW50" s="60"/>
      <c r="BX50" s="60"/>
      <c r="BY50" s="60"/>
      <c r="BZ50" s="60"/>
      <c r="CA50" s="60"/>
      <c r="CB50" s="60"/>
      <c r="CC50" s="60"/>
      <c r="CD50" s="60"/>
      <c r="CE50" s="60"/>
      <c r="CF50" s="60"/>
      <c r="CG50" s="60"/>
      <c r="CH50" s="60"/>
      <c r="CI50" s="60"/>
      <c r="CJ50" s="60"/>
      <c r="CK50" s="60"/>
      <c r="CL50" s="60"/>
      <c r="CM50" s="60"/>
      <c r="CN50" s="60"/>
      <c r="CO50" s="60"/>
      <c r="CP50" s="60"/>
      <c r="CQ50" s="60"/>
      <c r="CR50" s="60"/>
      <c r="CS50" s="60"/>
      <c r="CT50" s="60"/>
      <c r="CU50" s="60"/>
      <c r="CV50" s="60"/>
      <c r="CW50" s="60"/>
      <c r="CX50" s="60"/>
      <c r="CY50" s="60"/>
      <c r="CZ50" s="60"/>
      <c r="DA50" s="60"/>
      <c r="DB50" s="60"/>
      <c r="DC50" s="60"/>
      <c r="DD50" s="60"/>
      <c r="DE50" s="60"/>
      <c r="DF50" s="60"/>
      <c r="DG50" s="60"/>
      <c r="DH50" s="60"/>
      <c r="DI50" s="60"/>
      <c r="DJ50" s="60"/>
      <c r="DK50" s="60"/>
      <c r="DL50" s="60"/>
      <c r="DM50" s="60"/>
      <c r="DN50" s="60"/>
      <c r="DO50" s="60"/>
      <c r="DP50" s="60"/>
      <c r="DQ50" s="60"/>
      <c r="DR50" s="60"/>
      <c r="DS50" s="60"/>
      <c r="DT50" s="60"/>
      <c r="DU50" s="60"/>
      <c r="DV50" s="60"/>
      <c r="DW50" s="60"/>
      <c r="DX50" s="60"/>
      <c r="DY50" s="60"/>
      <c r="DZ50" s="60"/>
      <c r="EA50" s="60"/>
      <c r="EB50" s="60"/>
      <c r="EC50" s="60"/>
      <c r="ED50" s="60"/>
      <c r="EE50" s="60"/>
      <c r="EF50" s="60"/>
      <c r="EG50" s="60"/>
      <c r="EH50" s="60"/>
      <c r="EI50" s="60"/>
      <c r="EJ50" s="60"/>
      <c r="EK50" s="60"/>
      <c r="EL50" s="60"/>
      <c r="EM50" s="60"/>
      <c r="EN50" s="60"/>
      <c r="EO50" s="60"/>
      <c r="EP50" s="60"/>
      <c r="EQ50" s="60"/>
      <c r="ER50" s="60"/>
      <c r="ES50" s="60"/>
      <c r="ET50" s="60"/>
      <c r="EU50" s="60"/>
      <c r="EV50" s="60"/>
      <c r="EW50" s="60"/>
      <c r="EX50" s="60"/>
      <c r="EY50" s="60"/>
      <c r="EZ50" s="60"/>
      <c r="FA50" s="60"/>
      <c r="FB50" s="60"/>
      <c r="FC50" s="60"/>
      <c r="FD50" s="60"/>
      <c r="FE50" s="60"/>
      <c r="FF50" s="60"/>
      <c r="FG50" s="60"/>
      <c r="FH50" s="60"/>
      <c r="FI50" s="60"/>
      <c r="FJ50" s="60"/>
      <c r="FK50" s="60"/>
      <c r="FL50" s="60"/>
      <c r="FM50" s="60"/>
      <c r="FN50" s="60"/>
      <c r="FO50" s="60"/>
      <c r="FP50" s="60"/>
      <c r="FQ50" s="60"/>
      <c r="FR50" s="60"/>
      <c r="FS50" s="60"/>
      <c r="FT50" s="60"/>
      <c r="FU50" s="60"/>
      <c r="FV50" s="60"/>
      <c r="FW50" s="60"/>
      <c r="FX50" s="60"/>
      <c r="FY50" s="60"/>
      <c r="FZ50" s="60"/>
      <c r="GA50" s="60"/>
      <c r="GB50" s="60"/>
      <c r="GC50" s="60"/>
      <c r="GD50" s="60"/>
      <c r="GE50" s="60"/>
      <c r="GF50" s="60"/>
      <c r="GG50" s="60"/>
      <c r="GH50" s="60"/>
      <c r="GI50" s="60"/>
      <c r="GJ50" s="60"/>
      <c r="GK50" s="60"/>
      <c r="GL50" s="60"/>
      <c r="GM50" s="60"/>
      <c r="GN50" s="60"/>
      <c r="GO50" s="60"/>
      <c r="GP50" s="60"/>
      <c r="GQ50" s="60"/>
      <c r="GR50" s="60"/>
      <c r="GS50" s="60"/>
      <c r="GT50" s="60"/>
      <c r="GU50" s="60"/>
      <c r="GV50" s="60"/>
      <c r="GW50" s="60"/>
      <c r="GX50" s="60"/>
      <c r="GY50" s="60"/>
      <c r="GZ50" s="60"/>
      <c r="HA50" s="60"/>
      <c r="HB50" s="60"/>
      <c r="HC50" s="60"/>
      <c r="HD50" s="60"/>
      <c r="HE50" s="60"/>
      <c r="HF50" s="60"/>
      <c r="HG50" s="60"/>
      <c r="HH50" s="60"/>
      <c r="HI50" s="60"/>
      <c r="HJ50" s="60"/>
      <c r="HK50" s="60"/>
      <c r="HL50" s="60"/>
      <c r="HM50" s="60"/>
      <c r="HN50" s="60"/>
      <c r="HO50" s="60"/>
      <c r="HP50" s="60"/>
      <c r="HQ50" s="60"/>
      <c r="HR50" s="60"/>
      <c r="HS50" s="60"/>
      <c r="HT50" s="60"/>
      <c r="HU50" s="60"/>
      <c r="HV50" s="60"/>
      <c r="HW50" s="60"/>
      <c r="HX50" s="60"/>
      <c r="HY50" s="60"/>
      <c r="HZ50" s="60"/>
      <c r="IA50" s="60"/>
      <c r="IB50" s="60"/>
      <c r="IC50" s="60"/>
      <c r="ID50" s="60"/>
      <c r="IE50" s="60"/>
      <c r="IF50" s="60"/>
      <c r="IG50" s="60"/>
      <c r="IH50" s="60"/>
      <c r="II50" s="60"/>
      <c r="IJ50" s="60"/>
      <c r="IK50" s="60"/>
      <c r="IL50" s="60"/>
      <c r="IM50" s="60"/>
      <c r="IN50" s="60"/>
      <c r="IO50" s="60"/>
      <c r="IP50" s="60"/>
      <c r="IQ50" s="60"/>
      <c r="IR50" s="60"/>
      <c r="IS50" s="60"/>
      <c r="IT50" s="60"/>
      <c r="IU50" s="60"/>
      <c r="IV50" s="60"/>
      <c r="IW50" s="60"/>
      <c r="IX50" s="60"/>
      <c r="IY50" s="60"/>
      <c r="IZ50" s="60"/>
      <c r="JA50" s="60"/>
      <c r="JB50" s="60"/>
      <c r="JC50" s="60"/>
      <c r="JD50" s="60"/>
      <c r="JE50" s="60"/>
      <c r="JF50" s="60"/>
      <c r="JG50" s="60"/>
      <c r="JH50" s="60"/>
      <c r="JI50" s="60"/>
      <c r="JJ50" s="60"/>
      <c r="JK50" s="60"/>
      <c r="JL50" s="60"/>
      <c r="JM50" s="60"/>
      <c r="JN50" s="60"/>
      <c r="JO50" s="60"/>
      <c r="JP50" s="60"/>
      <c r="JQ50" s="60"/>
      <c r="JR50" s="60"/>
      <c r="JS50" s="60"/>
      <c r="JT50" s="60"/>
      <c r="JU50" s="60"/>
      <c r="JV50" s="60"/>
      <c r="JW50" s="60"/>
      <c r="JX50" s="60"/>
      <c r="JY50" s="60"/>
      <c r="JZ50" s="60"/>
      <c r="KA50" s="60"/>
      <c r="KB50" s="60"/>
      <c r="KC50" s="60"/>
      <c r="KD50" s="60"/>
      <c r="KE50" s="60"/>
      <c r="KF50" s="60"/>
      <c r="KG50" s="60"/>
      <c r="KH50" s="60"/>
      <c r="KI50" s="60"/>
      <c r="KJ50" s="60"/>
      <c r="KK50" s="60"/>
      <c r="KL50" s="60"/>
      <c r="KM50" s="60"/>
      <c r="KN50" s="60"/>
      <c r="KO50" s="60"/>
      <c r="KP50" s="60"/>
      <c r="KQ50" s="60"/>
      <c r="KR50" s="60"/>
      <c r="KS50" s="60"/>
      <c r="KT50" s="60"/>
      <c r="KU50" s="60"/>
      <c r="KV50" s="60"/>
      <c r="KW50" s="60"/>
      <c r="KX50" s="60"/>
      <c r="KY50" s="60"/>
      <c r="KZ50" s="60"/>
      <c r="LA50" s="60"/>
      <c r="LB50" s="60"/>
      <c r="LC50" s="60"/>
      <c r="LD50" s="60"/>
      <c r="LE50" s="60"/>
      <c r="LF50" s="60"/>
      <c r="LG50" s="60"/>
      <c r="LH50" s="60"/>
    </row>
    <row r="51" spans="1:320" s="17" customFormat="1" x14ac:dyDescent="0.25">
      <c r="A51" s="147"/>
      <c r="E51" s="156"/>
      <c r="F51" s="156"/>
      <c r="G51" s="156"/>
      <c r="H51" s="156"/>
      <c r="I51" s="156"/>
      <c r="J51" s="156"/>
      <c r="K51" s="156"/>
      <c r="L51" s="156"/>
      <c r="M51" s="156"/>
      <c r="N51" s="156"/>
      <c r="O51" s="156"/>
      <c r="P51" s="156"/>
      <c r="Q51" s="156"/>
      <c r="R51" s="156"/>
      <c r="S51" s="156"/>
      <c r="AC51" s="60"/>
      <c r="AD51" s="60"/>
      <c r="AE51" s="60"/>
      <c r="AF51" s="60"/>
      <c r="AG51" s="60"/>
      <c r="AH51" s="60"/>
      <c r="AI51" s="60"/>
      <c r="AJ51" s="60"/>
      <c r="AK51" s="60"/>
      <c r="AL51" s="60"/>
      <c r="AM51" s="60"/>
      <c r="AN51" s="60"/>
      <c r="AO51" s="60"/>
      <c r="AP51" s="60"/>
      <c r="AQ51" s="60"/>
      <c r="AR51" s="60"/>
      <c r="AS51" s="60"/>
      <c r="AT51" s="60"/>
      <c r="AU51" s="60"/>
      <c r="AV51" s="60"/>
      <c r="AW51" s="60"/>
      <c r="AX51" s="60"/>
      <c r="AY51" s="60"/>
      <c r="AZ51" s="60"/>
      <c r="BA51" s="60"/>
      <c r="BB51" s="60"/>
      <c r="BC51" s="60"/>
      <c r="BD51" s="60"/>
      <c r="BE51" s="60"/>
      <c r="BF51" s="60"/>
      <c r="BG51" s="60"/>
      <c r="BH51" s="60"/>
      <c r="BI51" s="60"/>
      <c r="BJ51" s="60"/>
      <c r="BK51" s="60"/>
      <c r="BL51" s="60"/>
      <c r="BM51" s="60"/>
      <c r="BN51" s="60"/>
      <c r="BO51" s="60"/>
      <c r="BP51" s="60"/>
      <c r="BQ51" s="60"/>
      <c r="BR51" s="60"/>
      <c r="BS51" s="60"/>
      <c r="BT51" s="60"/>
      <c r="BU51" s="60"/>
      <c r="BV51" s="60"/>
      <c r="BW51" s="60"/>
      <c r="BX51" s="60"/>
      <c r="BY51" s="60"/>
      <c r="BZ51" s="60"/>
      <c r="CA51" s="60"/>
      <c r="CB51" s="60"/>
      <c r="CC51" s="60"/>
      <c r="CD51" s="60"/>
      <c r="CE51" s="60"/>
      <c r="CF51" s="60"/>
      <c r="CG51" s="60"/>
      <c r="CH51" s="60"/>
      <c r="CI51" s="60"/>
      <c r="CJ51" s="60"/>
      <c r="CK51" s="60"/>
      <c r="CL51" s="60"/>
      <c r="CM51" s="60"/>
      <c r="CN51" s="60"/>
      <c r="CO51" s="60"/>
      <c r="CP51" s="60"/>
      <c r="CQ51" s="60"/>
      <c r="CR51" s="60"/>
      <c r="CS51" s="60"/>
      <c r="CT51" s="60"/>
      <c r="CU51" s="60"/>
      <c r="CV51" s="60"/>
      <c r="CW51" s="60"/>
      <c r="CX51" s="60"/>
      <c r="CY51" s="60"/>
      <c r="CZ51" s="60"/>
      <c r="DA51" s="60"/>
      <c r="DB51" s="60"/>
      <c r="DC51" s="60"/>
      <c r="DD51" s="60"/>
      <c r="DE51" s="60"/>
      <c r="DF51" s="60"/>
      <c r="DG51" s="60"/>
      <c r="DH51" s="60"/>
      <c r="DI51" s="60"/>
      <c r="DJ51" s="60"/>
      <c r="DK51" s="60"/>
      <c r="DL51" s="60"/>
      <c r="DM51" s="60"/>
      <c r="DN51" s="60"/>
      <c r="DO51" s="60"/>
      <c r="DP51" s="60"/>
      <c r="DQ51" s="60"/>
      <c r="DR51" s="60"/>
      <c r="DS51" s="60"/>
      <c r="DT51" s="60"/>
      <c r="DU51" s="60"/>
      <c r="DV51" s="60"/>
      <c r="DW51" s="60"/>
      <c r="DX51" s="60"/>
      <c r="DY51" s="60"/>
      <c r="DZ51" s="60"/>
      <c r="EA51" s="60"/>
      <c r="EB51" s="60"/>
      <c r="EC51" s="60"/>
      <c r="ED51" s="60"/>
      <c r="EE51" s="60"/>
      <c r="EF51" s="60"/>
      <c r="EG51" s="60"/>
      <c r="EH51" s="60"/>
      <c r="EI51" s="60"/>
      <c r="EJ51" s="60"/>
      <c r="EK51" s="60"/>
      <c r="EL51" s="60"/>
      <c r="EM51" s="60"/>
      <c r="EN51" s="60"/>
      <c r="EO51" s="60"/>
      <c r="EP51" s="60"/>
      <c r="EQ51" s="60"/>
      <c r="ER51" s="60"/>
      <c r="ES51" s="60"/>
      <c r="ET51" s="60"/>
      <c r="EU51" s="60"/>
      <c r="EV51" s="60"/>
      <c r="EW51" s="60"/>
      <c r="EX51" s="60"/>
      <c r="EY51" s="60"/>
      <c r="EZ51" s="60"/>
      <c r="FA51" s="60"/>
      <c r="FB51" s="60"/>
      <c r="FC51" s="60"/>
      <c r="FD51" s="60"/>
      <c r="FE51" s="60"/>
      <c r="FF51" s="60"/>
      <c r="FG51" s="60"/>
      <c r="FH51" s="60"/>
      <c r="FI51" s="60"/>
      <c r="FJ51" s="60"/>
      <c r="FK51" s="60"/>
      <c r="FL51" s="60"/>
      <c r="FM51" s="60"/>
      <c r="FN51" s="60"/>
      <c r="FO51" s="60"/>
      <c r="FP51" s="60"/>
      <c r="FQ51" s="60"/>
      <c r="FR51" s="60"/>
      <c r="FS51" s="60"/>
      <c r="FT51" s="60"/>
      <c r="FU51" s="60"/>
      <c r="FV51" s="60"/>
      <c r="FW51" s="60"/>
      <c r="FX51" s="60"/>
      <c r="FY51" s="60"/>
      <c r="FZ51" s="60"/>
      <c r="GA51" s="60"/>
      <c r="GB51" s="60"/>
      <c r="GC51" s="60"/>
      <c r="GD51" s="60"/>
      <c r="GE51" s="60"/>
      <c r="GF51" s="60"/>
      <c r="GG51" s="60"/>
      <c r="GH51" s="60"/>
      <c r="GI51" s="60"/>
      <c r="GJ51" s="60"/>
      <c r="GK51" s="60"/>
      <c r="GL51" s="60"/>
      <c r="GM51" s="60"/>
      <c r="GN51" s="60"/>
      <c r="GO51" s="60"/>
      <c r="GP51" s="60"/>
      <c r="GQ51" s="60"/>
      <c r="GR51" s="60"/>
      <c r="GS51" s="60"/>
      <c r="GT51" s="60"/>
      <c r="GU51" s="60"/>
      <c r="GV51" s="60"/>
      <c r="GW51" s="60"/>
      <c r="GX51" s="60"/>
      <c r="GY51" s="60"/>
      <c r="GZ51" s="60"/>
      <c r="HA51" s="60"/>
      <c r="HB51" s="60"/>
      <c r="HC51" s="60"/>
      <c r="HD51" s="60"/>
      <c r="HE51" s="60"/>
      <c r="HF51" s="60"/>
      <c r="HG51" s="60"/>
      <c r="HH51" s="60"/>
      <c r="HI51" s="60"/>
      <c r="HJ51" s="60"/>
      <c r="HK51" s="60"/>
      <c r="HL51" s="60"/>
      <c r="HM51" s="60"/>
      <c r="HN51" s="60"/>
      <c r="HO51" s="60"/>
      <c r="HP51" s="60"/>
      <c r="HQ51" s="60"/>
      <c r="HR51" s="60"/>
      <c r="HS51" s="60"/>
      <c r="HT51" s="60"/>
      <c r="HU51" s="60"/>
      <c r="HV51" s="60"/>
      <c r="HW51" s="60"/>
      <c r="HX51" s="60"/>
      <c r="HY51" s="60"/>
      <c r="HZ51" s="60"/>
      <c r="IA51" s="60"/>
      <c r="IB51" s="60"/>
      <c r="IC51" s="60"/>
      <c r="ID51" s="60"/>
      <c r="IE51" s="60"/>
      <c r="IF51" s="60"/>
      <c r="IG51" s="60"/>
      <c r="IH51" s="60"/>
      <c r="II51" s="60"/>
      <c r="IJ51" s="60"/>
      <c r="IK51" s="60"/>
      <c r="IL51" s="60"/>
      <c r="IM51" s="60"/>
      <c r="IN51" s="60"/>
      <c r="IO51" s="60"/>
      <c r="IP51" s="60"/>
      <c r="IQ51" s="60"/>
      <c r="IR51" s="60"/>
      <c r="IS51" s="60"/>
      <c r="IT51" s="60"/>
      <c r="IU51" s="60"/>
      <c r="IV51" s="60"/>
      <c r="IW51" s="60"/>
      <c r="IX51" s="60"/>
      <c r="IY51" s="60"/>
      <c r="IZ51" s="60"/>
      <c r="JA51" s="60"/>
      <c r="JB51" s="60"/>
      <c r="JC51" s="60"/>
      <c r="JD51" s="60"/>
      <c r="JE51" s="60"/>
      <c r="JF51" s="60"/>
      <c r="JG51" s="60"/>
      <c r="JH51" s="60"/>
      <c r="JI51" s="60"/>
      <c r="JJ51" s="60"/>
      <c r="JK51" s="60"/>
      <c r="JL51" s="60"/>
      <c r="JM51" s="60"/>
      <c r="JN51" s="60"/>
      <c r="JO51" s="60"/>
      <c r="JP51" s="60"/>
      <c r="JQ51" s="60"/>
      <c r="JR51" s="60"/>
      <c r="JS51" s="60"/>
      <c r="JT51" s="60"/>
      <c r="JU51" s="60"/>
      <c r="JV51" s="60"/>
      <c r="JW51" s="60"/>
      <c r="JX51" s="60"/>
      <c r="JY51" s="60"/>
      <c r="JZ51" s="60"/>
      <c r="KA51" s="60"/>
      <c r="KB51" s="60"/>
      <c r="KC51" s="60"/>
      <c r="KD51" s="60"/>
      <c r="KE51" s="60"/>
      <c r="KF51" s="60"/>
      <c r="KG51" s="60"/>
      <c r="KH51" s="60"/>
      <c r="KI51" s="60"/>
      <c r="KJ51" s="60"/>
      <c r="KK51" s="60"/>
      <c r="KL51" s="60"/>
      <c r="KM51" s="60"/>
      <c r="KN51" s="60"/>
      <c r="KO51" s="60"/>
      <c r="KP51" s="60"/>
      <c r="KQ51" s="60"/>
      <c r="KR51" s="60"/>
      <c r="KS51" s="60"/>
      <c r="KT51" s="60"/>
      <c r="KU51" s="60"/>
      <c r="KV51" s="60"/>
      <c r="KW51" s="60"/>
      <c r="KX51" s="60"/>
      <c r="KY51" s="60"/>
      <c r="KZ51" s="60"/>
      <c r="LA51" s="60"/>
      <c r="LB51" s="60"/>
      <c r="LC51" s="60"/>
      <c r="LD51" s="60"/>
      <c r="LE51" s="60"/>
      <c r="LF51" s="60"/>
      <c r="LG51" s="60"/>
      <c r="LH51" s="60"/>
    </row>
    <row r="52" spans="1:320" s="17" customFormat="1" x14ac:dyDescent="0.25">
      <c r="A52" s="147"/>
      <c r="E52" s="156"/>
      <c r="F52" s="156"/>
      <c r="G52" s="156"/>
      <c r="H52" s="156"/>
      <c r="I52" s="156"/>
      <c r="J52" s="156"/>
      <c r="K52" s="156"/>
      <c r="L52" s="156"/>
      <c r="M52" s="156"/>
      <c r="N52" s="156"/>
      <c r="O52" s="156"/>
      <c r="P52" s="156"/>
      <c r="Q52" s="156"/>
      <c r="R52" s="156"/>
      <c r="S52" s="156"/>
      <c r="AC52" s="60"/>
      <c r="AD52" s="60"/>
      <c r="AE52" s="60"/>
      <c r="AF52" s="60"/>
      <c r="AG52" s="60"/>
      <c r="AH52" s="60"/>
      <c r="AI52" s="60"/>
      <c r="AJ52" s="60"/>
      <c r="AK52" s="60"/>
      <c r="AL52" s="60"/>
      <c r="AM52" s="60"/>
      <c r="AN52" s="60"/>
      <c r="AO52" s="60"/>
      <c r="AP52" s="60"/>
      <c r="AQ52" s="60"/>
      <c r="AR52" s="60"/>
      <c r="AS52" s="60"/>
      <c r="AT52" s="60"/>
      <c r="AU52" s="60"/>
      <c r="AV52" s="60"/>
      <c r="AW52" s="60"/>
      <c r="AX52" s="60"/>
      <c r="AY52" s="60"/>
      <c r="AZ52" s="60"/>
      <c r="BA52" s="60"/>
      <c r="BB52" s="60"/>
      <c r="BC52" s="60"/>
      <c r="BD52" s="60"/>
      <c r="BE52" s="60"/>
      <c r="BF52" s="60"/>
      <c r="BG52" s="60"/>
      <c r="BH52" s="60"/>
      <c r="BI52" s="60"/>
      <c r="BJ52" s="60"/>
      <c r="BK52" s="60"/>
      <c r="BL52" s="60"/>
      <c r="BM52" s="60"/>
      <c r="BN52" s="60"/>
      <c r="BO52" s="60"/>
      <c r="BP52" s="60"/>
      <c r="BQ52" s="60"/>
      <c r="BR52" s="60"/>
      <c r="BS52" s="60"/>
      <c r="BT52" s="60"/>
      <c r="BU52" s="60"/>
      <c r="BV52" s="60"/>
      <c r="BW52" s="60"/>
      <c r="BX52" s="60"/>
      <c r="BY52" s="60"/>
      <c r="BZ52" s="60"/>
      <c r="CA52" s="60"/>
      <c r="CB52" s="60"/>
      <c r="CC52" s="60"/>
      <c r="CD52" s="60"/>
      <c r="CE52" s="60"/>
      <c r="CF52" s="60"/>
      <c r="CG52" s="60"/>
      <c r="CH52" s="60"/>
      <c r="CI52" s="60"/>
      <c r="CJ52" s="60"/>
      <c r="CK52" s="60"/>
      <c r="CL52" s="60"/>
      <c r="CM52" s="60"/>
      <c r="CN52" s="60"/>
      <c r="CO52" s="60"/>
      <c r="CP52" s="60"/>
      <c r="CQ52" s="60"/>
      <c r="CR52" s="60"/>
      <c r="CS52" s="60"/>
      <c r="CT52" s="60"/>
      <c r="CU52" s="60"/>
      <c r="CV52" s="60"/>
      <c r="CW52" s="60"/>
      <c r="CX52" s="60"/>
      <c r="CY52" s="60"/>
      <c r="CZ52" s="60"/>
      <c r="DA52" s="60"/>
      <c r="DB52" s="60"/>
      <c r="DC52" s="60"/>
      <c r="DD52" s="60"/>
      <c r="DE52" s="60"/>
      <c r="DF52" s="60"/>
      <c r="DG52" s="60"/>
      <c r="DH52" s="60"/>
      <c r="DI52" s="60"/>
      <c r="DJ52" s="60"/>
      <c r="DK52" s="60"/>
      <c r="DL52" s="60"/>
      <c r="DM52" s="60"/>
      <c r="DN52" s="60"/>
      <c r="DO52" s="60"/>
      <c r="DP52" s="60"/>
      <c r="DQ52" s="60"/>
      <c r="DR52" s="60"/>
      <c r="DS52" s="60"/>
      <c r="DT52" s="60"/>
      <c r="DU52" s="60"/>
      <c r="DV52" s="60"/>
      <c r="DW52" s="60"/>
      <c r="DX52" s="60"/>
      <c r="DY52" s="60"/>
      <c r="DZ52" s="60"/>
      <c r="EA52" s="60"/>
      <c r="EB52" s="60"/>
      <c r="EC52" s="60"/>
      <c r="ED52" s="60"/>
      <c r="EE52" s="60"/>
      <c r="EF52" s="60"/>
      <c r="EG52" s="60"/>
      <c r="EH52" s="60"/>
      <c r="EI52" s="60"/>
      <c r="EJ52" s="60"/>
      <c r="EK52" s="60"/>
      <c r="EL52" s="60"/>
      <c r="EM52" s="60"/>
      <c r="EN52" s="60"/>
      <c r="EO52" s="60"/>
      <c r="EP52" s="60"/>
      <c r="EQ52" s="60"/>
      <c r="ER52" s="60"/>
      <c r="ES52" s="60"/>
      <c r="ET52" s="60"/>
      <c r="EU52" s="60"/>
      <c r="EV52" s="60"/>
      <c r="EW52" s="60"/>
      <c r="EX52" s="60"/>
      <c r="EY52" s="60"/>
      <c r="EZ52" s="60"/>
      <c r="FA52" s="60"/>
      <c r="FB52" s="60"/>
      <c r="FC52" s="60"/>
      <c r="FD52" s="60"/>
      <c r="FE52" s="60"/>
      <c r="FF52" s="60"/>
      <c r="FG52" s="60"/>
      <c r="FH52" s="60"/>
      <c r="FI52" s="60"/>
      <c r="FJ52" s="60"/>
      <c r="FK52" s="60"/>
      <c r="FL52" s="60"/>
      <c r="FM52" s="60"/>
      <c r="FN52" s="60"/>
      <c r="FO52" s="60"/>
      <c r="FP52" s="60"/>
      <c r="FQ52" s="60"/>
      <c r="FR52" s="60"/>
      <c r="FS52" s="60"/>
      <c r="FT52" s="60"/>
      <c r="FU52" s="60"/>
      <c r="FV52" s="60"/>
      <c r="FW52" s="60"/>
      <c r="FX52" s="60"/>
      <c r="FY52" s="60"/>
      <c r="FZ52" s="60"/>
      <c r="GA52" s="60"/>
      <c r="GB52" s="60"/>
      <c r="GC52" s="60"/>
      <c r="GD52" s="60"/>
      <c r="GE52" s="60"/>
      <c r="GF52" s="60"/>
      <c r="GG52" s="60"/>
      <c r="GH52" s="60"/>
      <c r="GI52" s="60"/>
      <c r="GJ52" s="60"/>
      <c r="GK52" s="60"/>
      <c r="GL52" s="60"/>
      <c r="GM52" s="60"/>
      <c r="GN52" s="60"/>
      <c r="GO52" s="60"/>
      <c r="GP52" s="60"/>
      <c r="GQ52" s="60"/>
      <c r="GR52" s="60"/>
      <c r="GS52" s="60"/>
      <c r="GT52" s="60"/>
      <c r="GU52" s="60"/>
      <c r="GV52" s="60"/>
      <c r="GW52" s="60"/>
      <c r="GX52" s="60"/>
      <c r="GY52" s="60"/>
      <c r="GZ52" s="60"/>
      <c r="HA52" s="60"/>
      <c r="HB52" s="60"/>
      <c r="HC52" s="60"/>
      <c r="HD52" s="60"/>
      <c r="HE52" s="60"/>
      <c r="HF52" s="60"/>
      <c r="HG52" s="60"/>
      <c r="HH52" s="60"/>
      <c r="HI52" s="60"/>
      <c r="HJ52" s="60"/>
      <c r="HK52" s="60"/>
      <c r="HL52" s="60"/>
      <c r="HM52" s="60"/>
      <c r="HN52" s="60"/>
      <c r="HO52" s="60"/>
      <c r="HP52" s="60"/>
      <c r="HQ52" s="60"/>
      <c r="HR52" s="60"/>
      <c r="HS52" s="60"/>
      <c r="HT52" s="60"/>
      <c r="HU52" s="60"/>
      <c r="HV52" s="60"/>
      <c r="HW52" s="60"/>
      <c r="HX52" s="60"/>
      <c r="HY52" s="60"/>
      <c r="HZ52" s="60"/>
      <c r="IA52" s="60"/>
      <c r="IB52" s="60"/>
      <c r="IC52" s="60"/>
      <c r="ID52" s="60"/>
      <c r="IE52" s="60"/>
      <c r="IF52" s="60"/>
      <c r="IG52" s="60"/>
      <c r="IH52" s="60"/>
      <c r="II52" s="60"/>
      <c r="IJ52" s="60"/>
      <c r="IK52" s="60"/>
      <c r="IL52" s="60"/>
      <c r="IM52" s="60"/>
      <c r="IN52" s="60"/>
      <c r="IO52" s="60"/>
      <c r="IP52" s="60"/>
      <c r="IQ52" s="60"/>
      <c r="IR52" s="60"/>
      <c r="IS52" s="60"/>
      <c r="IT52" s="60"/>
      <c r="IU52" s="60"/>
      <c r="IV52" s="60"/>
      <c r="IW52" s="60"/>
      <c r="IX52" s="60"/>
      <c r="IY52" s="60"/>
      <c r="IZ52" s="60"/>
      <c r="JA52" s="60"/>
      <c r="JB52" s="60"/>
      <c r="JC52" s="60"/>
      <c r="JD52" s="60"/>
      <c r="JE52" s="60"/>
      <c r="JF52" s="60"/>
      <c r="JG52" s="60"/>
      <c r="JH52" s="60"/>
      <c r="JI52" s="60"/>
      <c r="JJ52" s="60"/>
      <c r="JK52" s="60"/>
      <c r="JL52" s="60"/>
      <c r="JM52" s="60"/>
      <c r="JN52" s="60"/>
      <c r="JO52" s="60"/>
      <c r="JP52" s="60"/>
      <c r="JQ52" s="60"/>
      <c r="JR52" s="60"/>
      <c r="JS52" s="60"/>
      <c r="JT52" s="60"/>
      <c r="JU52" s="60"/>
      <c r="JV52" s="60"/>
      <c r="JW52" s="60"/>
      <c r="JX52" s="60"/>
      <c r="JY52" s="60"/>
      <c r="JZ52" s="60"/>
      <c r="KA52" s="60"/>
      <c r="KB52" s="60"/>
      <c r="KC52" s="60"/>
      <c r="KD52" s="60"/>
      <c r="KE52" s="60"/>
      <c r="KF52" s="60"/>
      <c r="KG52" s="60"/>
      <c r="KH52" s="60"/>
      <c r="KI52" s="60"/>
      <c r="KJ52" s="60"/>
      <c r="KK52" s="60"/>
      <c r="KL52" s="60"/>
      <c r="KM52" s="60"/>
      <c r="KN52" s="60"/>
      <c r="KO52" s="60"/>
      <c r="KP52" s="60"/>
      <c r="KQ52" s="60"/>
      <c r="KR52" s="60"/>
      <c r="KS52" s="60"/>
      <c r="KT52" s="60"/>
      <c r="KU52" s="60"/>
      <c r="KV52" s="60"/>
      <c r="KW52" s="60"/>
      <c r="KX52" s="60"/>
      <c r="KY52" s="60"/>
      <c r="KZ52" s="60"/>
      <c r="LA52" s="60"/>
      <c r="LB52" s="60"/>
      <c r="LC52" s="60"/>
      <c r="LD52" s="60"/>
      <c r="LE52" s="60"/>
      <c r="LF52" s="60"/>
      <c r="LG52" s="60"/>
      <c r="LH52" s="60"/>
    </row>
    <row r="53" spans="1:320" s="17" customFormat="1" x14ac:dyDescent="0.25">
      <c r="A53" s="147"/>
      <c r="E53" s="156"/>
      <c r="F53" s="156"/>
      <c r="G53" s="156"/>
      <c r="H53" s="156"/>
      <c r="I53" s="156"/>
      <c r="J53" s="156"/>
      <c r="K53" s="156"/>
      <c r="L53" s="156"/>
      <c r="M53" s="156"/>
      <c r="N53" s="156"/>
      <c r="O53" s="156"/>
      <c r="P53" s="156"/>
      <c r="Q53" s="156"/>
      <c r="R53" s="156"/>
      <c r="S53" s="156"/>
      <c r="AC53" s="60"/>
      <c r="AD53" s="60"/>
      <c r="AE53" s="60"/>
      <c r="AF53" s="60"/>
      <c r="AG53" s="60"/>
      <c r="AH53" s="60"/>
      <c r="AI53" s="60"/>
      <c r="AJ53" s="60"/>
      <c r="AK53" s="60"/>
      <c r="AL53" s="60"/>
      <c r="AM53" s="60"/>
      <c r="AN53" s="60"/>
      <c r="AO53" s="60"/>
      <c r="AP53" s="60"/>
      <c r="AQ53" s="60"/>
      <c r="AR53" s="60"/>
      <c r="AS53" s="60"/>
      <c r="AT53" s="60"/>
      <c r="AU53" s="60"/>
      <c r="AV53" s="60"/>
      <c r="AW53" s="60"/>
      <c r="AX53" s="60"/>
      <c r="AY53" s="60"/>
      <c r="AZ53" s="60"/>
      <c r="BA53" s="60"/>
      <c r="BB53" s="60"/>
      <c r="BC53" s="60"/>
      <c r="BD53" s="60"/>
      <c r="BE53" s="60"/>
      <c r="BF53" s="60"/>
      <c r="BG53" s="60"/>
      <c r="BH53" s="60"/>
      <c r="BI53" s="60"/>
      <c r="BJ53" s="60"/>
      <c r="BK53" s="60"/>
      <c r="BL53" s="60"/>
      <c r="BM53" s="60"/>
      <c r="BN53" s="60"/>
      <c r="BO53" s="60"/>
      <c r="BP53" s="60"/>
      <c r="BQ53" s="60"/>
      <c r="BR53" s="60"/>
      <c r="BS53" s="60"/>
      <c r="BT53" s="60"/>
      <c r="BU53" s="60"/>
      <c r="BV53" s="60"/>
      <c r="BW53" s="60"/>
      <c r="BX53" s="60"/>
      <c r="BY53" s="60"/>
      <c r="BZ53" s="60"/>
      <c r="CA53" s="60"/>
      <c r="CB53" s="60"/>
      <c r="CC53" s="60"/>
      <c r="CD53" s="60"/>
      <c r="CE53" s="60"/>
      <c r="CF53" s="60"/>
      <c r="CG53" s="60"/>
      <c r="CH53" s="60"/>
      <c r="CI53" s="60"/>
      <c r="CJ53" s="60"/>
      <c r="CK53" s="60"/>
      <c r="CL53" s="60"/>
      <c r="CM53" s="60"/>
      <c r="CN53" s="60"/>
      <c r="CO53" s="60"/>
      <c r="CP53" s="60"/>
      <c r="CQ53" s="60"/>
      <c r="CR53" s="60"/>
      <c r="CS53" s="60"/>
      <c r="CT53" s="60"/>
      <c r="CU53" s="60"/>
      <c r="CV53" s="60"/>
      <c r="CW53" s="60"/>
      <c r="CX53" s="60"/>
      <c r="CY53" s="60"/>
      <c r="CZ53" s="60"/>
      <c r="DA53" s="60"/>
      <c r="DB53" s="60"/>
      <c r="DC53" s="60"/>
      <c r="DD53" s="60"/>
      <c r="DE53" s="60"/>
      <c r="DF53" s="60"/>
      <c r="DG53" s="60"/>
      <c r="DH53" s="60"/>
      <c r="DI53" s="60"/>
      <c r="DJ53" s="60"/>
      <c r="DK53" s="60"/>
      <c r="DL53" s="60"/>
      <c r="DM53" s="60"/>
      <c r="DN53" s="60"/>
      <c r="DO53" s="60"/>
      <c r="DP53" s="60"/>
      <c r="DQ53" s="60"/>
      <c r="DR53" s="60"/>
      <c r="DS53" s="60"/>
      <c r="DT53" s="60"/>
      <c r="DU53" s="60"/>
      <c r="DV53" s="60"/>
      <c r="DW53" s="60"/>
      <c r="DX53" s="60"/>
      <c r="DY53" s="60"/>
      <c r="DZ53" s="60"/>
      <c r="EA53" s="60"/>
      <c r="EB53" s="60"/>
      <c r="EC53" s="60"/>
      <c r="ED53" s="60"/>
      <c r="EE53" s="60"/>
      <c r="EF53" s="60"/>
      <c r="EG53" s="60"/>
      <c r="EH53" s="60"/>
      <c r="EI53" s="60"/>
      <c r="EJ53" s="60"/>
      <c r="EK53" s="60"/>
      <c r="EL53" s="60"/>
      <c r="EM53" s="60"/>
      <c r="EN53" s="60"/>
      <c r="EO53" s="60"/>
      <c r="EP53" s="60"/>
      <c r="EQ53" s="60"/>
      <c r="ER53" s="60"/>
      <c r="ES53" s="60"/>
      <c r="ET53" s="60"/>
      <c r="EU53" s="60"/>
      <c r="EV53" s="60"/>
      <c r="EW53" s="60"/>
      <c r="EX53" s="60"/>
      <c r="EY53" s="60"/>
      <c r="EZ53" s="60"/>
      <c r="FA53" s="60"/>
      <c r="FB53" s="60"/>
      <c r="FC53" s="60"/>
      <c r="FD53" s="60"/>
      <c r="FE53" s="60"/>
      <c r="FF53" s="60"/>
      <c r="FG53" s="60"/>
      <c r="FH53" s="60"/>
      <c r="FI53" s="60"/>
      <c r="FJ53" s="60"/>
      <c r="FK53" s="60"/>
      <c r="FL53" s="60"/>
      <c r="FM53" s="60"/>
      <c r="FN53" s="60"/>
      <c r="FO53" s="60"/>
      <c r="FP53" s="60"/>
      <c r="FQ53" s="60"/>
      <c r="FR53" s="60"/>
      <c r="FS53" s="60"/>
      <c r="FT53" s="60"/>
      <c r="FU53" s="60"/>
      <c r="FV53" s="60"/>
      <c r="FW53" s="60"/>
      <c r="FX53" s="60"/>
      <c r="FY53" s="60"/>
      <c r="FZ53" s="60"/>
      <c r="GA53" s="60"/>
      <c r="GB53" s="60"/>
      <c r="GC53" s="60"/>
      <c r="GD53" s="60"/>
      <c r="GE53" s="60"/>
      <c r="GF53" s="60"/>
      <c r="GG53" s="60"/>
      <c r="GH53" s="60"/>
      <c r="GI53" s="60"/>
      <c r="GJ53" s="60"/>
      <c r="GK53" s="60"/>
      <c r="GL53" s="60"/>
      <c r="GM53" s="60"/>
      <c r="GN53" s="60"/>
      <c r="GO53" s="60"/>
      <c r="GP53" s="60"/>
      <c r="GQ53" s="60"/>
      <c r="GR53" s="60"/>
      <c r="GS53" s="60"/>
      <c r="GT53" s="60"/>
      <c r="GU53" s="60"/>
      <c r="GV53" s="60"/>
      <c r="GW53" s="60"/>
      <c r="GX53" s="60"/>
      <c r="GY53" s="60"/>
      <c r="GZ53" s="60"/>
      <c r="HA53" s="60"/>
      <c r="HB53" s="60"/>
      <c r="HC53" s="60"/>
      <c r="HD53" s="60"/>
      <c r="HE53" s="60"/>
      <c r="HF53" s="60"/>
      <c r="HG53" s="60"/>
      <c r="HH53" s="60"/>
      <c r="HI53" s="60"/>
      <c r="HJ53" s="60"/>
      <c r="HK53" s="60"/>
      <c r="HL53" s="60"/>
      <c r="HM53" s="60"/>
      <c r="HN53" s="60"/>
      <c r="HO53" s="60"/>
      <c r="HP53" s="60"/>
      <c r="HQ53" s="60"/>
      <c r="HR53" s="60"/>
      <c r="HS53" s="60"/>
      <c r="HT53" s="60"/>
      <c r="HU53" s="60"/>
      <c r="HV53" s="60"/>
      <c r="HW53" s="60"/>
      <c r="HX53" s="60"/>
      <c r="HY53" s="60"/>
      <c r="HZ53" s="60"/>
      <c r="IA53" s="60"/>
      <c r="IB53" s="60"/>
      <c r="IC53" s="60"/>
      <c r="ID53" s="60"/>
      <c r="IE53" s="60"/>
      <c r="IF53" s="60"/>
      <c r="IG53" s="60"/>
      <c r="IH53" s="60"/>
      <c r="II53" s="60"/>
      <c r="IJ53" s="60"/>
      <c r="IK53" s="60"/>
      <c r="IL53" s="60"/>
      <c r="IM53" s="60"/>
      <c r="IN53" s="60"/>
      <c r="IO53" s="60"/>
      <c r="IP53" s="60"/>
      <c r="IQ53" s="60"/>
      <c r="IR53" s="60"/>
      <c r="IS53" s="60"/>
      <c r="IT53" s="60"/>
      <c r="IU53" s="60"/>
      <c r="IV53" s="60"/>
      <c r="IW53" s="60"/>
      <c r="IX53" s="60"/>
      <c r="IY53" s="60"/>
      <c r="IZ53" s="60"/>
      <c r="JA53" s="60"/>
      <c r="JB53" s="60"/>
      <c r="JC53" s="60"/>
      <c r="JD53" s="60"/>
      <c r="JE53" s="60"/>
      <c r="JF53" s="60"/>
      <c r="JG53" s="60"/>
      <c r="JH53" s="60"/>
      <c r="JI53" s="60"/>
      <c r="JJ53" s="60"/>
      <c r="JK53" s="60"/>
      <c r="JL53" s="60"/>
      <c r="JM53" s="60"/>
      <c r="JN53" s="60"/>
      <c r="JO53" s="60"/>
      <c r="JP53" s="60"/>
      <c r="JQ53" s="60"/>
      <c r="JR53" s="60"/>
      <c r="JS53" s="60"/>
      <c r="JT53" s="60"/>
      <c r="JU53" s="60"/>
      <c r="JV53" s="60"/>
      <c r="JW53" s="60"/>
      <c r="JX53" s="60"/>
      <c r="JY53" s="60"/>
      <c r="JZ53" s="60"/>
      <c r="KA53" s="60"/>
      <c r="KB53" s="60"/>
      <c r="KC53" s="60"/>
      <c r="KD53" s="60"/>
      <c r="KE53" s="60"/>
      <c r="KF53" s="60"/>
      <c r="KG53" s="60"/>
      <c r="KH53" s="60"/>
      <c r="KI53" s="60"/>
      <c r="KJ53" s="60"/>
      <c r="KK53" s="60"/>
      <c r="KL53" s="60"/>
      <c r="KM53" s="60"/>
      <c r="KN53" s="60"/>
      <c r="KO53" s="60"/>
      <c r="KP53" s="60"/>
      <c r="KQ53" s="60"/>
      <c r="KR53" s="60"/>
      <c r="KS53" s="60"/>
      <c r="KT53" s="60"/>
      <c r="KU53" s="60"/>
      <c r="KV53" s="60"/>
      <c r="KW53" s="60"/>
      <c r="KX53" s="60"/>
      <c r="KY53" s="60"/>
      <c r="KZ53" s="60"/>
      <c r="LA53" s="60"/>
      <c r="LB53" s="60"/>
      <c r="LC53" s="60"/>
      <c r="LD53" s="60"/>
      <c r="LE53" s="60"/>
      <c r="LF53" s="60"/>
      <c r="LG53" s="60"/>
      <c r="LH53" s="60"/>
    </row>
    <row r="54" spans="1:320" s="17" customFormat="1" x14ac:dyDescent="0.25">
      <c r="A54" s="147"/>
      <c r="E54" s="156"/>
      <c r="F54" s="156"/>
      <c r="G54" s="156"/>
      <c r="H54" s="156"/>
      <c r="I54" s="156"/>
      <c r="J54" s="156"/>
      <c r="K54" s="156"/>
      <c r="L54" s="156"/>
      <c r="M54" s="156"/>
      <c r="N54" s="156"/>
      <c r="O54" s="156"/>
      <c r="P54" s="156"/>
      <c r="Q54" s="156"/>
      <c r="R54" s="156"/>
      <c r="S54" s="156"/>
      <c r="AC54" s="60"/>
      <c r="AD54" s="60"/>
      <c r="AE54" s="60"/>
      <c r="AF54" s="60"/>
      <c r="AG54" s="60"/>
      <c r="AH54" s="60"/>
      <c r="AI54" s="60"/>
      <c r="AJ54" s="60"/>
      <c r="AK54" s="60"/>
      <c r="AL54" s="60"/>
      <c r="AM54" s="60"/>
      <c r="AN54" s="60"/>
      <c r="AO54" s="60"/>
      <c r="AP54" s="60"/>
      <c r="AQ54" s="60"/>
      <c r="AR54" s="60"/>
      <c r="AS54" s="60"/>
      <c r="AT54" s="60"/>
      <c r="AU54" s="60"/>
      <c r="AV54" s="60"/>
      <c r="AW54" s="60"/>
      <c r="AX54" s="60"/>
      <c r="AY54" s="60"/>
      <c r="AZ54" s="60"/>
      <c r="BA54" s="60"/>
      <c r="BB54" s="60"/>
      <c r="BC54" s="60"/>
      <c r="BD54" s="60"/>
      <c r="BE54" s="60"/>
      <c r="BF54" s="60"/>
      <c r="BG54" s="60"/>
      <c r="BH54" s="60"/>
      <c r="BI54" s="60"/>
      <c r="BJ54" s="60"/>
      <c r="BK54" s="60"/>
      <c r="BL54" s="60"/>
      <c r="BM54" s="60"/>
      <c r="BN54" s="60"/>
      <c r="BO54" s="60"/>
      <c r="BP54" s="60"/>
      <c r="BQ54" s="60"/>
      <c r="BR54" s="60"/>
      <c r="BS54" s="60"/>
      <c r="BT54" s="60"/>
      <c r="BU54" s="60"/>
      <c r="BV54" s="60"/>
      <c r="BW54" s="60"/>
      <c r="BX54" s="60"/>
      <c r="BY54" s="60"/>
      <c r="BZ54" s="60"/>
      <c r="CA54" s="60"/>
      <c r="CB54" s="60"/>
      <c r="CC54" s="60"/>
      <c r="CD54" s="60"/>
      <c r="CE54" s="60"/>
      <c r="CF54" s="60"/>
      <c r="CG54" s="60"/>
      <c r="CH54" s="60"/>
      <c r="CI54" s="60"/>
      <c r="CJ54" s="60"/>
      <c r="CK54" s="60"/>
      <c r="CL54" s="60"/>
      <c r="CM54" s="60"/>
      <c r="CN54" s="60"/>
      <c r="CO54" s="60"/>
      <c r="CP54" s="60"/>
      <c r="CQ54" s="60"/>
      <c r="CR54" s="60"/>
      <c r="CS54" s="60"/>
      <c r="CT54" s="60"/>
      <c r="CU54" s="60"/>
      <c r="CV54" s="60"/>
      <c r="CW54" s="60"/>
      <c r="CX54" s="60"/>
      <c r="CY54" s="60"/>
      <c r="CZ54" s="60"/>
      <c r="DA54" s="60"/>
      <c r="DB54" s="60"/>
      <c r="DC54" s="60"/>
      <c r="DD54" s="60"/>
      <c r="DE54" s="60"/>
      <c r="DF54" s="60"/>
      <c r="DG54" s="60"/>
      <c r="DH54" s="60"/>
      <c r="DI54" s="60"/>
      <c r="DJ54" s="60"/>
      <c r="DK54" s="60"/>
      <c r="DL54" s="60"/>
      <c r="DM54" s="60"/>
      <c r="DN54" s="60"/>
      <c r="DO54" s="60"/>
      <c r="DP54" s="60"/>
      <c r="DQ54" s="60"/>
      <c r="DR54" s="60"/>
      <c r="DS54" s="60"/>
      <c r="DT54" s="60"/>
      <c r="DU54" s="60"/>
      <c r="DV54" s="60"/>
      <c r="DW54" s="60"/>
      <c r="DX54" s="60"/>
      <c r="DY54" s="60"/>
      <c r="DZ54" s="60"/>
      <c r="EA54" s="60"/>
      <c r="EB54" s="60"/>
      <c r="EC54" s="60"/>
      <c r="ED54" s="60"/>
      <c r="EE54" s="60"/>
      <c r="EF54" s="60"/>
      <c r="EG54" s="60"/>
      <c r="EH54" s="60"/>
      <c r="EI54" s="60"/>
      <c r="EJ54" s="60"/>
      <c r="EK54" s="60"/>
      <c r="EL54" s="60"/>
      <c r="EM54" s="60"/>
      <c r="EN54" s="60"/>
      <c r="EO54" s="60"/>
      <c r="EP54" s="60"/>
      <c r="EQ54" s="60"/>
      <c r="ER54" s="60"/>
      <c r="ES54" s="60"/>
      <c r="ET54" s="60"/>
      <c r="EU54" s="60"/>
      <c r="EV54" s="60"/>
      <c r="EW54" s="60"/>
      <c r="EX54" s="60"/>
      <c r="EY54" s="60"/>
      <c r="EZ54" s="60"/>
      <c r="FA54" s="60"/>
      <c r="FB54" s="60"/>
      <c r="FC54" s="60"/>
      <c r="FD54" s="60"/>
      <c r="FE54" s="60"/>
      <c r="FF54" s="60"/>
      <c r="FG54" s="60"/>
      <c r="FH54" s="60"/>
      <c r="FI54" s="60"/>
      <c r="FJ54" s="60"/>
      <c r="FK54" s="60"/>
      <c r="FL54" s="60"/>
      <c r="FM54" s="60"/>
      <c r="FN54" s="60"/>
      <c r="FO54" s="60"/>
      <c r="FP54" s="60"/>
      <c r="FQ54" s="60"/>
      <c r="FR54" s="60"/>
      <c r="FS54" s="60"/>
      <c r="FT54" s="60"/>
      <c r="FU54" s="60"/>
      <c r="FV54" s="60"/>
      <c r="FW54" s="60"/>
      <c r="FX54" s="60"/>
      <c r="FY54" s="60"/>
      <c r="FZ54" s="60"/>
      <c r="GA54" s="60"/>
      <c r="GB54" s="60"/>
      <c r="GC54" s="60"/>
      <c r="GD54" s="60"/>
      <c r="GE54" s="60"/>
      <c r="GF54" s="60"/>
      <c r="GG54" s="60"/>
      <c r="GH54" s="60"/>
      <c r="GI54" s="60"/>
      <c r="GJ54" s="60"/>
      <c r="GK54" s="60"/>
      <c r="GL54" s="60"/>
      <c r="GM54" s="60"/>
      <c r="GN54" s="60"/>
      <c r="GO54" s="60"/>
      <c r="GP54" s="60"/>
      <c r="GQ54" s="60"/>
      <c r="GR54" s="60"/>
      <c r="GS54" s="60"/>
      <c r="GT54" s="60"/>
      <c r="GU54" s="60"/>
      <c r="GV54" s="60"/>
      <c r="GW54" s="60"/>
      <c r="GX54" s="60"/>
      <c r="GY54" s="60"/>
      <c r="GZ54" s="60"/>
      <c r="HA54" s="60"/>
      <c r="HB54" s="60"/>
      <c r="HC54" s="60"/>
      <c r="HD54" s="60"/>
      <c r="HE54" s="60"/>
      <c r="HF54" s="60"/>
      <c r="HG54" s="60"/>
      <c r="HH54" s="60"/>
      <c r="HI54" s="60"/>
      <c r="HJ54" s="60"/>
      <c r="HK54" s="60"/>
      <c r="HL54" s="60"/>
      <c r="HM54" s="60"/>
      <c r="HN54" s="60"/>
      <c r="HO54" s="60"/>
      <c r="HP54" s="60"/>
      <c r="HQ54" s="60"/>
      <c r="HR54" s="60"/>
      <c r="HS54" s="60"/>
      <c r="HT54" s="60"/>
      <c r="HU54" s="60"/>
      <c r="HV54" s="60"/>
      <c r="HW54" s="60"/>
      <c r="HX54" s="60"/>
      <c r="HY54" s="60"/>
      <c r="HZ54" s="60"/>
      <c r="IA54" s="60"/>
      <c r="IB54" s="60"/>
      <c r="IC54" s="60"/>
      <c r="ID54" s="60"/>
      <c r="IE54" s="60"/>
      <c r="IF54" s="60"/>
      <c r="IG54" s="60"/>
      <c r="IH54" s="60"/>
      <c r="II54" s="60"/>
      <c r="IJ54" s="60"/>
      <c r="IK54" s="60"/>
      <c r="IL54" s="60"/>
      <c r="IM54" s="60"/>
      <c r="IN54" s="60"/>
      <c r="IO54" s="60"/>
      <c r="IP54" s="60"/>
      <c r="IQ54" s="60"/>
      <c r="IR54" s="60"/>
      <c r="IS54" s="60"/>
      <c r="IT54" s="60"/>
      <c r="IU54" s="60"/>
      <c r="IV54" s="60"/>
      <c r="IW54" s="60"/>
      <c r="IX54" s="60"/>
      <c r="IY54" s="60"/>
      <c r="IZ54" s="60"/>
      <c r="JA54" s="60"/>
      <c r="JB54" s="60"/>
      <c r="JC54" s="60"/>
      <c r="JD54" s="60"/>
      <c r="JE54" s="60"/>
      <c r="JF54" s="60"/>
      <c r="JG54" s="60"/>
      <c r="JH54" s="60"/>
      <c r="JI54" s="60"/>
      <c r="JJ54" s="60"/>
      <c r="JK54" s="60"/>
      <c r="JL54" s="60"/>
      <c r="JM54" s="60"/>
      <c r="JN54" s="60"/>
      <c r="JO54" s="60"/>
      <c r="JP54" s="60"/>
      <c r="JQ54" s="60"/>
      <c r="JR54" s="60"/>
      <c r="JS54" s="60"/>
      <c r="JT54" s="60"/>
      <c r="JU54" s="60"/>
      <c r="JV54" s="60"/>
      <c r="JW54" s="60"/>
      <c r="JX54" s="60"/>
      <c r="JY54" s="60"/>
      <c r="JZ54" s="60"/>
      <c r="KA54" s="60"/>
      <c r="KB54" s="60"/>
      <c r="KC54" s="60"/>
      <c r="KD54" s="60"/>
      <c r="KE54" s="60"/>
      <c r="KF54" s="60"/>
      <c r="KG54" s="60"/>
      <c r="KH54" s="60"/>
      <c r="KI54" s="60"/>
      <c r="KJ54" s="60"/>
      <c r="KK54" s="60"/>
      <c r="KL54" s="60"/>
      <c r="KM54" s="60"/>
      <c r="KN54" s="60"/>
      <c r="KO54" s="60"/>
      <c r="KP54" s="60"/>
      <c r="KQ54" s="60"/>
      <c r="KR54" s="60"/>
      <c r="KS54" s="60"/>
      <c r="KT54" s="60"/>
      <c r="KU54" s="60"/>
      <c r="KV54" s="60"/>
      <c r="KW54" s="60"/>
      <c r="KX54" s="60"/>
      <c r="KY54" s="60"/>
      <c r="KZ54" s="60"/>
      <c r="LA54" s="60"/>
      <c r="LB54" s="60"/>
      <c r="LC54" s="60"/>
      <c r="LD54" s="60"/>
      <c r="LE54" s="60"/>
      <c r="LF54" s="60"/>
      <c r="LG54" s="60"/>
      <c r="LH54" s="60"/>
    </row>
    <row r="55" spans="1:320" s="17" customFormat="1" x14ac:dyDescent="0.25">
      <c r="A55" s="147"/>
      <c r="E55" s="156"/>
      <c r="F55" s="156"/>
      <c r="G55" s="156"/>
      <c r="H55" s="156"/>
      <c r="I55" s="156"/>
      <c r="J55" s="156"/>
      <c r="K55" s="156"/>
      <c r="L55" s="156"/>
      <c r="M55" s="156"/>
      <c r="N55" s="156"/>
      <c r="O55" s="156"/>
      <c r="P55" s="156"/>
      <c r="Q55" s="156"/>
      <c r="R55" s="156"/>
      <c r="S55" s="156"/>
      <c r="AC55" s="60"/>
      <c r="AD55" s="60"/>
      <c r="AE55" s="60"/>
      <c r="AF55" s="60"/>
      <c r="AG55" s="60"/>
      <c r="AH55" s="60"/>
      <c r="AI55" s="60"/>
      <c r="AJ55" s="60"/>
      <c r="AK55" s="60"/>
      <c r="AL55" s="60"/>
      <c r="AM55" s="60"/>
      <c r="AN55" s="60"/>
      <c r="AO55" s="60"/>
      <c r="AP55" s="60"/>
      <c r="AQ55" s="60"/>
      <c r="AR55" s="60"/>
      <c r="AS55" s="60"/>
      <c r="AT55" s="60"/>
      <c r="AU55" s="60"/>
      <c r="AV55" s="60"/>
      <c r="AW55" s="60"/>
      <c r="AX55" s="60"/>
      <c r="AY55" s="60"/>
      <c r="AZ55" s="60"/>
      <c r="BA55" s="60"/>
      <c r="BB55" s="60"/>
      <c r="BC55" s="60"/>
      <c r="BD55" s="60"/>
      <c r="BE55" s="60"/>
      <c r="BF55" s="60"/>
      <c r="BG55" s="60"/>
      <c r="BH55" s="60"/>
      <c r="BI55" s="60"/>
      <c r="BJ55" s="60"/>
      <c r="BK55" s="60"/>
      <c r="BL55" s="60"/>
      <c r="BM55" s="60"/>
      <c r="BN55" s="60"/>
      <c r="BO55" s="60"/>
      <c r="BP55" s="60"/>
      <c r="BQ55" s="60"/>
      <c r="BR55" s="60"/>
      <c r="BS55" s="60"/>
      <c r="BT55" s="60"/>
      <c r="BU55" s="60"/>
      <c r="BV55" s="60"/>
      <c r="BW55" s="60"/>
      <c r="BX55" s="60"/>
      <c r="BY55" s="60"/>
      <c r="BZ55" s="60"/>
      <c r="CA55" s="60"/>
      <c r="CB55" s="60"/>
      <c r="CC55" s="60"/>
      <c r="CD55" s="60"/>
      <c r="CE55" s="60"/>
      <c r="CF55" s="60"/>
      <c r="CG55" s="60"/>
      <c r="CH55" s="60"/>
      <c r="CI55" s="60"/>
      <c r="CJ55" s="60"/>
      <c r="CK55" s="60"/>
      <c r="CL55" s="60"/>
      <c r="CM55" s="60"/>
      <c r="CN55" s="60"/>
      <c r="CO55" s="60"/>
      <c r="CP55" s="60"/>
      <c r="CQ55" s="60"/>
      <c r="CR55" s="60"/>
      <c r="CS55" s="60"/>
      <c r="CT55" s="60"/>
      <c r="CU55" s="60"/>
      <c r="CV55" s="60"/>
      <c r="CW55" s="60"/>
      <c r="CX55" s="60"/>
      <c r="CY55" s="60"/>
      <c r="CZ55" s="60"/>
      <c r="DA55" s="60"/>
      <c r="DB55" s="60"/>
      <c r="DC55" s="60"/>
      <c r="DD55" s="60"/>
      <c r="DE55" s="60"/>
      <c r="DF55" s="60"/>
      <c r="DG55" s="60"/>
      <c r="DH55" s="60"/>
      <c r="DI55" s="60"/>
      <c r="DJ55" s="60"/>
      <c r="DK55" s="60"/>
      <c r="DL55" s="60"/>
      <c r="DM55" s="60"/>
      <c r="DN55" s="60"/>
      <c r="DO55" s="60"/>
      <c r="DP55" s="60"/>
      <c r="DQ55" s="60"/>
      <c r="DR55" s="60"/>
      <c r="DS55" s="60"/>
      <c r="DT55" s="60"/>
      <c r="DU55" s="60"/>
      <c r="DV55" s="60"/>
      <c r="DW55" s="60"/>
      <c r="DX55" s="60"/>
      <c r="DY55" s="60"/>
      <c r="DZ55" s="60"/>
      <c r="EA55" s="60"/>
      <c r="EB55" s="60"/>
      <c r="EC55" s="60"/>
      <c r="ED55" s="60"/>
      <c r="EE55" s="60"/>
      <c r="EF55" s="60"/>
      <c r="EG55" s="60"/>
      <c r="EH55" s="60"/>
      <c r="EI55" s="60"/>
      <c r="EJ55" s="60"/>
      <c r="EK55" s="60"/>
      <c r="EL55" s="60"/>
      <c r="EM55" s="60"/>
      <c r="EN55" s="60"/>
      <c r="EO55" s="60"/>
      <c r="EP55" s="60"/>
      <c r="EQ55" s="60"/>
      <c r="ER55" s="60"/>
      <c r="ES55" s="60"/>
      <c r="ET55" s="60"/>
      <c r="EU55" s="60"/>
      <c r="EV55" s="60"/>
      <c r="EW55" s="60"/>
      <c r="EX55" s="60"/>
      <c r="EY55" s="60"/>
      <c r="EZ55" s="60"/>
      <c r="FA55" s="60"/>
      <c r="FB55" s="60"/>
      <c r="FC55" s="60"/>
      <c r="FD55" s="60"/>
      <c r="FE55" s="60"/>
      <c r="FF55" s="60"/>
      <c r="FG55" s="60"/>
      <c r="FH55" s="60"/>
      <c r="FI55" s="60"/>
      <c r="FJ55" s="60"/>
      <c r="FK55" s="60"/>
      <c r="FL55" s="60"/>
      <c r="FM55" s="60"/>
      <c r="FN55" s="60"/>
      <c r="FO55" s="60"/>
      <c r="FP55" s="60"/>
      <c r="FQ55" s="60"/>
      <c r="FR55" s="60"/>
      <c r="FS55" s="60"/>
      <c r="FT55" s="60"/>
      <c r="FU55" s="60"/>
      <c r="FV55" s="60"/>
      <c r="FW55" s="60"/>
      <c r="FX55" s="60"/>
      <c r="FY55" s="60"/>
      <c r="FZ55" s="60"/>
      <c r="GA55" s="60"/>
      <c r="GB55" s="60"/>
      <c r="GC55" s="60"/>
      <c r="GD55" s="60"/>
      <c r="GE55" s="60"/>
      <c r="GF55" s="60"/>
      <c r="GG55" s="60"/>
      <c r="GH55" s="60"/>
      <c r="GI55" s="60"/>
      <c r="GJ55" s="60"/>
      <c r="GK55" s="60"/>
      <c r="GL55" s="60"/>
      <c r="GM55" s="60"/>
      <c r="GN55" s="60"/>
      <c r="GO55" s="60"/>
      <c r="GP55" s="60"/>
      <c r="GQ55" s="60"/>
      <c r="GR55" s="60"/>
      <c r="GS55" s="60"/>
      <c r="GT55" s="60"/>
      <c r="GU55" s="60"/>
      <c r="GV55" s="60"/>
      <c r="GW55" s="60"/>
      <c r="GX55" s="60"/>
      <c r="GY55" s="60"/>
      <c r="GZ55" s="60"/>
      <c r="HA55" s="60"/>
      <c r="HB55" s="60"/>
      <c r="HC55" s="60"/>
      <c r="HD55" s="60"/>
      <c r="HE55" s="60"/>
      <c r="HF55" s="60"/>
      <c r="HG55" s="60"/>
      <c r="HH55" s="60"/>
      <c r="HI55" s="60"/>
      <c r="HJ55" s="60"/>
      <c r="HK55" s="60"/>
      <c r="HL55" s="60"/>
      <c r="HM55" s="60"/>
      <c r="HN55" s="60"/>
      <c r="HO55" s="60"/>
      <c r="HP55" s="60"/>
      <c r="HQ55" s="60"/>
      <c r="HR55" s="60"/>
      <c r="HS55" s="60"/>
      <c r="HT55" s="60"/>
      <c r="HU55" s="60"/>
      <c r="HV55" s="60"/>
      <c r="HW55" s="60"/>
      <c r="HX55" s="60"/>
      <c r="HY55" s="60"/>
      <c r="HZ55" s="60"/>
      <c r="IA55" s="60"/>
      <c r="IB55" s="60"/>
      <c r="IC55" s="60"/>
      <c r="ID55" s="60"/>
      <c r="IE55" s="60"/>
      <c r="IF55" s="60"/>
      <c r="IG55" s="60"/>
      <c r="IH55" s="60"/>
      <c r="II55" s="60"/>
      <c r="IJ55" s="60"/>
      <c r="IK55" s="60"/>
      <c r="IL55" s="60"/>
      <c r="IM55" s="60"/>
      <c r="IN55" s="60"/>
      <c r="IO55" s="60"/>
      <c r="IP55" s="60"/>
      <c r="IQ55" s="60"/>
      <c r="IR55" s="60"/>
      <c r="IS55" s="60"/>
      <c r="IT55" s="60"/>
      <c r="IU55" s="60"/>
      <c r="IV55" s="60"/>
      <c r="IW55" s="60"/>
      <c r="IX55" s="60"/>
      <c r="IY55" s="60"/>
      <c r="IZ55" s="60"/>
      <c r="JA55" s="60"/>
      <c r="JB55" s="60"/>
      <c r="JC55" s="60"/>
      <c r="JD55" s="60"/>
      <c r="JE55" s="60"/>
      <c r="JF55" s="60"/>
      <c r="JG55" s="60"/>
      <c r="JH55" s="60"/>
      <c r="JI55" s="60"/>
      <c r="JJ55" s="60"/>
      <c r="JK55" s="60"/>
      <c r="JL55" s="60"/>
      <c r="JM55" s="60"/>
      <c r="JN55" s="60"/>
      <c r="JO55" s="60"/>
      <c r="JP55" s="60"/>
      <c r="JQ55" s="60"/>
      <c r="JR55" s="60"/>
      <c r="JS55" s="60"/>
      <c r="JT55" s="60"/>
      <c r="JU55" s="60"/>
      <c r="JV55" s="60"/>
      <c r="JW55" s="60"/>
      <c r="JX55" s="60"/>
      <c r="JY55" s="60"/>
      <c r="JZ55" s="60"/>
      <c r="KA55" s="60"/>
      <c r="KB55" s="60"/>
      <c r="KC55" s="60"/>
      <c r="KD55" s="60"/>
      <c r="KE55" s="60"/>
      <c r="KF55" s="60"/>
      <c r="KG55" s="60"/>
      <c r="KH55" s="60"/>
      <c r="KI55" s="60"/>
      <c r="KJ55" s="60"/>
      <c r="KK55" s="60"/>
      <c r="KL55" s="60"/>
      <c r="KM55" s="60"/>
      <c r="KN55" s="60"/>
      <c r="KO55" s="60"/>
      <c r="KP55" s="60"/>
      <c r="KQ55" s="60"/>
      <c r="KR55" s="60"/>
      <c r="KS55" s="60"/>
      <c r="KT55" s="60"/>
      <c r="KU55" s="60"/>
      <c r="KV55" s="60"/>
      <c r="KW55" s="60"/>
      <c r="KX55" s="60"/>
      <c r="KY55" s="60"/>
      <c r="KZ55" s="60"/>
      <c r="LA55" s="60"/>
      <c r="LB55" s="60"/>
      <c r="LC55" s="60"/>
      <c r="LD55" s="60"/>
      <c r="LE55" s="60"/>
      <c r="LF55" s="60"/>
      <c r="LG55" s="60"/>
      <c r="LH55" s="60"/>
    </row>
    <row r="56" spans="1:320" s="17" customFormat="1" x14ac:dyDescent="0.25">
      <c r="A56" s="147"/>
      <c r="E56" s="156"/>
      <c r="F56" s="156"/>
      <c r="G56" s="156"/>
      <c r="H56" s="156"/>
      <c r="I56" s="156"/>
      <c r="J56" s="156"/>
      <c r="K56" s="156"/>
      <c r="L56" s="156"/>
      <c r="M56" s="156"/>
      <c r="N56" s="156"/>
      <c r="O56" s="156"/>
      <c r="P56" s="156"/>
      <c r="Q56" s="156"/>
      <c r="R56" s="156"/>
      <c r="S56" s="156"/>
      <c r="AC56" s="60"/>
      <c r="AD56" s="60"/>
      <c r="AE56" s="60"/>
      <c r="AF56" s="60"/>
      <c r="AG56" s="60"/>
      <c r="AH56" s="60"/>
      <c r="AI56" s="60"/>
      <c r="AJ56" s="60"/>
      <c r="AK56" s="60"/>
      <c r="AL56" s="60"/>
      <c r="AM56" s="60"/>
      <c r="AN56" s="60"/>
      <c r="AO56" s="60"/>
      <c r="AP56" s="60"/>
      <c r="AQ56" s="60"/>
      <c r="AR56" s="60"/>
      <c r="AS56" s="60"/>
      <c r="AT56" s="60"/>
      <c r="AU56" s="60"/>
      <c r="AV56" s="60"/>
      <c r="AW56" s="60"/>
      <c r="AX56" s="60"/>
      <c r="AY56" s="60"/>
      <c r="AZ56" s="60"/>
      <c r="BA56" s="60"/>
      <c r="BB56" s="60"/>
      <c r="BC56" s="60"/>
      <c r="BD56" s="60"/>
      <c r="BE56" s="60"/>
      <c r="BF56" s="60"/>
      <c r="BG56" s="60"/>
      <c r="BH56" s="60"/>
      <c r="BI56" s="60"/>
      <c r="BJ56" s="60"/>
      <c r="BK56" s="60"/>
      <c r="BL56" s="60"/>
      <c r="BM56" s="60"/>
      <c r="BN56" s="60"/>
      <c r="BO56" s="60"/>
      <c r="BP56" s="60"/>
      <c r="BQ56" s="60"/>
      <c r="BR56" s="60"/>
      <c r="BS56" s="60"/>
      <c r="BT56" s="60"/>
      <c r="BU56" s="60"/>
      <c r="BV56" s="60"/>
      <c r="BW56" s="60"/>
      <c r="BX56" s="60"/>
      <c r="BY56" s="60"/>
      <c r="BZ56" s="60"/>
      <c r="CA56" s="60"/>
      <c r="CB56" s="60"/>
      <c r="CC56" s="60"/>
      <c r="CD56" s="60"/>
      <c r="CE56" s="60"/>
      <c r="CF56" s="60"/>
      <c r="CG56" s="60"/>
      <c r="CH56" s="60"/>
      <c r="CI56" s="60"/>
      <c r="CJ56" s="60"/>
      <c r="CK56" s="60"/>
      <c r="CL56" s="60"/>
      <c r="CM56" s="60"/>
      <c r="CN56" s="60"/>
      <c r="CO56" s="60"/>
      <c r="CP56" s="60"/>
      <c r="CQ56" s="60"/>
      <c r="CR56" s="60"/>
      <c r="CS56" s="60"/>
      <c r="CT56" s="60"/>
      <c r="CU56" s="60"/>
      <c r="CV56" s="60"/>
      <c r="CW56" s="60"/>
      <c r="CX56" s="60"/>
      <c r="CY56" s="60"/>
      <c r="CZ56" s="60"/>
      <c r="DA56" s="60"/>
      <c r="DB56" s="60"/>
      <c r="DC56" s="60"/>
      <c r="DD56" s="60"/>
      <c r="DE56" s="60"/>
      <c r="DF56" s="60"/>
      <c r="DG56" s="60"/>
      <c r="DH56" s="60"/>
      <c r="DI56" s="60"/>
      <c r="DJ56" s="60"/>
      <c r="DK56" s="60"/>
      <c r="DL56" s="60"/>
      <c r="DM56" s="60"/>
      <c r="DN56" s="60"/>
      <c r="DO56" s="60"/>
      <c r="DP56" s="60"/>
      <c r="DQ56" s="60"/>
      <c r="DR56" s="60"/>
      <c r="DS56" s="60"/>
      <c r="DT56" s="60"/>
      <c r="DU56" s="60"/>
      <c r="DV56" s="60"/>
      <c r="DW56" s="60"/>
      <c r="DX56" s="60"/>
      <c r="DY56" s="60"/>
      <c r="DZ56" s="60"/>
      <c r="EA56" s="60"/>
      <c r="EB56" s="60"/>
      <c r="EC56" s="60"/>
      <c r="ED56" s="60"/>
      <c r="EE56" s="60"/>
      <c r="EF56" s="60"/>
      <c r="EG56" s="60"/>
      <c r="EH56" s="60"/>
      <c r="EI56" s="60"/>
      <c r="EJ56" s="60"/>
      <c r="EK56" s="60"/>
      <c r="EL56" s="60"/>
      <c r="EM56" s="60"/>
      <c r="EN56" s="60"/>
      <c r="EO56" s="60"/>
      <c r="EP56" s="60"/>
      <c r="EQ56" s="60"/>
      <c r="ER56" s="60"/>
      <c r="ES56" s="60"/>
      <c r="ET56" s="60"/>
      <c r="EU56" s="60"/>
      <c r="EV56" s="60"/>
      <c r="EW56" s="60"/>
      <c r="EX56" s="60"/>
      <c r="EY56" s="60"/>
      <c r="EZ56" s="60"/>
      <c r="FA56" s="60"/>
      <c r="FB56" s="60"/>
      <c r="FC56" s="60"/>
      <c r="FD56" s="60"/>
      <c r="FE56" s="60"/>
      <c r="FF56" s="60"/>
      <c r="FG56" s="60"/>
      <c r="FH56" s="60"/>
      <c r="FI56" s="60"/>
      <c r="FJ56" s="60"/>
      <c r="FK56" s="60"/>
      <c r="FL56" s="60"/>
      <c r="FM56" s="60"/>
      <c r="FN56" s="60"/>
      <c r="FO56" s="60"/>
      <c r="FP56" s="60"/>
      <c r="FQ56" s="60"/>
      <c r="FR56" s="60"/>
      <c r="FS56" s="60"/>
      <c r="FT56" s="60"/>
      <c r="FU56" s="60"/>
      <c r="FV56" s="60"/>
      <c r="FW56" s="60"/>
      <c r="FX56" s="60"/>
      <c r="FY56" s="60"/>
      <c r="FZ56" s="60"/>
      <c r="GA56" s="60"/>
      <c r="GB56" s="60"/>
      <c r="GC56" s="60"/>
      <c r="GD56" s="60"/>
      <c r="GE56" s="60"/>
      <c r="GF56" s="60"/>
      <c r="GG56" s="60"/>
      <c r="GH56" s="60"/>
      <c r="GI56" s="60"/>
      <c r="GJ56" s="60"/>
      <c r="GK56" s="60"/>
      <c r="GL56" s="60"/>
      <c r="GM56" s="60"/>
      <c r="GN56" s="60"/>
      <c r="GO56" s="60"/>
      <c r="GP56" s="60"/>
      <c r="GQ56" s="60"/>
      <c r="GR56" s="60"/>
      <c r="GS56" s="60"/>
      <c r="GT56" s="60"/>
      <c r="GU56" s="60"/>
      <c r="GV56" s="60"/>
      <c r="GW56" s="60"/>
      <c r="GX56" s="60"/>
      <c r="GY56" s="60"/>
      <c r="GZ56" s="60"/>
      <c r="HA56" s="60"/>
      <c r="HB56" s="60"/>
      <c r="HC56" s="60"/>
      <c r="HD56" s="60"/>
      <c r="HE56" s="60"/>
      <c r="HF56" s="60"/>
      <c r="HG56" s="60"/>
      <c r="HH56" s="60"/>
      <c r="HI56" s="60"/>
      <c r="HJ56" s="60"/>
      <c r="HK56" s="60"/>
      <c r="HL56" s="60"/>
      <c r="HM56" s="60"/>
      <c r="HN56" s="60"/>
      <c r="HO56" s="60"/>
      <c r="HP56" s="60"/>
      <c r="HQ56" s="60"/>
      <c r="HR56" s="60"/>
      <c r="HS56" s="60"/>
      <c r="HT56" s="60"/>
      <c r="HU56" s="60"/>
      <c r="HV56" s="60"/>
      <c r="HW56" s="60"/>
      <c r="HX56" s="60"/>
      <c r="HY56" s="60"/>
      <c r="HZ56" s="60"/>
      <c r="IA56" s="60"/>
      <c r="IB56" s="60"/>
      <c r="IC56" s="60"/>
      <c r="ID56" s="60"/>
      <c r="IE56" s="60"/>
      <c r="IF56" s="60"/>
      <c r="IG56" s="60"/>
      <c r="IH56" s="60"/>
      <c r="II56" s="60"/>
      <c r="IJ56" s="60"/>
      <c r="IK56" s="60"/>
      <c r="IL56" s="60"/>
      <c r="IM56" s="60"/>
      <c r="IN56" s="60"/>
      <c r="IO56" s="60"/>
      <c r="IP56" s="60"/>
      <c r="IQ56" s="60"/>
      <c r="IR56" s="60"/>
      <c r="IS56" s="60"/>
      <c r="IT56" s="60"/>
      <c r="IU56" s="60"/>
      <c r="IV56" s="60"/>
      <c r="IW56" s="60"/>
      <c r="IX56" s="60"/>
      <c r="IY56" s="60"/>
      <c r="IZ56" s="60"/>
      <c r="JA56" s="60"/>
      <c r="JB56" s="60"/>
      <c r="JC56" s="60"/>
      <c r="JD56" s="60"/>
      <c r="JE56" s="60"/>
      <c r="JF56" s="60"/>
      <c r="JG56" s="60"/>
      <c r="JH56" s="60"/>
      <c r="JI56" s="60"/>
      <c r="JJ56" s="60"/>
      <c r="JK56" s="60"/>
      <c r="JL56" s="60"/>
      <c r="JM56" s="60"/>
      <c r="JN56" s="60"/>
      <c r="JO56" s="60"/>
      <c r="JP56" s="60"/>
      <c r="JQ56" s="60"/>
      <c r="JR56" s="60"/>
      <c r="JS56" s="60"/>
      <c r="JT56" s="60"/>
      <c r="JU56" s="60"/>
      <c r="JV56" s="60"/>
      <c r="JW56" s="60"/>
      <c r="JX56" s="60"/>
      <c r="JY56" s="60"/>
      <c r="JZ56" s="60"/>
      <c r="KA56" s="60"/>
      <c r="KB56" s="60"/>
      <c r="KC56" s="60"/>
      <c r="KD56" s="60"/>
      <c r="KE56" s="60"/>
      <c r="KF56" s="60"/>
      <c r="KG56" s="60"/>
      <c r="KH56" s="60"/>
      <c r="KI56" s="60"/>
      <c r="KJ56" s="60"/>
      <c r="KK56" s="60"/>
      <c r="KL56" s="60"/>
      <c r="KM56" s="60"/>
      <c r="KN56" s="60"/>
      <c r="KO56" s="60"/>
      <c r="KP56" s="60"/>
      <c r="KQ56" s="60"/>
      <c r="KR56" s="60"/>
      <c r="KS56" s="60"/>
      <c r="KT56" s="60"/>
      <c r="KU56" s="60"/>
      <c r="KV56" s="60"/>
      <c r="KW56" s="60"/>
      <c r="KX56" s="60"/>
      <c r="KY56" s="60"/>
      <c r="KZ56" s="60"/>
      <c r="LA56" s="60"/>
      <c r="LB56" s="60"/>
      <c r="LC56" s="60"/>
      <c r="LD56" s="60"/>
      <c r="LE56" s="60"/>
      <c r="LF56" s="60"/>
      <c r="LG56" s="60"/>
      <c r="LH56" s="60"/>
    </row>
    <row r="57" spans="1:320" s="17" customFormat="1" x14ac:dyDescent="0.25">
      <c r="A57" s="147"/>
      <c r="E57" s="156"/>
      <c r="F57" s="156"/>
      <c r="G57" s="156"/>
      <c r="H57" s="156"/>
      <c r="I57" s="156"/>
      <c r="J57" s="156"/>
      <c r="K57" s="156"/>
      <c r="L57" s="156"/>
      <c r="M57" s="156"/>
      <c r="N57" s="156"/>
      <c r="O57" s="156"/>
      <c r="P57" s="156"/>
      <c r="Q57" s="156"/>
      <c r="R57" s="156"/>
      <c r="S57" s="156"/>
      <c r="AC57" s="60"/>
      <c r="AD57" s="60"/>
      <c r="AE57" s="60"/>
      <c r="AF57" s="60"/>
      <c r="AG57" s="60"/>
      <c r="AH57" s="60"/>
      <c r="AI57" s="60"/>
      <c r="AJ57" s="60"/>
      <c r="AK57" s="60"/>
      <c r="AL57" s="60"/>
      <c r="AM57" s="60"/>
      <c r="AN57" s="60"/>
      <c r="AO57" s="60"/>
      <c r="AP57" s="60"/>
      <c r="AQ57" s="60"/>
      <c r="AR57" s="60"/>
      <c r="AS57" s="60"/>
      <c r="AT57" s="60"/>
      <c r="AU57" s="60"/>
      <c r="AV57" s="60"/>
      <c r="AW57" s="60"/>
      <c r="AX57" s="60"/>
      <c r="AY57" s="60"/>
      <c r="AZ57" s="60"/>
      <c r="BA57" s="60"/>
      <c r="BB57" s="60"/>
      <c r="BC57" s="60"/>
      <c r="BD57" s="60"/>
      <c r="BE57" s="60"/>
      <c r="BF57" s="60"/>
      <c r="BG57" s="60"/>
      <c r="BH57" s="60"/>
      <c r="BI57" s="60"/>
      <c r="BJ57" s="60"/>
      <c r="BK57" s="60"/>
      <c r="BL57" s="60"/>
      <c r="BM57" s="60"/>
      <c r="BN57" s="60"/>
      <c r="BO57" s="60"/>
      <c r="BP57" s="60"/>
      <c r="BQ57" s="60"/>
      <c r="BR57" s="60"/>
      <c r="BS57" s="60"/>
      <c r="BT57" s="60"/>
      <c r="BU57" s="60"/>
      <c r="BV57" s="60"/>
      <c r="BW57" s="60"/>
      <c r="BX57" s="60"/>
      <c r="BY57" s="60"/>
      <c r="BZ57" s="60"/>
      <c r="CA57" s="60"/>
      <c r="CB57" s="60"/>
      <c r="CC57" s="60"/>
      <c r="CD57" s="60"/>
      <c r="CE57" s="60"/>
      <c r="CF57" s="60"/>
      <c r="CG57" s="60"/>
      <c r="CH57" s="60"/>
      <c r="CI57" s="60"/>
      <c r="CJ57" s="60"/>
      <c r="CK57" s="60"/>
      <c r="CL57" s="60"/>
      <c r="CM57" s="60"/>
      <c r="CN57" s="60"/>
      <c r="CO57" s="60"/>
      <c r="CP57" s="60"/>
      <c r="CQ57" s="60"/>
      <c r="CR57" s="60"/>
      <c r="CS57" s="60"/>
      <c r="CT57" s="60"/>
      <c r="CU57" s="60"/>
      <c r="CV57" s="60"/>
      <c r="CW57" s="60"/>
      <c r="CX57" s="60"/>
      <c r="CY57" s="60"/>
      <c r="CZ57" s="60"/>
      <c r="DA57" s="60"/>
      <c r="DB57" s="60"/>
      <c r="DC57" s="60"/>
      <c r="DD57" s="60"/>
      <c r="DE57" s="60"/>
      <c r="DF57" s="60"/>
      <c r="DG57" s="60"/>
      <c r="DH57" s="60"/>
      <c r="DI57" s="60"/>
      <c r="DJ57" s="60"/>
      <c r="DK57" s="60"/>
      <c r="DL57" s="60"/>
      <c r="DM57" s="60"/>
      <c r="DN57" s="60"/>
      <c r="DO57" s="60"/>
      <c r="DP57" s="60"/>
      <c r="DQ57" s="60"/>
      <c r="DR57" s="60"/>
      <c r="DS57" s="60"/>
      <c r="DT57" s="60"/>
      <c r="DU57" s="60"/>
      <c r="DV57" s="60"/>
      <c r="DW57" s="60"/>
      <c r="DX57" s="60"/>
      <c r="DY57" s="60"/>
      <c r="DZ57" s="60"/>
      <c r="EA57" s="60"/>
      <c r="EB57" s="60"/>
      <c r="EC57" s="60"/>
      <c r="ED57" s="60"/>
      <c r="EE57" s="60"/>
      <c r="EF57" s="60"/>
      <c r="EG57" s="60"/>
      <c r="EH57" s="60"/>
      <c r="EI57" s="60"/>
      <c r="EJ57" s="60"/>
      <c r="EK57" s="60"/>
      <c r="EL57" s="60"/>
      <c r="EM57" s="60"/>
      <c r="EN57" s="60"/>
      <c r="EO57" s="60"/>
      <c r="EP57" s="60"/>
      <c r="EQ57" s="60"/>
      <c r="ER57" s="60"/>
      <c r="ES57" s="60"/>
      <c r="ET57" s="60"/>
      <c r="EU57" s="60"/>
      <c r="EV57" s="60"/>
      <c r="EW57" s="60"/>
      <c r="EX57" s="60"/>
      <c r="EY57" s="60"/>
      <c r="EZ57" s="60"/>
      <c r="FA57" s="60"/>
      <c r="FB57" s="60"/>
      <c r="FC57" s="60"/>
      <c r="FD57" s="60"/>
      <c r="FE57" s="60"/>
      <c r="FF57" s="60"/>
      <c r="FG57" s="60"/>
      <c r="FH57" s="60"/>
      <c r="FI57" s="60"/>
      <c r="FJ57" s="60"/>
      <c r="FK57" s="60"/>
      <c r="FL57" s="60"/>
      <c r="FM57" s="60"/>
      <c r="FN57" s="60"/>
      <c r="FO57" s="60"/>
      <c r="FP57" s="60"/>
      <c r="FQ57" s="60"/>
      <c r="FR57" s="60"/>
      <c r="FS57" s="60"/>
      <c r="FT57" s="60"/>
      <c r="FU57" s="60"/>
      <c r="FV57" s="60"/>
      <c r="FW57" s="60"/>
      <c r="FX57" s="60"/>
      <c r="FY57" s="60"/>
      <c r="FZ57" s="60"/>
      <c r="GA57" s="60"/>
      <c r="GB57" s="60"/>
      <c r="GC57" s="60"/>
      <c r="GD57" s="60"/>
      <c r="GE57" s="60"/>
      <c r="GF57" s="60"/>
      <c r="GG57" s="60"/>
      <c r="GH57" s="60"/>
      <c r="GI57" s="60"/>
      <c r="GJ57" s="60"/>
      <c r="GK57" s="60"/>
      <c r="GL57" s="60"/>
      <c r="GM57" s="60"/>
      <c r="GN57" s="60"/>
      <c r="GO57" s="60"/>
      <c r="GP57" s="60"/>
      <c r="GQ57" s="60"/>
      <c r="GR57" s="60"/>
      <c r="GS57" s="60"/>
      <c r="GT57" s="60"/>
      <c r="GU57" s="60"/>
      <c r="GV57" s="60"/>
      <c r="GW57" s="60"/>
      <c r="GX57" s="60"/>
      <c r="GY57" s="60"/>
      <c r="GZ57" s="60"/>
      <c r="HA57" s="60"/>
      <c r="HB57" s="60"/>
      <c r="HC57" s="60"/>
      <c r="HD57" s="60"/>
      <c r="HE57" s="60"/>
      <c r="HF57" s="60"/>
      <c r="HG57" s="60"/>
      <c r="HH57" s="60"/>
      <c r="HI57" s="60"/>
      <c r="HJ57" s="60"/>
      <c r="HK57" s="60"/>
      <c r="HL57" s="60"/>
      <c r="HM57" s="60"/>
      <c r="HN57" s="60"/>
      <c r="HO57" s="60"/>
      <c r="HP57" s="60"/>
      <c r="HQ57" s="60"/>
      <c r="HR57" s="60"/>
      <c r="HS57" s="60"/>
      <c r="HT57" s="60"/>
      <c r="HU57" s="60"/>
      <c r="HV57" s="60"/>
      <c r="HW57" s="60"/>
      <c r="HX57" s="60"/>
      <c r="HY57" s="60"/>
      <c r="HZ57" s="60"/>
      <c r="IA57" s="60"/>
      <c r="IB57" s="60"/>
      <c r="IC57" s="60"/>
      <c r="ID57" s="60"/>
      <c r="IE57" s="60"/>
      <c r="IF57" s="60"/>
      <c r="IG57" s="60"/>
      <c r="IH57" s="60"/>
      <c r="II57" s="60"/>
      <c r="IJ57" s="60"/>
      <c r="IK57" s="60"/>
      <c r="IL57" s="60"/>
      <c r="IM57" s="60"/>
      <c r="IN57" s="60"/>
      <c r="IO57" s="60"/>
      <c r="IP57" s="60"/>
      <c r="IQ57" s="60"/>
      <c r="IR57" s="60"/>
      <c r="IS57" s="60"/>
      <c r="IT57" s="60"/>
      <c r="IU57" s="60"/>
      <c r="IV57" s="60"/>
      <c r="IW57" s="60"/>
      <c r="IX57" s="60"/>
      <c r="IY57" s="60"/>
      <c r="IZ57" s="60"/>
      <c r="JA57" s="60"/>
      <c r="JB57" s="60"/>
      <c r="JC57" s="60"/>
      <c r="JD57" s="60"/>
      <c r="JE57" s="60"/>
      <c r="JF57" s="60"/>
      <c r="JG57" s="60"/>
      <c r="JH57" s="60"/>
      <c r="JI57" s="60"/>
      <c r="JJ57" s="60"/>
      <c r="JK57" s="60"/>
      <c r="JL57" s="60"/>
      <c r="JM57" s="60"/>
      <c r="JN57" s="60"/>
      <c r="JO57" s="60"/>
      <c r="JP57" s="60"/>
      <c r="JQ57" s="60"/>
      <c r="JR57" s="60"/>
      <c r="JS57" s="60"/>
      <c r="JT57" s="60"/>
      <c r="JU57" s="60"/>
      <c r="JV57" s="60"/>
      <c r="JW57" s="60"/>
      <c r="JX57" s="60"/>
      <c r="JY57" s="60"/>
      <c r="JZ57" s="60"/>
      <c r="KA57" s="60"/>
      <c r="KB57" s="60"/>
      <c r="KC57" s="60"/>
      <c r="KD57" s="60"/>
      <c r="KE57" s="60"/>
      <c r="KF57" s="60"/>
      <c r="KG57" s="60"/>
      <c r="KH57" s="60"/>
      <c r="KI57" s="60"/>
      <c r="KJ57" s="60"/>
      <c r="KK57" s="60"/>
      <c r="KL57" s="60"/>
      <c r="KM57" s="60"/>
      <c r="KN57" s="60"/>
      <c r="KO57" s="60"/>
      <c r="KP57" s="60"/>
      <c r="KQ57" s="60"/>
      <c r="KR57" s="60"/>
      <c r="KS57" s="60"/>
      <c r="KT57" s="60"/>
      <c r="KU57" s="60"/>
      <c r="KV57" s="60"/>
      <c r="KW57" s="60"/>
      <c r="KX57" s="60"/>
      <c r="KY57" s="60"/>
      <c r="KZ57" s="60"/>
      <c r="LA57" s="60"/>
      <c r="LB57" s="60"/>
      <c r="LC57" s="60"/>
      <c r="LD57" s="60"/>
      <c r="LE57" s="60"/>
      <c r="LF57" s="60"/>
      <c r="LG57" s="60"/>
      <c r="LH57" s="60"/>
    </row>
    <row r="58" spans="1:320" s="17" customFormat="1" x14ac:dyDescent="0.25">
      <c r="A58" s="147"/>
      <c r="E58" s="156"/>
      <c r="F58" s="156"/>
      <c r="G58" s="156"/>
      <c r="H58" s="156"/>
      <c r="I58" s="156"/>
      <c r="J58" s="156"/>
      <c r="K58" s="156"/>
      <c r="L58" s="156"/>
      <c r="M58" s="156"/>
      <c r="N58" s="156"/>
      <c r="O58" s="156"/>
      <c r="P58" s="156"/>
      <c r="Q58" s="156"/>
      <c r="R58" s="156"/>
      <c r="S58" s="156"/>
      <c r="AC58" s="60"/>
      <c r="AD58" s="60"/>
      <c r="AE58" s="60"/>
      <c r="AF58" s="60"/>
      <c r="AG58" s="60"/>
      <c r="AH58" s="60"/>
      <c r="AI58" s="60"/>
      <c r="AJ58" s="60"/>
      <c r="AK58" s="60"/>
      <c r="AL58" s="60"/>
      <c r="AM58" s="60"/>
      <c r="AN58" s="60"/>
      <c r="AO58" s="60"/>
      <c r="AP58" s="60"/>
      <c r="AQ58" s="60"/>
      <c r="AR58" s="60"/>
      <c r="AS58" s="60"/>
      <c r="AT58" s="60"/>
      <c r="AU58" s="60"/>
      <c r="AV58" s="60"/>
      <c r="AW58" s="60"/>
      <c r="AX58" s="60"/>
      <c r="AY58" s="60"/>
      <c r="AZ58" s="60"/>
      <c r="BA58" s="60"/>
      <c r="BB58" s="60"/>
      <c r="BC58" s="60"/>
      <c r="BD58" s="60"/>
      <c r="BE58" s="60"/>
      <c r="BF58" s="60"/>
      <c r="BG58" s="60"/>
      <c r="BH58" s="60"/>
      <c r="BI58" s="60"/>
      <c r="BJ58" s="60"/>
      <c r="BK58" s="60"/>
      <c r="BL58" s="60"/>
      <c r="BM58" s="60"/>
      <c r="BN58" s="60"/>
      <c r="BO58" s="60"/>
      <c r="BP58" s="60"/>
      <c r="BQ58" s="60"/>
      <c r="BR58" s="60"/>
      <c r="BS58" s="60"/>
      <c r="BT58" s="60"/>
      <c r="BU58" s="60"/>
      <c r="BV58" s="60"/>
      <c r="BW58" s="60"/>
      <c r="BX58" s="60"/>
      <c r="BY58" s="60"/>
      <c r="BZ58" s="60"/>
      <c r="CA58" s="60"/>
      <c r="CB58" s="60"/>
      <c r="CC58" s="60"/>
      <c r="CD58" s="60"/>
      <c r="CE58" s="60"/>
      <c r="CF58" s="60"/>
      <c r="CG58" s="60"/>
      <c r="CH58" s="60"/>
      <c r="CI58" s="60"/>
      <c r="CJ58" s="60"/>
      <c r="CK58" s="60"/>
      <c r="CL58" s="60"/>
      <c r="CM58" s="60"/>
      <c r="CN58" s="60"/>
      <c r="CO58" s="60"/>
      <c r="CP58" s="60"/>
      <c r="CQ58" s="60"/>
      <c r="CR58" s="60"/>
      <c r="CS58" s="60"/>
      <c r="CT58" s="60"/>
      <c r="CU58" s="60"/>
      <c r="CV58" s="60"/>
      <c r="CW58" s="60"/>
      <c r="CX58" s="60"/>
      <c r="CY58" s="60"/>
      <c r="CZ58" s="60"/>
      <c r="DA58" s="60"/>
      <c r="DB58" s="60"/>
      <c r="DC58" s="60"/>
      <c r="DD58" s="60"/>
      <c r="DE58" s="60"/>
      <c r="DF58" s="60"/>
      <c r="DG58" s="60"/>
      <c r="DH58" s="60"/>
      <c r="DI58" s="60"/>
      <c r="DJ58" s="60"/>
      <c r="DK58" s="60"/>
      <c r="DL58" s="60"/>
      <c r="DM58" s="60"/>
      <c r="DN58" s="60"/>
      <c r="DO58" s="60"/>
      <c r="DP58" s="60"/>
      <c r="DQ58" s="60"/>
      <c r="DR58" s="60"/>
      <c r="DS58" s="60"/>
      <c r="DT58" s="60"/>
      <c r="DU58" s="60"/>
      <c r="DV58" s="60"/>
      <c r="DW58" s="60"/>
      <c r="DX58" s="60"/>
      <c r="DY58" s="60"/>
      <c r="DZ58" s="60"/>
      <c r="EA58" s="60"/>
      <c r="EB58" s="60"/>
      <c r="EC58" s="60"/>
      <c r="ED58" s="60"/>
      <c r="EE58" s="60"/>
      <c r="EF58" s="60"/>
      <c r="EG58" s="60"/>
      <c r="EH58" s="60"/>
      <c r="EI58" s="60"/>
      <c r="EJ58" s="60"/>
      <c r="EK58" s="60"/>
      <c r="EL58" s="60"/>
      <c r="EM58" s="60"/>
      <c r="EN58" s="60"/>
      <c r="EO58" s="60"/>
      <c r="EP58" s="60"/>
      <c r="EQ58" s="60"/>
      <c r="ER58" s="60"/>
      <c r="ES58" s="60"/>
      <c r="ET58" s="60"/>
      <c r="EU58" s="60"/>
      <c r="EV58" s="60"/>
      <c r="EW58" s="60"/>
      <c r="EX58" s="60"/>
      <c r="EY58" s="60"/>
      <c r="EZ58" s="60"/>
      <c r="FA58" s="60"/>
      <c r="FB58" s="60"/>
      <c r="FC58" s="60"/>
      <c r="FD58" s="60"/>
      <c r="FE58" s="60"/>
      <c r="FF58" s="60"/>
      <c r="FG58" s="60"/>
      <c r="FH58" s="60"/>
      <c r="FI58" s="60"/>
      <c r="FJ58" s="60"/>
      <c r="FK58" s="60"/>
      <c r="FL58" s="60"/>
      <c r="FM58" s="60"/>
      <c r="FN58" s="60"/>
      <c r="FO58" s="60"/>
      <c r="FP58" s="60"/>
      <c r="FQ58" s="60"/>
      <c r="FR58" s="60"/>
      <c r="FS58" s="60"/>
      <c r="FT58" s="60"/>
      <c r="FU58" s="60"/>
      <c r="FV58" s="60"/>
      <c r="FW58" s="60"/>
      <c r="FX58" s="60"/>
      <c r="FY58" s="60"/>
      <c r="FZ58" s="60"/>
      <c r="GA58" s="60"/>
      <c r="GB58" s="60"/>
      <c r="GC58" s="60"/>
      <c r="GD58" s="60"/>
      <c r="GE58" s="60"/>
      <c r="GF58" s="60"/>
      <c r="GG58" s="60"/>
      <c r="GH58" s="60"/>
      <c r="GI58" s="60"/>
      <c r="GJ58" s="60"/>
      <c r="GK58" s="60"/>
      <c r="GL58" s="60"/>
      <c r="GM58" s="60"/>
      <c r="GN58" s="60"/>
      <c r="GO58" s="60"/>
      <c r="GP58" s="60"/>
      <c r="GQ58" s="60"/>
      <c r="GR58" s="60"/>
      <c r="GS58" s="60"/>
      <c r="GT58" s="60"/>
      <c r="GU58" s="60"/>
      <c r="GV58" s="60"/>
      <c r="GW58" s="60"/>
      <c r="GX58" s="60"/>
      <c r="GY58" s="60"/>
      <c r="GZ58" s="60"/>
      <c r="HA58" s="60"/>
      <c r="HB58" s="60"/>
      <c r="HC58" s="60"/>
      <c r="HD58" s="60"/>
      <c r="HE58" s="60"/>
      <c r="HF58" s="60"/>
      <c r="HG58" s="60"/>
      <c r="HH58" s="60"/>
      <c r="HI58" s="60"/>
      <c r="HJ58" s="60"/>
      <c r="HK58" s="60"/>
      <c r="HL58" s="60"/>
      <c r="HM58" s="60"/>
      <c r="HN58" s="60"/>
      <c r="HO58" s="60"/>
      <c r="HP58" s="60"/>
      <c r="HQ58" s="60"/>
      <c r="HR58" s="60"/>
      <c r="HS58" s="60"/>
      <c r="HT58" s="60"/>
      <c r="HU58" s="60"/>
      <c r="HV58" s="60"/>
      <c r="HW58" s="60"/>
      <c r="HX58" s="60"/>
      <c r="HY58" s="60"/>
      <c r="HZ58" s="60"/>
      <c r="IA58" s="60"/>
      <c r="IB58" s="60"/>
      <c r="IC58" s="60"/>
      <c r="ID58" s="60"/>
      <c r="IE58" s="60"/>
      <c r="IF58" s="60"/>
      <c r="IG58" s="60"/>
      <c r="IH58" s="60"/>
      <c r="II58" s="60"/>
      <c r="IJ58" s="60"/>
      <c r="IK58" s="60"/>
      <c r="IL58" s="60"/>
      <c r="IM58" s="60"/>
      <c r="IN58" s="60"/>
      <c r="IO58" s="60"/>
      <c r="IP58" s="60"/>
      <c r="IQ58" s="60"/>
      <c r="IR58" s="60"/>
      <c r="IS58" s="60"/>
      <c r="IT58" s="60"/>
      <c r="IU58" s="60"/>
      <c r="IV58" s="60"/>
      <c r="IW58" s="60"/>
      <c r="IX58" s="60"/>
      <c r="IY58" s="60"/>
      <c r="IZ58" s="60"/>
      <c r="JA58" s="60"/>
      <c r="JB58" s="60"/>
      <c r="JC58" s="60"/>
      <c r="JD58" s="60"/>
      <c r="JE58" s="60"/>
      <c r="JF58" s="60"/>
      <c r="JG58" s="60"/>
      <c r="JH58" s="60"/>
      <c r="JI58" s="60"/>
      <c r="JJ58" s="60"/>
      <c r="JK58" s="60"/>
      <c r="JL58" s="60"/>
      <c r="JM58" s="60"/>
      <c r="JN58" s="60"/>
      <c r="JO58" s="60"/>
      <c r="JP58" s="60"/>
      <c r="JQ58" s="60"/>
      <c r="JR58" s="60"/>
      <c r="JS58" s="60"/>
      <c r="JT58" s="60"/>
      <c r="JU58" s="60"/>
      <c r="JV58" s="60"/>
      <c r="JW58" s="60"/>
      <c r="JX58" s="60"/>
      <c r="JY58" s="60"/>
      <c r="JZ58" s="60"/>
      <c r="KA58" s="60"/>
      <c r="KB58" s="60"/>
      <c r="KC58" s="60"/>
      <c r="KD58" s="60"/>
      <c r="KE58" s="60"/>
      <c r="KF58" s="60"/>
      <c r="KG58" s="60"/>
      <c r="KH58" s="60"/>
      <c r="KI58" s="60"/>
      <c r="KJ58" s="60"/>
      <c r="KK58" s="60"/>
      <c r="KL58" s="60"/>
      <c r="KM58" s="60"/>
      <c r="KN58" s="60"/>
      <c r="KO58" s="60"/>
      <c r="KP58" s="60"/>
      <c r="KQ58" s="60"/>
      <c r="KR58" s="60"/>
      <c r="KS58" s="60"/>
      <c r="KT58" s="60"/>
      <c r="KU58" s="60"/>
      <c r="KV58" s="60"/>
      <c r="KW58" s="60"/>
      <c r="KX58" s="60"/>
      <c r="KY58" s="60"/>
      <c r="KZ58" s="60"/>
      <c r="LA58" s="60"/>
      <c r="LB58" s="60"/>
      <c r="LC58" s="60"/>
      <c r="LD58" s="60"/>
      <c r="LE58" s="60"/>
      <c r="LF58" s="60"/>
      <c r="LG58" s="60"/>
      <c r="LH58" s="60"/>
    </row>
    <row r="59" spans="1:320" s="17" customFormat="1" x14ac:dyDescent="0.25">
      <c r="A59" s="147"/>
      <c r="E59" s="156"/>
      <c r="F59" s="156"/>
      <c r="G59" s="156"/>
      <c r="H59" s="156"/>
      <c r="I59" s="156"/>
      <c r="J59" s="156"/>
      <c r="K59" s="156"/>
      <c r="L59" s="156"/>
      <c r="M59" s="156"/>
      <c r="N59" s="156"/>
      <c r="O59" s="156"/>
      <c r="P59" s="156"/>
      <c r="Q59" s="156"/>
      <c r="R59" s="156"/>
      <c r="S59" s="156"/>
      <c r="AC59" s="60"/>
      <c r="AD59" s="60"/>
      <c r="AE59" s="60"/>
      <c r="AF59" s="60"/>
      <c r="AG59" s="60"/>
      <c r="AH59" s="60"/>
      <c r="AI59" s="60"/>
      <c r="AJ59" s="60"/>
      <c r="AK59" s="60"/>
      <c r="AL59" s="60"/>
      <c r="AM59" s="60"/>
      <c r="AN59" s="60"/>
      <c r="AO59" s="60"/>
      <c r="AP59" s="60"/>
      <c r="AQ59" s="60"/>
      <c r="AR59" s="60"/>
      <c r="AS59" s="60"/>
      <c r="AT59" s="60"/>
      <c r="AU59" s="60"/>
      <c r="AV59" s="60"/>
      <c r="AW59" s="60"/>
      <c r="AX59" s="60"/>
      <c r="AY59" s="60"/>
      <c r="AZ59" s="60"/>
      <c r="BA59" s="60"/>
      <c r="BB59" s="60"/>
      <c r="BC59" s="60"/>
      <c r="BD59" s="60"/>
      <c r="BE59" s="60"/>
      <c r="BF59" s="60"/>
      <c r="BG59" s="60"/>
      <c r="BH59" s="60"/>
      <c r="BI59" s="60"/>
      <c r="BJ59" s="60"/>
      <c r="BK59" s="60"/>
      <c r="BL59" s="60"/>
      <c r="BM59" s="60"/>
      <c r="BN59" s="60"/>
      <c r="BO59" s="60"/>
      <c r="BP59" s="60"/>
      <c r="BQ59" s="60"/>
      <c r="BR59" s="60"/>
      <c r="BS59" s="60"/>
      <c r="BT59" s="60"/>
      <c r="BU59" s="60"/>
      <c r="BV59" s="60"/>
      <c r="BW59" s="60"/>
      <c r="BX59" s="60"/>
      <c r="BY59" s="60"/>
      <c r="BZ59" s="60"/>
      <c r="CA59" s="60"/>
      <c r="CB59" s="60"/>
      <c r="CC59" s="60"/>
      <c r="CD59" s="60"/>
      <c r="CE59" s="60"/>
      <c r="CF59" s="60"/>
      <c r="CG59" s="60"/>
      <c r="CH59" s="60"/>
      <c r="CI59" s="60"/>
      <c r="CJ59" s="60"/>
      <c r="CK59" s="60"/>
      <c r="CL59" s="60"/>
      <c r="CM59" s="60"/>
      <c r="CN59" s="60"/>
      <c r="CO59" s="60"/>
      <c r="CP59" s="60"/>
      <c r="CQ59" s="60"/>
      <c r="CR59" s="60"/>
      <c r="CS59" s="60"/>
      <c r="CT59" s="60"/>
      <c r="CU59" s="60"/>
      <c r="CV59" s="60"/>
      <c r="CW59" s="60"/>
      <c r="CX59" s="60"/>
      <c r="CY59" s="60"/>
      <c r="CZ59" s="60"/>
      <c r="DA59" s="60"/>
      <c r="DB59" s="60"/>
      <c r="DC59" s="60"/>
      <c r="DD59" s="60"/>
      <c r="DE59" s="60"/>
      <c r="DF59" s="60"/>
      <c r="DG59" s="60"/>
      <c r="DH59" s="60"/>
      <c r="DI59" s="60"/>
      <c r="DJ59" s="60"/>
      <c r="DK59" s="60"/>
      <c r="DL59" s="60"/>
      <c r="DM59" s="60"/>
      <c r="DN59" s="60"/>
      <c r="DO59" s="60"/>
      <c r="DP59" s="60"/>
      <c r="DQ59" s="60"/>
      <c r="DR59" s="60"/>
      <c r="DS59" s="60"/>
      <c r="DT59" s="60"/>
      <c r="DU59" s="60"/>
      <c r="DV59" s="60"/>
      <c r="DW59" s="60"/>
      <c r="DX59" s="60"/>
      <c r="DY59" s="60"/>
      <c r="DZ59" s="60"/>
      <c r="EA59" s="60"/>
      <c r="EB59" s="60"/>
      <c r="EC59" s="60"/>
      <c r="ED59" s="60"/>
      <c r="EE59" s="60"/>
      <c r="EF59" s="60"/>
      <c r="EG59" s="60"/>
      <c r="EH59" s="60"/>
      <c r="EI59" s="60"/>
      <c r="EJ59" s="60"/>
      <c r="EK59" s="60"/>
      <c r="EL59" s="60"/>
      <c r="EM59" s="60"/>
      <c r="EN59" s="60"/>
      <c r="EO59" s="60"/>
      <c r="EP59" s="60"/>
      <c r="EQ59" s="60"/>
      <c r="ER59" s="60"/>
      <c r="ES59" s="60"/>
      <c r="ET59" s="60"/>
      <c r="EU59" s="60"/>
      <c r="EV59" s="60"/>
      <c r="EW59" s="60"/>
      <c r="EX59" s="60"/>
      <c r="EY59" s="60"/>
      <c r="EZ59" s="60"/>
      <c r="FA59" s="60"/>
      <c r="FB59" s="60"/>
      <c r="FC59" s="60"/>
      <c r="FD59" s="60"/>
      <c r="FE59" s="60"/>
      <c r="FF59" s="60"/>
      <c r="FG59" s="60"/>
      <c r="FH59" s="60"/>
      <c r="FI59" s="60"/>
      <c r="FJ59" s="60"/>
      <c r="FK59" s="60"/>
      <c r="FL59" s="60"/>
      <c r="FM59" s="60"/>
      <c r="FN59" s="60"/>
      <c r="FO59" s="60"/>
      <c r="FP59" s="60"/>
      <c r="FQ59" s="60"/>
      <c r="FR59" s="60"/>
      <c r="FS59" s="60"/>
      <c r="FT59" s="60"/>
      <c r="FU59" s="60"/>
      <c r="FV59" s="60"/>
      <c r="FW59" s="60"/>
      <c r="FX59" s="60"/>
      <c r="FY59" s="60"/>
      <c r="FZ59" s="60"/>
      <c r="GA59" s="60"/>
      <c r="GB59" s="60"/>
      <c r="GC59" s="60"/>
      <c r="GD59" s="60"/>
      <c r="GE59" s="60"/>
      <c r="GF59" s="60"/>
      <c r="GG59" s="60"/>
      <c r="GH59" s="60"/>
      <c r="GI59" s="60"/>
      <c r="GJ59" s="60"/>
      <c r="GK59" s="60"/>
      <c r="GL59" s="60"/>
      <c r="GM59" s="60"/>
      <c r="GN59" s="60"/>
      <c r="GO59" s="60"/>
      <c r="GP59" s="60"/>
      <c r="GQ59" s="60"/>
      <c r="GR59" s="60"/>
      <c r="GS59" s="60"/>
      <c r="GT59" s="60"/>
      <c r="GU59" s="60"/>
      <c r="GV59" s="60"/>
      <c r="GW59" s="60"/>
      <c r="GX59" s="60"/>
      <c r="GY59" s="60"/>
      <c r="GZ59" s="60"/>
      <c r="HA59" s="60"/>
      <c r="HB59" s="60"/>
      <c r="HC59" s="60"/>
      <c r="HD59" s="60"/>
      <c r="HE59" s="60"/>
      <c r="HF59" s="60"/>
      <c r="HG59" s="60"/>
      <c r="HH59" s="60"/>
      <c r="HI59" s="60"/>
      <c r="HJ59" s="60"/>
      <c r="HK59" s="60"/>
      <c r="HL59" s="60"/>
      <c r="HM59" s="60"/>
      <c r="HN59" s="60"/>
      <c r="HO59" s="60"/>
      <c r="HP59" s="60"/>
      <c r="HQ59" s="60"/>
      <c r="HR59" s="60"/>
      <c r="HS59" s="60"/>
      <c r="HT59" s="60"/>
      <c r="HU59" s="60"/>
      <c r="HV59" s="60"/>
      <c r="HW59" s="60"/>
      <c r="HX59" s="60"/>
      <c r="HY59" s="60"/>
      <c r="HZ59" s="60"/>
      <c r="IA59" s="60"/>
      <c r="IB59" s="60"/>
      <c r="IC59" s="60"/>
      <c r="ID59" s="60"/>
      <c r="IE59" s="60"/>
      <c r="IF59" s="60"/>
      <c r="IG59" s="60"/>
      <c r="IH59" s="60"/>
      <c r="II59" s="60"/>
      <c r="IJ59" s="60"/>
      <c r="IK59" s="60"/>
      <c r="IL59" s="60"/>
      <c r="IM59" s="60"/>
      <c r="IN59" s="60"/>
      <c r="IO59" s="60"/>
      <c r="IP59" s="60"/>
      <c r="IQ59" s="60"/>
      <c r="IR59" s="60"/>
      <c r="IS59" s="60"/>
      <c r="IT59" s="60"/>
      <c r="IU59" s="60"/>
      <c r="IV59" s="60"/>
      <c r="IW59" s="60"/>
      <c r="IX59" s="60"/>
      <c r="IY59" s="60"/>
      <c r="IZ59" s="60"/>
      <c r="JA59" s="60"/>
      <c r="JB59" s="60"/>
      <c r="JC59" s="60"/>
      <c r="JD59" s="60"/>
      <c r="JE59" s="60"/>
      <c r="JF59" s="60"/>
      <c r="JG59" s="60"/>
      <c r="JH59" s="60"/>
      <c r="JI59" s="60"/>
      <c r="JJ59" s="60"/>
      <c r="JK59" s="60"/>
      <c r="JL59" s="60"/>
      <c r="JM59" s="60"/>
      <c r="JN59" s="60"/>
      <c r="JO59" s="60"/>
      <c r="JP59" s="60"/>
      <c r="JQ59" s="60"/>
      <c r="JR59" s="60"/>
      <c r="JS59" s="60"/>
      <c r="JT59" s="60"/>
      <c r="JU59" s="60"/>
      <c r="JV59" s="60"/>
      <c r="JW59" s="60"/>
      <c r="JX59" s="60"/>
      <c r="JY59" s="60"/>
      <c r="JZ59" s="60"/>
      <c r="KA59" s="60"/>
      <c r="KB59" s="60"/>
      <c r="KC59" s="60"/>
      <c r="KD59" s="60"/>
      <c r="KE59" s="60"/>
      <c r="KF59" s="60"/>
      <c r="KG59" s="60"/>
      <c r="KH59" s="60"/>
      <c r="KI59" s="60"/>
      <c r="KJ59" s="60"/>
      <c r="KK59" s="60"/>
      <c r="KL59" s="60"/>
      <c r="KM59" s="60"/>
      <c r="KN59" s="60"/>
      <c r="KO59" s="60"/>
      <c r="KP59" s="60"/>
      <c r="KQ59" s="60"/>
      <c r="KR59" s="60"/>
      <c r="KS59" s="60"/>
      <c r="KT59" s="60"/>
      <c r="KU59" s="60"/>
      <c r="KV59" s="60"/>
      <c r="KW59" s="60"/>
      <c r="KX59" s="60"/>
      <c r="KY59" s="60"/>
      <c r="KZ59" s="60"/>
      <c r="LA59" s="60"/>
      <c r="LB59" s="60"/>
      <c r="LC59" s="60"/>
      <c r="LD59" s="60"/>
      <c r="LE59" s="60"/>
      <c r="LF59" s="60"/>
      <c r="LG59" s="60"/>
      <c r="LH59" s="60"/>
    </row>
    <row r="60" spans="1:320" s="17" customFormat="1" x14ac:dyDescent="0.25">
      <c r="A60" s="147"/>
      <c r="E60" s="156"/>
      <c r="F60" s="156"/>
      <c r="G60" s="156"/>
      <c r="H60" s="156"/>
      <c r="I60" s="156"/>
      <c r="J60" s="156"/>
      <c r="K60" s="156"/>
      <c r="L60" s="156"/>
      <c r="M60" s="156"/>
      <c r="N60" s="156"/>
      <c r="O60" s="156"/>
      <c r="P60" s="156"/>
      <c r="Q60" s="156"/>
      <c r="R60" s="156"/>
      <c r="S60" s="156"/>
      <c r="AC60" s="60"/>
      <c r="AD60" s="60"/>
      <c r="AE60" s="60"/>
      <c r="AF60" s="60"/>
      <c r="AG60" s="60"/>
      <c r="AH60" s="60"/>
      <c r="AI60" s="60"/>
      <c r="AJ60" s="60"/>
      <c r="AK60" s="60"/>
      <c r="AL60" s="60"/>
      <c r="AM60" s="60"/>
      <c r="AN60" s="60"/>
      <c r="AO60" s="60"/>
      <c r="AP60" s="60"/>
      <c r="AQ60" s="60"/>
      <c r="AR60" s="60"/>
      <c r="AS60" s="60"/>
      <c r="AT60" s="60"/>
      <c r="AU60" s="60"/>
      <c r="AV60" s="60"/>
      <c r="AW60" s="60"/>
      <c r="AX60" s="60"/>
      <c r="AY60" s="60"/>
      <c r="AZ60" s="60"/>
      <c r="BA60" s="60"/>
      <c r="BB60" s="60"/>
      <c r="BC60" s="60"/>
      <c r="BD60" s="60"/>
      <c r="BE60" s="60"/>
      <c r="BF60" s="60"/>
      <c r="BG60" s="60"/>
      <c r="BH60" s="60"/>
      <c r="BI60" s="60"/>
      <c r="BJ60" s="60"/>
      <c r="BK60" s="60"/>
      <c r="BL60" s="60"/>
      <c r="BM60" s="60"/>
      <c r="BN60" s="60"/>
      <c r="BO60" s="60"/>
      <c r="BP60" s="60"/>
      <c r="BQ60" s="60"/>
      <c r="BR60" s="60"/>
      <c r="BS60" s="60"/>
      <c r="BT60" s="60"/>
      <c r="BU60" s="60"/>
      <c r="BV60" s="60"/>
      <c r="BW60" s="60"/>
      <c r="BX60" s="60"/>
      <c r="BY60" s="60"/>
      <c r="BZ60" s="60"/>
      <c r="CA60" s="60"/>
      <c r="CB60" s="60"/>
      <c r="CC60" s="60"/>
      <c r="CD60" s="60"/>
      <c r="CE60" s="60"/>
      <c r="CF60" s="60"/>
      <c r="CG60" s="60"/>
      <c r="CH60" s="60"/>
      <c r="CI60" s="60"/>
      <c r="CJ60" s="60"/>
      <c r="CK60" s="60"/>
      <c r="CL60" s="60"/>
      <c r="CM60" s="60"/>
      <c r="CN60" s="60"/>
      <c r="CO60" s="60"/>
      <c r="CP60" s="60"/>
      <c r="CQ60" s="60"/>
      <c r="CR60" s="60"/>
      <c r="CS60" s="60"/>
      <c r="CT60" s="60"/>
      <c r="CU60" s="60"/>
      <c r="CV60" s="60"/>
      <c r="CW60" s="60"/>
      <c r="CX60" s="60"/>
      <c r="CY60" s="60"/>
      <c r="CZ60" s="60"/>
      <c r="DA60" s="60"/>
      <c r="DB60" s="60"/>
      <c r="DC60" s="60"/>
      <c r="DD60" s="60"/>
      <c r="DE60" s="60"/>
      <c r="DF60" s="60"/>
      <c r="DG60" s="60"/>
      <c r="DH60" s="60"/>
      <c r="DI60" s="60"/>
      <c r="DJ60" s="60"/>
      <c r="DK60" s="60"/>
      <c r="DL60" s="60"/>
      <c r="DM60" s="60"/>
      <c r="DN60" s="60"/>
      <c r="DO60" s="60"/>
      <c r="DP60" s="60"/>
      <c r="DQ60" s="60"/>
      <c r="DR60" s="60"/>
      <c r="DS60" s="60"/>
      <c r="DT60" s="60"/>
      <c r="DU60" s="60"/>
      <c r="DV60" s="60"/>
      <c r="DW60" s="60"/>
      <c r="DX60" s="60"/>
      <c r="DY60" s="60"/>
      <c r="DZ60" s="60"/>
      <c r="EA60" s="60"/>
      <c r="EB60" s="60"/>
      <c r="EC60" s="60"/>
      <c r="ED60" s="60"/>
      <c r="EE60" s="60"/>
      <c r="EF60" s="60"/>
      <c r="EG60" s="60"/>
      <c r="EH60" s="60"/>
      <c r="EI60" s="60"/>
      <c r="EJ60" s="60"/>
      <c r="EK60" s="60"/>
      <c r="EL60" s="60"/>
      <c r="EM60" s="60"/>
      <c r="EN60" s="60"/>
      <c r="EO60" s="60"/>
      <c r="EP60" s="60"/>
      <c r="EQ60" s="60"/>
      <c r="ER60" s="60"/>
      <c r="ES60" s="60"/>
      <c r="ET60" s="60"/>
      <c r="EU60" s="60"/>
      <c r="EV60" s="60"/>
      <c r="EW60" s="60"/>
      <c r="EX60" s="60"/>
      <c r="EY60" s="60"/>
      <c r="EZ60" s="60"/>
      <c r="FA60" s="60"/>
      <c r="FB60" s="60"/>
      <c r="FC60" s="60"/>
      <c r="FD60" s="60"/>
      <c r="FE60" s="60"/>
      <c r="FF60" s="60"/>
      <c r="FG60" s="60"/>
      <c r="FH60" s="60"/>
      <c r="FI60" s="60"/>
      <c r="FJ60" s="60"/>
      <c r="FK60" s="60"/>
      <c r="FL60" s="60"/>
      <c r="FM60" s="60"/>
      <c r="FN60" s="60"/>
      <c r="FO60" s="60"/>
      <c r="FP60" s="60"/>
      <c r="FQ60" s="60"/>
      <c r="FR60" s="60"/>
      <c r="FS60" s="60"/>
      <c r="FT60" s="60"/>
      <c r="FU60" s="60"/>
      <c r="FV60" s="60"/>
      <c r="FW60" s="60"/>
      <c r="FX60" s="60"/>
      <c r="FY60" s="60"/>
      <c r="FZ60" s="60"/>
      <c r="GA60" s="60"/>
      <c r="GB60" s="60"/>
      <c r="GC60" s="60"/>
      <c r="GD60" s="60"/>
      <c r="GE60" s="60"/>
      <c r="GF60" s="60"/>
      <c r="GG60" s="60"/>
      <c r="GH60" s="60"/>
      <c r="GI60" s="60"/>
      <c r="GJ60" s="60"/>
      <c r="GK60" s="60"/>
      <c r="GL60" s="60"/>
      <c r="GM60" s="60"/>
      <c r="GN60" s="60"/>
      <c r="GO60" s="60"/>
      <c r="GP60" s="60"/>
      <c r="GQ60" s="60"/>
      <c r="GR60" s="60"/>
      <c r="GS60" s="60"/>
      <c r="GT60" s="60"/>
      <c r="GU60" s="60"/>
      <c r="GV60" s="60"/>
      <c r="GW60" s="60"/>
      <c r="GX60" s="60"/>
      <c r="GY60" s="60"/>
      <c r="GZ60" s="60"/>
      <c r="HA60" s="60"/>
      <c r="HB60" s="60"/>
      <c r="HC60" s="60"/>
      <c r="HD60" s="60"/>
      <c r="HE60" s="60"/>
      <c r="HF60" s="60"/>
      <c r="HG60" s="60"/>
      <c r="HH60" s="60"/>
      <c r="HI60" s="60"/>
      <c r="HJ60" s="60"/>
      <c r="HK60" s="60"/>
      <c r="HL60" s="60"/>
      <c r="HM60" s="60"/>
      <c r="HN60" s="60"/>
      <c r="HO60" s="60"/>
      <c r="HP60" s="60"/>
      <c r="HQ60" s="60"/>
      <c r="HR60" s="60"/>
      <c r="HS60" s="60"/>
      <c r="HT60" s="60"/>
      <c r="HU60" s="60"/>
      <c r="HV60" s="60"/>
      <c r="HW60" s="60"/>
      <c r="HX60" s="60"/>
      <c r="HY60" s="60"/>
      <c r="HZ60" s="60"/>
      <c r="IA60" s="60"/>
      <c r="IB60" s="60"/>
      <c r="IC60" s="60"/>
      <c r="ID60" s="60"/>
      <c r="IE60" s="60"/>
      <c r="IF60" s="60"/>
      <c r="IG60" s="60"/>
      <c r="IH60" s="60"/>
      <c r="II60" s="60"/>
      <c r="IJ60" s="60"/>
      <c r="IK60" s="60"/>
      <c r="IL60" s="60"/>
      <c r="IM60" s="60"/>
      <c r="IN60" s="60"/>
      <c r="IO60" s="60"/>
      <c r="IP60" s="60"/>
      <c r="IQ60" s="60"/>
      <c r="IR60" s="60"/>
      <c r="IS60" s="60"/>
      <c r="IT60" s="60"/>
      <c r="IU60" s="60"/>
      <c r="IV60" s="60"/>
      <c r="IW60" s="60"/>
      <c r="IX60" s="60"/>
      <c r="IY60" s="60"/>
      <c r="IZ60" s="60"/>
      <c r="JA60" s="60"/>
      <c r="JB60" s="60"/>
      <c r="JC60" s="60"/>
      <c r="JD60" s="60"/>
      <c r="JE60" s="60"/>
      <c r="JF60" s="60"/>
      <c r="JG60" s="60"/>
      <c r="JH60" s="60"/>
      <c r="JI60" s="60"/>
      <c r="JJ60" s="60"/>
      <c r="JK60" s="60"/>
      <c r="JL60" s="60"/>
      <c r="JM60" s="60"/>
      <c r="JN60" s="60"/>
      <c r="JO60" s="60"/>
      <c r="JP60" s="60"/>
      <c r="JQ60" s="60"/>
      <c r="JR60" s="60"/>
      <c r="JS60" s="60"/>
      <c r="JT60" s="60"/>
      <c r="JU60" s="60"/>
      <c r="JV60" s="60"/>
      <c r="JW60" s="60"/>
      <c r="JX60" s="60"/>
      <c r="JY60" s="60"/>
      <c r="JZ60" s="60"/>
      <c r="KA60" s="60"/>
      <c r="KB60" s="60"/>
      <c r="KC60" s="60"/>
      <c r="KD60" s="60"/>
      <c r="KE60" s="60"/>
      <c r="KF60" s="60"/>
      <c r="KG60" s="60"/>
      <c r="KH60" s="60"/>
      <c r="KI60" s="60"/>
      <c r="KJ60" s="60"/>
      <c r="KK60" s="60"/>
      <c r="KL60" s="60"/>
      <c r="KM60" s="60"/>
      <c r="KN60" s="60"/>
      <c r="KO60" s="60"/>
      <c r="KP60" s="60"/>
      <c r="KQ60" s="60"/>
      <c r="KR60" s="60"/>
      <c r="KS60" s="60"/>
      <c r="KT60" s="60"/>
      <c r="KU60" s="60"/>
      <c r="KV60" s="60"/>
      <c r="KW60" s="60"/>
      <c r="KX60" s="60"/>
      <c r="KY60" s="60"/>
      <c r="KZ60" s="60"/>
      <c r="LA60" s="60"/>
      <c r="LB60" s="60"/>
      <c r="LC60" s="60"/>
      <c r="LD60" s="60"/>
      <c r="LE60" s="60"/>
      <c r="LF60" s="60"/>
      <c r="LG60" s="60"/>
      <c r="LH60" s="60"/>
    </row>
    <row r="61" spans="1:320" s="17" customFormat="1" ht="14.1" customHeight="1" x14ac:dyDescent="0.25">
      <c r="A61" s="147"/>
      <c r="E61" s="156"/>
      <c r="F61" s="156"/>
      <c r="G61" s="156"/>
      <c r="H61" s="156"/>
      <c r="I61" s="156"/>
      <c r="J61" s="156"/>
      <c r="K61" s="156"/>
      <c r="L61" s="156"/>
      <c r="M61" s="156"/>
      <c r="N61" s="156"/>
      <c r="O61" s="156"/>
      <c r="P61" s="156"/>
      <c r="Q61" s="156"/>
      <c r="R61" s="156"/>
      <c r="S61" s="156"/>
      <c r="AC61" s="60"/>
      <c r="AD61" s="60"/>
      <c r="AE61" s="60"/>
      <c r="AF61" s="60"/>
      <c r="AG61" s="60"/>
      <c r="AH61" s="60"/>
      <c r="AI61" s="60"/>
      <c r="AJ61" s="60"/>
      <c r="AK61" s="60"/>
      <c r="AL61" s="60"/>
      <c r="AM61" s="60"/>
      <c r="AN61" s="60"/>
      <c r="AO61" s="60"/>
      <c r="AP61" s="60"/>
      <c r="AQ61" s="60"/>
      <c r="AR61" s="60"/>
      <c r="AS61" s="60"/>
      <c r="AT61" s="60"/>
      <c r="AU61" s="60"/>
      <c r="AV61" s="60"/>
      <c r="AW61" s="60"/>
      <c r="AX61" s="60"/>
      <c r="AY61" s="60"/>
      <c r="AZ61" s="60"/>
      <c r="BA61" s="60"/>
      <c r="BB61" s="60"/>
      <c r="BC61" s="60"/>
      <c r="BD61" s="60"/>
      <c r="BE61" s="60"/>
      <c r="BF61" s="60"/>
      <c r="BG61" s="60"/>
      <c r="BH61" s="60"/>
      <c r="BI61" s="60"/>
      <c r="BJ61" s="60"/>
      <c r="BK61" s="60"/>
      <c r="BL61" s="60"/>
      <c r="BM61" s="60"/>
      <c r="BN61" s="60"/>
      <c r="BO61" s="60"/>
      <c r="BP61" s="60"/>
      <c r="BQ61" s="60"/>
      <c r="BR61" s="60"/>
      <c r="BS61" s="60"/>
      <c r="BT61" s="60"/>
      <c r="BU61" s="60"/>
      <c r="BV61" s="60"/>
      <c r="BW61" s="60"/>
      <c r="BX61" s="60"/>
      <c r="BY61" s="60"/>
      <c r="BZ61" s="60"/>
      <c r="CA61" s="60"/>
      <c r="CB61" s="60"/>
      <c r="CC61" s="60"/>
      <c r="CD61" s="60"/>
      <c r="CE61" s="60"/>
      <c r="CF61" s="60"/>
      <c r="CG61" s="60"/>
      <c r="CH61" s="60"/>
      <c r="CI61" s="60"/>
      <c r="CJ61" s="60"/>
      <c r="CK61" s="60"/>
      <c r="CL61" s="60"/>
      <c r="CM61" s="60"/>
      <c r="CN61" s="60"/>
      <c r="CO61" s="60"/>
      <c r="CP61" s="60"/>
      <c r="CQ61" s="60"/>
      <c r="CR61" s="60"/>
      <c r="CS61" s="60"/>
      <c r="CT61" s="60"/>
      <c r="CU61" s="60"/>
      <c r="CV61" s="60"/>
      <c r="CW61" s="60"/>
      <c r="CX61" s="60"/>
      <c r="CY61" s="60"/>
      <c r="CZ61" s="60"/>
      <c r="DA61" s="60"/>
      <c r="DB61" s="60"/>
      <c r="DC61" s="60"/>
      <c r="DD61" s="60"/>
      <c r="DE61" s="60"/>
      <c r="DF61" s="60"/>
      <c r="DG61" s="60"/>
      <c r="DH61" s="60"/>
      <c r="DI61" s="60"/>
      <c r="DJ61" s="60"/>
      <c r="DK61" s="60"/>
      <c r="DL61" s="60"/>
      <c r="DM61" s="60"/>
      <c r="DN61" s="60"/>
      <c r="DO61" s="60"/>
      <c r="DP61" s="60"/>
      <c r="DQ61" s="60"/>
      <c r="DR61" s="60"/>
      <c r="DS61" s="60"/>
      <c r="DT61" s="60"/>
      <c r="DU61" s="60"/>
      <c r="DV61" s="60"/>
      <c r="DW61" s="60"/>
      <c r="DX61" s="60"/>
      <c r="DY61" s="60"/>
      <c r="DZ61" s="60"/>
      <c r="EA61" s="60"/>
      <c r="EB61" s="60"/>
      <c r="EC61" s="60"/>
      <c r="ED61" s="60"/>
      <c r="EE61" s="60"/>
      <c r="EF61" s="60"/>
      <c r="EG61" s="60"/>
      <c r="EH61" s="60"/>
      <c r="EI61" s="60"/>
      <c r="EJ61" s="60"/>
      <c r="EK61" s="60"/>
      <c r="EL61" s="60"/>
      <c r="EM61" s="60"/>
      <c r="EN61" s="60"/>
      <c r="EO61" s="60"/>
      <c r="EP61" s="60"/>
      <c r="EQ61" s="60"/>
      <c r="ER61" s="60"/>
      <c r="ES61" s="60"/>
      <c r="ET61" s="60"/>
      <c r="EU61" s="60"/>
      <c r="EV61" s="60"/>
      <c r="EW61" s="60"/>
      <c r="EX61" s="60"/>
      <c r="EY61" s="60"/>
      <c r="EZ61" s="60"/>
      <c r="FA61" s="60"/>
      <c r="FB61" s="60"/>
      <c r="FC61" s="60"/>
      <c r="FD61" s="60"/>
      <c r="FE61" s="60"/>
      <c r="FF61" s="60"/>
      <c r="FG61" s="60"/>
      <c r="FH61" s="60"/>
      <c r="FI61" s="60"/>
      <c r="FJ61" s="60"/>
      <c r="FK61" s="60"/>
      <c r="FL61" s="60"/>
      <c r="FM61" s="60"/>
      <c r="FN61" s="60"/>
      <c r="FO61" s="60"/>
      <c r="FP61" s="60"/>
      <c r="FQ61" s="60"/>
      <c r="FR61" s="60"/>
      <c r="FS61" s="60"/>
      <c r="FT61" s="60"/>
      <c r="FU61" s="60"/>
      <c r="FV61" s="60"/>
      <c r="FW61" s="60"/>
      <c r="FX61" s="60"/>
      <c r="FY61" s="60"/>
      <c r="FZ61" s="60"/>
      <c r="GA61" s="60"/>
      <c r="GB61" s="60"/>
      <c r="GC61" s="60"/>
      <c r="GD61" s="60"/>
      <c r="GE61" s="60"/>
      <c r="GF61" s="60"/>
      <c r="GG61" s="60"/>
      <c r="GH61" s="60"/>
      <c r="GI61" s="60"/>
      <c r="GJ61" s="60"/>
      <c r="GK61" s="60"/>
      <c r="GL61" s="60"/>
      <c r="GM61" s="60"/>
      <c r="GN61" s="60"/>
      <c r="GO61" s="60"/>
      <c r="GP61" s="60"/>
      <c r="GQ61" s="60"/>
      <c r="GR61" s="60"/>
      <c r="GS61" s="60"/>
      <c r="GT61" s="60"/>
      <c r="GU61" s="60"/>
      <c r="GV61" s="60"/>
      <c r="GW61" s="60"/>
      <c r="GX61" s="60"/>
      <c r="GY61" s="60"/>
      <c r="GZ61" s="60"/>
      <c r="HA61" s="60"/>
      <c r="HB61" s="60"/>
      <c r="HC61" s="60"/>
      <c r="HD61" s="60"/>
      <c r="HE61" s="60"/>
      <c r="HF61" s="60"/>
      <c r="HG61" s="60"/>
      <c r="HH61" s="60"/>
      <c r="HI61" s="60"/>
      <c r="HJ61" s="60"/>
      <c r="HK61" s="60"/>
      <c r="HL61" s="60"/>
      <c r="HM61" s="60"/>
      <c r="HN61" s="60"/>
      <c r="HO61" s="60"/>
      <c r="HP61" s="60"/>
      <c r="HQ61" s="60"/>
      <c r="HR61" s="60"/>
      <c r="HS61" s="60"/>
      <c r="HT61" s="60"/>
      <c r="HU61" s="60"/>
      <c r="HV61" s="60"/>
      <c r="HW61" s="60"/>
      <c r="HX61" s="60"/>
      <c r="HY61" s="60"/>
      <c r="HZ61" s="60"/>
      <c r="IA61" s="60"/>
      <c r="IB61" s="60"/>
      <c r="IC61" s="60"/>
      <c r="ID61" s="60"/>
      <c r="IE61" s="60"/>
      <c r="IF61" s="60"/>
      <c r="IG61" s="60"/>
      <c r="IH61" s="60"/>
      <c r="II61" s="60"/>
      <c r="IJ61" s="60"/>
      <c r="IK61" s="60"/>
      <c r="IL61" s="60"/>
      <c r="IM61" s="60"/>
      <c r="IN61" s="60"/>
      <c r="IO61" s="60"/>
      <c r="IP61" s="60"/>
      <c r="IQ61" s="60"/>
      <c r="IR61" s="60"/>
      <c r="IS61" s="60"/>
      <c r="IT61" s="60"/>
      <c r="IU61" s="60"/>
      <c r="IV61" s="60"/>
      <c r="IW61" s="60"/>
      <c r="IX61" s="60"/>
      <c r="IY61" s="60"/>
      <c r="IZ61" s="60"/>
      <c r="JA61" s="60"/>
      <c r="JB61" s="60"/>
      <c r="JC61" s="60"/>
      <c r="JD61" s="60"/>
      <c r="JE61" s="60"/>
      <c r="JF61" s="60"/>
      <c r="JG61" s="60"/>
      <c r="JH61" s="60"/>
      <c r="JI61" s="60"/>
      <c r="JJ61" s="60"/>
      <c r="JK61" s="60"/>
      <c r="JL61" s="60"/>
      <c r="JM61" s="60"/>
      <c r="JN61" s="60"/>
      <c r="JO61" s="60"/>
      <c r="JP61" s="60"/>
      <c r="JQ61" s="60"/>
      <c r="JR61" s="60"/>
      <c r="JS61" s="60"/>
      <c r="JT61" s="60"/>
      <c r="JU61" s="60"/>
      <c r="JV61" s="60"/>
      <c r="JW61" s="60"/>
      <c r="JX61" s="60"/>
      <c r="JY61" s="60"/>
      <c r="JZ61" s="60"/>
      <c r="KA61" s="60"/>
      <c r="KB61" s="60"/>
      <c r="KC61" s="60"/>
      <c r="KD61" s="60"/>
      <c r="KE61" s="60"/>
      <c r="KF61" s="60"/>
      <c r="KG61" s="60"/>
      <c r="KH61" s="60"/>
      <c r="KI61" s="60"/>
      <c r="KJ61" s="60"/>
      <c r="KK61" s="60"/>
      <c r="KL61" s="60"/>
      <c r="KM61" s="60"/>
      <c r="KN61" s="60"/>
      <c r="KO61" s="60"/>
      <c r="KP61" s="60"/>
      <c r="KQ61" s="60"/>
      <c r="KR61" s="60"/>
      <c r="KS61" s="60"/>
      <c r="KT61" s="60"/>
      <c r="KU61" s="60"/>
      <c r="KV61" s="60"/>
      <c r="KW61" s="60"/>
      <c r="KX61" s="60"/>
      <c r="KY61" s="60"/>
      <c r="KZ61" s="60"/>
      <c r="LA61" s="60"/>
      <c r="LB61" s="60"/>
      <c r="LC61" s="60"/>
      <c r="LD61" s="60"/>
      <c r="LE61" s="60"/>
      <c r="LF61" s="60"/>
      <c r="LG61" s="60"/>
      <c r="LH61" s="60"/>
    </row>
    <row r="62" spans="1:320" s="17" customFormat="1" ht="14.1" customHeight="1" x14ac:dyDescent="0.25">
      <c r="A62" s="147"/>
      <c r="E62" s="156"/>
      <c r="F62" s="156"/>
      <c r="G62" s="156"/>
      <c r="H62" s="156"/>
      <c r="I62" s="156"/>
      <c r="J62" s="156"/>
      <c r="K62" s="156"/>
      <c r="L62" s="156"/>
      <c r="M62" s="156"/>
      <c r="N62" s="156"/>
      <c r="O62" s="156"/>
      <c r="P62" s="156"/>
      <c r="Q62" s="156"/>
      <c r="R62" s="156"/>
      <c r="S62" s="156"/>
      <c r="AC62" s="60"/>
      <c r="AD62" s="60"/>
      <c r="AE62" s="60"/>
      <c r="AF62" s="60"/>
      <c r="AG62" s="60"/>
      <c r="AH62" s="60"/>
      <c r="AI62" s="60"/>
      <c r="AJ62" s="60"/>
      <c r="AK62" s="60"/>
      <c r="AL62" s="60"/>
      <c r="AM62" s="60"/>
      <c r="AN62" s="60"/>
      <c r="AO62" s="60"/>
      <c r="AP62" s="60"/>
      <c r="AQ62" s="60"/>
      <c r="AR62" s="60"/>
      <c r="AS62" s="60"/>
      <c r="AT62" s="60"/>
      <c r="AU62" s="60"/>
      <c r="AV62" s="60"/>
      <c r="AW62" s="60"/>
      <c r="AX62" s="60"/>
      <c r="AY62" s="60"/>
      <c r="AZ62" s="60"/>
      <c r="BA62" s="60"/>
      <c r="BB62" s="60"/>
      <c r="BC62" s="60"/>
      <c r="BD62" s="60"/>
      <c r="BE62" s="60"/>
      <c r="BF62" s="60"/>
      <c r="BG62" s="60"/>
      <c r="BH62" s="60"/>
      <c r="BI62" s="60"/>
      <c r="BJ62" s="60"/>
      <c r="BK62" s="60"/>
      <c r="BL62" s="60"/>
      <c r="BM62" s="60"/>
      <c r="BN62" s="60"/>
      <c r="BO62" s="60"/>
      <c r="BP62" s="60"/>
      <c r="BQ62" s="60"/>
      <c r="BR62" s="60"/>
      <c r="BS62" s="60"/>
      <c r="BT62" s="60"/>
      <c r="BU62" s="60"/>
      <c r="BV62" s="60"/>
      <c r="BW62" s="60"/>
      <c r="BX62" s="60"/>
      <c r="BY62" s="60"/>
      <c r="BZ62" s="60"/>
      <c r="CA62" s="60"/>
      <c r="CB62" s="60"/>
      <c r="CC62" s="60"/>
      <c r="CD62" s="60"/>
      <c r="CE62" s="60"/>
      <c r="CF62" s="60"/>
      <c r="CG62" s="60"/>
      <c r="CH62" s="60"/>
      <c r="CI62" s="60"/>
      <c r="CJ62" s="60"/>
      <c r="CK62" s="60"/>
      <c r="CL62" s="60"/>
      <c r="CM62" s="60"/>
      <c r="CN62" s="60"/>
      <c r="CO62" s="60"/>
      <c r="CP62" s="60"/>
      <c r="CQ62" s="60"/>
      <c r="CR62" s="60"/>
      <c r="CS62" s="60"/>
      <c r="CT62" s="60"/>
      <c r="CU62" s="60"/>
      <c r="CV62" s="60"/>
      <c r="CW62" s="60"/>
      <c r="CX62" s="60"/>
      <c r="CY62" s="60"/>
      <c r="CZ62" s="60"/>
      <c r="DA62" s="60"/>
      <c r="DB62" s="60"/>
      <c r="DC62" s="60"/>
      <c r="DD62" s="60"/>
      <c r="DE62" s="60"/>
      <c r="DF62" s="60"/>
      <c r="DG62" s="60"/>
      <c r="DH62" s="60"/>
      <c r="DI62" s="60"/>
      <c r="DJ62" s="60"/>
      <c r="DK62" s="60"/>
      <c r="DL62" s="60"/>
      <c r="DM62" s="60"/>
      <c r="DN62" s="60"/>
      <c r="DO62" s="60"/>
      <c r="DP62" s="60"/>
      <c r="DQ62" s="60"/>
      <c r="DR62" s="60"/>
      <c r="DS62" s="60"/>
      <c r="DT62" s="60"/>
      <c r="DU62" s="60"/>
      <c r="DV62" s="60"/>
      <c r="DW62" s="60"/>
      <c r="DX62" s="60"/>
      <c r="DY62" s="60"/>
      <c r="DZ62" s="60"/>
      <c r="EA62" s="60"/>
      <c r="EB62" s="60"/>
      <c r="EC62" s="60"/>
      <c r="ED62" s="60"/>
      <c r="EE62" s="60"/>
      <c r="EF62" s="60"/>
      <c r="EG62" s="60"/>
      <c r="EH62" s="60"/>
      <c r="EI62" s="60"/>
      <c r="EJ62" s="60"/>
      <c r="EK62" s="60"/>
      <c r="EL62" s="60"/>
      <c r="EM62" s="60"/>
      <c r="EN62" s="60"/>
      <c r="EO62" s="60"/>
      <c r="EP62" s="60"/>
      <c r="EQ62" s="60"/>
      <c r="ER62" s="60"/>
      <c r="ES62" s="60"/>
      <c r="ET62" s="60"/>
      <c r="EU62" s="60"/>
      <c r="EV62" s="60"/>
      <c r="EW62" s="60"/>
      <c r="EX62" s="60"/>
      <c r="EY62" s="60"/>
      <c r="EZ62" s="60"/>
      <c r="FA62" s="60"/>
      <c r="FB62" s="60"/>
      <c r="FC62" s="60"/>
      <c r="FD62" s="60"/>
      <c r="FE62" s="60"/>
      <c r="FF62" s="60"/>
      <c r="FG62" s="60"/>
      <c r="FH62" s="60"/>
      <c r="FI62" s="60"/>
      <c r="FJ62" s="60"/>
      <c r="FK62" s="60"/>
      <c r="FL62" s="60"/>
      <c r="FM62" s="60"/>
      <c r="FN62" s="60"/>
      <c r="FO62" s="60"/>
      <c r="FP62" s="60"/>
      <c r="FQ62" s="60"/>
      <c r="FR62" s="60"/>
      <c r="FS62" s="60"/>
      <c r="FT62" s="60"/>
      <c r="FU62" s="60"/>
      <c r="FV62" s="60"/>
      <c r="FW62" s="60"/>
      <c r="FX62" s="60"/>
      <c r="FY62" s="60"/>
      <c r="FZ62" s="60"/>
      <c r="GA62" s="60"/>
      <c r="GB62" s="60"/>
      <c r="GC62" s="60"/>
      <c r="GD62" s="60"/>
      <c r="GE62" s="60"/>
      <c r="GF62" s="60"/>
      <c r="GG62" s="60"/>
      <c r="GH62" s="60"/>
      <c r="GI62" s="60"/>
      <c r="GJ62" s="60"/>
      <c r="GK62" s="60"/>
      <c r="GL62" s="60"/>
      <c r="GM62" s="60"/>
      <c r="GN62" s="60"/>
      <c r="GO62" s="60"/>
      <c r="GP62" s="60"/>
      <c r="GQ62" s="60"/>
      <c r="GR62" s="60"/>
      <c r="GS62" s="60"/>
      <c r="GT62" s="60"/>
      <c r="GU62" s="60"/>
      <c r="GV62" s="60"/>
      <c r="GW62" s="60"/>
      <c r="GX62" s="60"/>
      <c r="GY62" s="60"/>
      <c r="GZ62" s="60"/>
      <c r="HA62" s="60"/>
      <c r="HB62" s="60"/>
      <c r="HC62" s="60"/>
      <c r="HD62" s="60"/>
      <c r="HE62" s="60"/>
      <c r="HF62" s="60"/>
      <c r="HG62" s="60"/>
      <c r="HH62" s="60"/>
      <c r="HI62" s="60"/>
      <c r="HJ62" s="60"/>
      <c r="HK62" s="60"/>
      <c r="HL62" s="60"/>
      <c r="HM62" s="60"/>
      <c r="HN62" s="60"/>
      <c r="HO62" s="60"/>
      <c r="HP62" s="60"/>
      <c r="HQ62" s="60"/>
      <c r="HR62" s="60"/>
      <c r="HS62" s="60"/>
      <c r="HT62" s="60"/>
      <c r="HU62" s="60"/>
      <c r="HV62" s="60"/>
      <c r="HW62" s="60"/>
      <c r="HX62" s="60"/>
      <c r="HY62" s="60"/>
      <c r="HZ62" s="60"/>
      <c r="IA62" s="60"/>
      <c r="IB62" s="60"/>
      <c r="IC62" s="60"/>
      <c r="ID62" s="60"/>
      <c r="IE62" s="60"/>
      <c r="IF62" s="60"/>
      <c r="IG62" s="60"/>
      <c r="IH62" s="60"/>
      <c r="II62" s="60"/>
      <c r="IJ62" s="60"/>
      <c r="IK62" s="60"/>
      <c r="IL62" s="60"/>
      <c r="IM62" s="60"/>
      <c r="IN62" s="60"/>
      <c r="IO62" s="60"/>
      <c r="IP62" s="60"/>
      <c r="IQ62" s="60"/>
      <c r="IR62" s="60"/>
      <c r="IS62" s="60"/>
      <c r="IT62" s="60"/>
      <c r="IU62" s="60"/>
      <c r="IV62" s="60"/>
      <c r="IW62" s="60"/>
      <c r="IX62" s="60"/>
      <c r="IY62" s="60"/>
      <c r="IZ62" s="60"/>
      <c r="JA62" s="60"/>
      <c r="JB62" s="60"/>
      <c r="JC62" s="60"/>
      <c r="JD62" s="60"/>
      <c r="JE62" s="60"/>
      <c r="JF62" s="60"/>
      <c r="JG62" s="60"/>
      <c r="JH62" s="60"/>
      <c r="JI62" s="60"/>
      <c r="JJ62" s="60"/>
      <c r="JK62" s="60"/>
      <c r="JL62" s="60"/>
      <c r="JM62" s="60"/>
      <c r="JN62" s="60"/>
      <c r="JO62" s="60"/>
      <c r="JP62" s="60"/>
      <c r="JQ62" s="60"/>
      <c r="JR62" s="60"/>
      <c r="JS62" s="60"/>
      <c r="JT62" s="60"/>
      <c r="JU62" s="60"/>
      <c r="JV62" s="60"/>
      <c r="JW62" s="60"/>
      <c r="JX62" s="60"/>
      <c r="JY62" s="60"/>
      <c r="JZ62" s="60"/>
      <c r="KA62" s="60"/>
      <c r="KB62" s="60"/>
      <c r="KC62" s="60"/>
      <c r="KD62" s="60"/>
      <c r="KE62" s="60"/>
      <c r="KF62" s="60"/>
      <c r="KG62" s="60"/>
      <c r="KH62" s="60"/>
      <c r="KI62" s="60"/>
      <c r="KJ62" s="60"/>
      <c r="KK62" s="60"/>
      <c r="KL62" s="60"/>
      <c r="KM62" s="60"/>
      <c r="KN62" s="60"/>
      <c r="KO62" s="60"/>
      <c r="KP62" s="60"/>
      <c r="KQ62" s="60"/>
      <c r="KR62" s="60"/>
      <c r="KS62" s="60"/>
      <c r="KT62" s="60"/>
      <c r="KU62" s="60"/>
      <c r="KV62" s="60"/>
      <c r="KW62" s="60"/>
      <c r="KX62" s="60"/>
      <c r="KY62" s="60"/>
      <c r="KZ62" s="60"/>
      <c r="LA62" s="60"/>
      <c r="LB62" s="60"/>
      <c r="LC62" s="60"/>
      <c r="LD62" s="60"/>
      <c r="LE62" s="60"/>
      <c r="LF62" s="60"/>
      <c r="LG62" s="60"/>
      <c r="LH62" s="60"/>
    </row>
    <row r="65" spans="1:320" s="17" customFormat="1" ht="14.1" customHeight="1" x14ac:dyDescent="0.25">
      <c r="A65" s="147"/>
      <c r="E65" s="156"/>
      <c r="F65" s="156"/>
      <c r="G65" s="156"/>
      <c r="H65" s="156"/>
      <c r="I65" s="156"/>
      <c r="J65" s="156"/>
      <c r="K65" s="156"/>
      <c r="L65" s="156"/>
      <c r="M65" s="156"/>
      <c r="N65" s="156"/>
      <c r="O65" s="156"/>
      <c r="P65" s="156"/>
      <c r="Q65" s="156"/>
      <c r="R65" s="156"/>
      <c r="S65" s="156"/>
      <c r="AC65" s="60"/>
      <c r="AD65" s="60"/>
      <c r="AE65" s="60"/>
      <c r="AF65" s="60"/>
      <c r="AG65" s="60"/>
      <c r="AH65" s="60"/>
      <c r="AI65" s="60"/>
      <c r="AJ65" s="60"/>
      <c r="AK65" s="60"/>
      <c r="AL65" s="60"/>
      <c r="AM65" s="60"/>
      <c r="AN65" s="60"/>
      <c r="AO65" s="60"/>
      <c r="AP65" s="60"/>
      <c r="AQ65" s="60"/>
      <c r="AR65" s="60"/>
      <c r="AS65" s="60"/>
      <c r="AT65" s="60"/>
      <c r="AU65" s="60"/>
      <c r="AV65" s="60"/>
      <c r="AW65" s="60"/>
      <c r="AX65" s="60"/>
      <c r="AY65" s="60"/>
      <c r="AZ65" s="60"/>
      <c r="BA65" s="60"/>
      <c r="BB65" s="60"/>
      <c r="BC65" s="60"/>
      <c r="BD65" s="60"/>
      <c r="BE65" s="60"/>
      <c r="BF65" s="60"/>
      <c r="BG65" s="60"/>
      <c r="BH65" s="60"/>
      <c r="BI65" s="60"/>
      <c r="BJ65" s="60"/>
      <c r="BK65" s="60"/>
      <c r="BL65" s="60"/>
      <c r="BM65" s="60"/>
      <c r="BN65" s="60"/>
      <c r="BO65" s="60"/>
      <c r="BP65" s="60"/>
      <c r="BQ65" s="60"/>
      <c r="BR65" s="60"/>
      <c r="BS65" s="60"/>
      <c r="BT65" s="60"/>
      <c r="BU65" s="60"/>
      <c r="BV65" s="60"/>
      <c r="BW65" s="60"/>
      <c r="BX65" s="60"/>
      <c r="BY65" s="60"/>
      <c r="BZ65" s="60"/>
      <c r="CA65" s="60"/>
      <c r="CB65" s="60"/>
      <c r="CC65" s="60"/>
      <c r="CD65" s="60"/>
      <c r="CE65" s="60"/>
      <c r="CF65" s="60"/>
      <c r="CG65" s="60"/>
      <c r="CH65" s="60"/>
      <c r="CI65" s="60"/>
      <c r="CJ65" s="60"/>
      <c r="CK65" s="60"/>
      <c r="CL65" s="60"/>
      <c r="CM65" s="60"/>
      <c r="CN65" s="60"/>
      <c r="CO65" s="60"/>
      <c r="CP65" s="60"/>
      <c r="CQ65" s="60"/>
      <c r="CR65" s="60"/>
      <c r="CS65" s="60"/>
      <c r="CT65" s="60"/>
      <c r="CU65" s="60"/>
      <c r="CV65" s="60"/>
      <c r="CW65" s="60"/>
      <c r="CX65" s="60"/>
      <c r="CY65" s="60"/>
      <c r="CZ65" s="60"/>
      <c r="DA65" s="60"/>
      <c r="DB65" s="60"/>
      <c r="DC65" s="60"/>
      <c r="DD65" s="60"/>
      <c r="DE65" s="60"/>
      <c r="DF65" s="60"/>
      <c r="DG65" s="60"/>
      <c r="DH65" s="60"/>
      <c r="DI65" s="60"/>
      <c r="DJ65" s="60"/>
      <c r="DK65" s="60"/>
      <c r="DL65" s="60"/>
      <c r="DM65" s="60"/>
      <c r="DN65" s="60"/>
      <c r="DO65" s="60"/>
      <c r="DP65" s="60"/>
      <c r="DQ65" s="60"/>
      <c r="DR65" s="60"/>
      <c r="DS65" s="60"/>
      <c r="DT65" s="60"/>
      <c r="DU65" s="60"/>
      <c r="DV65" s="60"/>
      <c r="DW65" s="60"/>
      <c r="DX65" s="60"/>
      <c r="DY65" s="60"/>
      <c r="DZ65" s="60"/>
      <c r="EA65" s="60"/>
      <c r="EB65" s="60"/>
      <c r="EC65" s="60"/>
      <c r="ED65" s="60"/>
      <c r="EE65" s="60"/>
      <c r="EF65" s="60"/>
      <c r="EG65" s="60"/>
      <c r="EH65" s="60"/>
      <c r="EI65" s="60"/>
      <c r="EJ65" s="60"/>
      <c r="EK65" s="60"/>
      <c r="EL65" s="60"/>
      <c r="EM65" s="60"/>
      <c r="EN65" s="60"/>
      <c r="EO65" s="60"/>
      <c r="EP65" s="60"/>
      <c r="EQ65" s="60"/>
      <c r="ER65" s="60"/>
      <c r="ES65" s="60"/>
      <c r="ET65" s="60"/>
      <c r="EU65" s="60"/>
      <c r="EV65" s="60"/>
      <c r="EW65" s="60"/>
      <c r="EX65" s="60"/>
      <c r="EY65" s="60"/>
      <c r="EZ65" s="60"/>
      <c r="FA65" s="60"/>
      <c r="FB65" s="60"/>
      <c r="FC65" s="60"/>
      <c r="FD65" s="60"/>
      <c r="FE65" s="60"/>
      <c r="FF65" s="60"/>
      <c r="FG65" s="60"/>
      <c r="FH65" s="60"/>
      <c r="FI65" s="60"/>
      <c r="FJ65" s="60"/>
      <c r="FK65" s="60"/>
      <c r="FL65" s="60"/>
      <c r="FM65" s="60"/>
      <c r="FN65" s="60"/>
      <c r="FO65" s="60"/>
      <c r="FP65" s="60"/>
      <c r="FQ65" s="60"/>
      <c r="FR65" s="60"/>
      <c r="FS65" s="60"/>
      <c r="FT65" s="60"/>
      <c r="FU65" s="60"/>
      <c r="FV65" s="60"/>
      <c r="FW65" s="60"/>
      <c r="FX65" s="60"/>
      <c r="FY65" s="60"/>
      <c r="FZ65" s="60"/>
      <c r="GA65" s="60"/>
      <c r="GB65" s="60"/>
      <c r="GC65" s="60"/>
      <c r="GD65" s="60"/>
      <c r="GE65" s="60"/>
      <c r="GF65" s="60"/>
      <c r="GG65" s="60"/>
      <c r="GH65" s="60"/>
      <c r="GI65" s="60"/>
      <c r="GJ65" s="60"/>
      <c r="GK65" s="60"/>
      <c r="GL65" s="60"/>
      <c r="GM65" s="60"/>
      <c r="GN65" s="60"/>
      <c r="GO65" s="60"/>
      <c r="GP65" s="60"/>
      <c r="GQ65" s="60"/>
      <c r="GR65" s="60"/>
      <c r="GS65" s="60"/>
      <c r="GT65" s="60"/>
      <c r="GU65" s="60"/>
      <c r="GV65" s="60"/>
      <c r="GW65" s="60"/>
      <c r="GX65" s="60"/>
      <c r="GY65" s="60"/>
      <c r="GZ65" s="60"/>
      <c r="HA65" s="60"/>
      <c r="HB65" s="60"/>
      <c r="HC65" s="60"/>
      <c r="HD65" s="60"/>
      <c r="HE65" s="60"/>
      <c r="HF65" s="60"/>
      <c r="HG65" s="60"/>
      <c r="HH65" s="60"/>
      <c r="HI65" s="60"/>
      <c r="HJ65" s="60"/>
      <c r="HK65" s="60"/>
      <c r="HL65" s="60"/>
      <c r="HM65" s="60"/>
      <c r="HN65" s="60"/>
      <c r="HO65" s="60"/>
      <c r="HP65" s="60"/>
      <c r="HQ65" s="60"/>
      <c r="HR65" s="60"/>
      <c r="HS65" s="60"/>
      <c r="HT65" s="60"/>
      <c r="HU65" s="60"/>
      <c r="HV65" s="60"/>
      <c r="HW65" s="60"/>
      <c r="HX65" s="60"/>
      <c r="HY65" s="60"/>
      <c r="HZ65" s="60"/>
      <c r="IA65" s="60"/>
      <c r="IB65" s="60"/>
      <c r="IC65" s="60"/>
      <c r="ID65" s="60"/>
      <c r="IE65" s="60"/>
      <c r="IF65" s="60"/>
      <c r="IG65" s="60"/>
      <c r="IH65" s="60"/>
      <c r="II65" s="60"/>
      <c r="IJ65" s="60"/>
      <c r="IK65" s="60"/>
      <c r="IL65" s="60"/>
      <c r="IM65" s="60"/>
      <c r="IN65" s="60"/>
      <c r="IO65" s="60"/>
      <c r="IP65" s="60"/>
      <c r="IQ65" s="60"/>
      <c r="IR65" s="60"/>
      <c r="IS65" s="60"/>
      <c r="IT65" s="60"/>
      <c r="IU65" s="60"/>
      <c r="IV65" s="60"/>
      <c r="IW65" s="60"/>
      <c r="IX65" s="60"/>
      <c r="IY65" s="60"/>
      <c r="IZ65" s="60"/>
      <c r="JA65" s="60"/>
      <c r="JB65" s="60"/>
      <c r="JC65" s="60"/>
      <c r="JD65" s="60"/>
      <c r="JE65" s="60"/>
      <c r="JF65" s="60"/>
      <c r="JG65" s="60"/>
      <c r="JH65" s="60"/>
      <c r="JI65" s="60"/>
      <c r="JJ65" s="60"/>
      <c r="JK65" s="60"/>
      <c r="JL65" s="60"/>
      <c r="JM65" s="60"/>
      <c r="JN65" s="60"/>
      <c r="JO65" s="60"/>
      <c r="JP65" s="60"/>
      <c r="JQ65" s="60"/>
      <c r="JR65" s="60"/>
      <c r="JS65" s="60"/>
      <c r="JT65" s="60"/>
      <c r="JU65" s="60"/>
      <c r="JV65" s="60"/>
      <c r="JW65" s="60"/>
      <c r="JX65" s="60"/>
      <c r="JY65" s="60"/>
      <c r="JZ65" s="60"/>
      <c r="KA65" s="60"/>
      <c r="KB65" s="60"/>
      <c r="KC65" s="60"/>
      <c r="KD65" s="60"/>
      <c r="KE65" s="60"/>
      <c r="KF65" s="60"/>
      <c r="KG65" s="60"/>
      <c r="KH65" s="60"/>
      <c r="KI65" s="60"/>
      <c r="KJ65" s="60"/>
      <c r="KK65" s="60"/>
      <c r="KL65" s="60"/>
      <c r="KM65" s="60"/>
      <c r="KN65" s="60"/>
      <c r="KO65" s="60"/>
      <c r="KP65" s="60"/>
      <c r="KQ65" s="60"/>
      <c r="KR65" s="60"/>
      <c r="KS65" s="60"/>
      <c r="KT65" s="60"/>
      <c r="KU65" s="60"/>
      <c r="KV65" s="60"/>
      <c r="KW65" s="60"/>
      <c r="KX65" s="60"/>
      <c r="KY65" s="60"/>
      <c r="KZ65" s="60"/>
      <c r="LA65" s="60"/>
      <c r="LB65" s="60"/>
      <c r="LC65" s="60"/>
      <c r="LD65" s="60"/>
      <c r="LE65" s="60"/>
      <c r="LF65" s="60"/>
      <c r="LG65" s="60"/>
      <c r="LH65" s="60"/>
    </row>
    <row r="66" spans="1:320" s="17" customFormat="1" x14ac:dyDescent="0.25">
      <c r="A66" s="147"/>
      <c r="E66" s="156"/>
      <c r="F66" s="156"/>
      <c r="G66" s="156"/>
      <c r="H66" s="156"/>
      <c r="I66" s="156"/>
      <c r="J66" s="156"/>
      <c r="K66" s="156"/>
      <c r="L66" s="156"/>
      <c r="M66" s="156"/>
      <c r="N66" s="156"/>
      <c r="O66" s="156"/>
      <c r="P66" s="156"/>
      <c r="Q66" s="156"/>
      <c r="R66" s="156"/>
      <c r="S66" s="156"/>
      <c r="AC66" s="60"/>
      <c r="AD66" s="60"/>
      <c r="AE66" s="60"/>
      <c r="AF66" s="60"/>
      <c r="AG66" s="60"/>
      <c r="AH66" s="60"/>
      <c r="AI66" s="60"/>
      <c r="AJ66" s="60"/>
      <c r="AK66" s="60"/>
      <c r="AL66" s="60"/>
      <c r="AM66" s="60"/>
      <c r="AN66" s="60"/>
      <c r="AO66" s="60"/>
      <c r="AP66" s="60"/>
      <c r="AQ66" s="60"/>
      <c r="AR66" s="60"/>
      <c r="AS66" s="60"/>
      <c r="AT66" s="60"/>
      <c r="AU66" s="60"/>
      <c r="AV66" s="60"/>
      <c r="AW66" s="60"/>
      <c r="AX66" s="60"/>
      <c r="AY66" s="60"/>
      <c r="AZ66" s="60"/>
      <c r="BA66" s="60"/>
      <c r="BB66" s="60"/>
      <c r="BC66" s="60"/>
      <c r="BD66" s="60"/>
      <c r="BE66" s="60"/>
      <c r="BF66" s="60"/>
      <c r="BG66" s="60"/>
      <c r="BH66" s="60"/>
      <c r="BI66" s="60"/>
      <c r="BJ66" s="60"/>
      <c r="BK66" s="60"/>
      <c r="BL66" s="60"/>
      <c r="BM66" s="60"/>
      <c r="BN66" s="60"/>
      <c r="BO66" s="60"/>
      <c r="BP66" s="60"/>
      <c r="BQ66" s="60"/>
      <c r="BR66" s="60"/>
      <c r="BS66" s="60"/>
      <c r="BT66" s="60"/>
      <c r="BU66" s="60"/>
      <c r="BV66" s="60"/>
      <c r="BW66" s="60"/>
      <c r="BX66" s="60"/>
      <c r="BY66" s="60"/>
      <c r="BZ66" s="60"/>
      <c r="CA66" s="60"/>
      <c r="CB66" s="60"/>
      <c r="CC66" s="60"/>
      <c r="CD66" s="60"/>
      <c r="CE66" s="60"/>
      <c r="CF66" s="60"/>
      <c r="CG66" s="60"/>
      <c r="CH66" s="60"/>
      <c r="CI66" s="60"/>
      <c r="CJ66" s="60"/>
      <c r="CK66" s="60"/>
      <c r="CL66" s="60"/>
      <c r="CM66" s="60"/>
      <c r="CN66" s="60"/>
      <c r="CO66" s="60"/>
      <c r="CP66" s="60"/>
      <c r="CQ66" s="60"/>
      <c r="CR66" s="60"/>
      <c r="CS66" s="60"/>
      <c r="CT66" s="60"/>
      <c r="CU66" s="60"/>
      <c r="CV66" s="60"/>
      <c r="CW66" s="60"/>
      <c r="CX66" s="60"/>
      <c r="CY66" s="60"/>
      <c r="CZ66" s="60"/>
      <c r="DA66" s="60"/>
      <c r="DB66" s="60"/>
      <c r="DC66" s="60"/>
      <c r="DD66" s="60"/>
      <c r="DE66" s="60"/>
      <c r="DF66" s="60"/>
      <c r="DG66" s="60"/>
      <c r="DH66" s="60"/>
      <c r="DI66" s="60"/>
      <c r="DJ66" s="60"/>
      <c r="DK66" s="60"/>
      <c r="DL66" s="60"/>
      <c r="DM66" s="60"/>
      <c r="DN66" s="60"/>
      <c r="DO66" s="60"/>
      <c r="DP66" s="60"/>
      <c r="DQ66" s="60"/>
      <c r="DR66" s="60"/>
      <c r="DS66" s="60"/>
      <c r="DT66" s="60"/>
      <c r="DU66" s="60"/>
      <c r="DV66" s="60"/>
      <c r="DW66" s="60"/>
      <c r="DX66" s="60"/>
      <c r="DY66" s="60"/>
      <c r="DZ66" s="60"/>
      <c r="EA66" s="60"/>
      <c r="EB66" s="60"/>
      <c r="EC66" s="60"/>
      <c r="ED66" s="60"/>
      <c r="EE66" s="60"/>
      <c r="EF66" s="60"/>
      <c r="EG66" s="60"/>
      <c r="EH66" s="60"/>
      <c r="EI66" s="60"/>
      <c r="EJ66" s="60"/>
      <c r="EK66" s="60"/>
      <c r="EL66" s="60"/>
      <c r="EM66" s="60"/>
      <c r="EN66" s="60"/>
      <c r="EO66" s="60"/>
      <c r="EP66" s="60"/>
      <c r="EQ66" s="60"/>
      <c r="ER66" s="60"/>
      <c r="ES66" s="60"/>
      <c r="ET66" s="60"/>
      <c r="EU66" s="60"/>
      <c r="EV66" s="60"/>
      <c r="EW66" s="60"/>
      <c r="EX66" s="60"/>
      <c r="EY66" s="60"/>
      <c r="EZ66" s="60"/>
      <c r="FA66" s="60"/>
      <c r="FB66" s="60"/>
      <c r="FC66" s="60"/>
      <c r="FD66" s="60"/>
      <c r="FE66" s="60"/>
      <c r="FF66" s="60"/>
      <c r="FG66" s="60"/>
      <c r="FH66" s="60"/>
      <c r="FI66" s="60"/>
      <c r="FJ66" s="60"/>
      <c r="FK66" s="60"/>
      <c r="FL66" s="60"/>
      <c r="FM66" s="60"/>
      <c r="FN66" s="60"/>
      <c r="FO66" s="60"/>
      <c r="FP66" s="60"/>
      <c r="FQ66" s="60"/>
      <c r="FR66" s="60"/>
      <c r="FS66" s="60"/>
      <c r="FT66" s="60"/>
      <c r="FU66" s="60"/>
      <c r="FV66" s="60"/>
      <c r="FW66" s="60"/>
      <c r="FX66" s="60"/>
      <c r="FY66" s="60"/>
      <c r="FZ66" s="60"/>
      <c r="GA66" s="60"/>
      <c r="GB66" s="60"/>
      <c r="GC66" s="60"/>
      <c r="GD66" s="60"/>
      <c r="GE66" s="60"/>
      <c r="GF66" s="60"/>
      <c r="GG66" s="60"/>
      <c r="GH66" s="60"/>
      <c r="GI66" s="60"/>
      <c r="GJ66" s="60"/>
      <c r="GK66" s="60"/>
      <c r="GL66" s="60"/>
      <c r="GM66" s="60"/>
      <c r="GN66" s="60"/>
      <c r="GO66" s="60"/>
      <c r="GP66" s="60"/>
      <c r="GQ66" s="60"/>
      <c r="GR66" s="60"/>
      <c r="GS66" s="60"/>
      <c r="GT66" s="60"/>
      <c r="GU66" s="60"/>
      <c r="GV66" s="60"/>
      <c r="GW66" s="60"/>
      <c r="GX66" s="60"/>
      <c r="GY66" s="60"/>
      <c r="GZ66" s="60"/>
      <c r="HA66" s="60"/>
      <c r="HB66" s="60"/>
      <c r="HC66" s="60"/>
      <c r="HD66" s="60"/>
      <c r="HE66" s="60"/>
      <c r="HF66" s="60"/>
      <c r="HG66" s="60"/>
      <c r="HH66" s="60"/>
      <c r="HI66" s="60"/>
      <c r="HJ66" s="60"/>
      <c r="HK66" s="60"/>
      <c r="HL66" s="60"/>
      <c r="HM66" s="60"/>
      <c r="HN66" s="60"/>
      <c r="HO66" s="60"/>
      <c r="HP66" s="60"/>
      <c r="HQ66" s="60"/>
      <c r="HR66" s="60"/>
      <c r="HS66" s="60"/>
      <c r="HT66" s="60"/>
      <c r="HU66" s="60"/>
      <c r="HV66" s="60"/>
      <c r="HW66" s="60"/>
      <c r="HX66" s="60"/>
      <c r="HY66" s="60"/>
      <c r="HZ66" s="60"/>
      <c r="IA66" s="60"/>
      <c r="IB66" s="60"/>
      <c r="IC66" s="60"/>
      <c r="ID66" s="60"/>
      <c r="IE66" s="60"/>
      <c r="IF66" s="60"/>
      <c r="IG66" s="60"/>
      <c r="IH66" s="60"/>
      <c r="II66" s="60"/>
      <c r="IJ66" s="60"/>
      <c r="IK66" s="60"/>
      <c r="IL66" s="60"/>
      <c r="IM66" s="60"/>
      <c r="IN66" s="60"/>
      <c r="IO66" s="60"/>
      <c r="IP66" s="60"/>
      <c r="IQ66" s="60"/>
      <c r="IR66" s="60"/>
      <c r="IS66" s="60"/>
      <c r="IT66" s="60"/>
      <c r="IU66" s="60"/>
      <c r="IV66" s="60"/>
      <c r="IW66" s="60"/>
      <c r="IX66" s="60"/>
      <c r="IY66" s="60"/>
      <c r="IZ66" s="60"/>
      <c r="JA66" s="60"/>
      <c r="JB66" s="60"/>
      <c r="JC66" s="60"/>
      <c r="JD66" s="60"/>
      <c r="JE66" s="60"/>
      <c r="JF66" s="60"/>
      <c r="JG66" s="60"/>
      <c r="JH66" s="60"/>
      <c r="JI66" s="60"/>
      <c r="JJ66" s="60"/>
      <c r="JK66" s="60"/>
      <c r="JL66" s="60"/>
      <c r="JM66" s="60"/>
      <c r="JN66" s="60"/>
      <c r="JO66" s="60"/>
      <c r="JP66" s="60"/>
      <c r="JQ66" s="60"/>
      <c r="JR66" s="60"/>
      <c r="JS66" s="60"/>
      <c r="JT66" s="60"/>
      <c r="JU66" s="60"/>
      <c r="JV66" s="60"/>
      <c r="JW66" s="60"/>
      <c r="JX66" s="60"/>
      <c r="JY66" s="60"/>
      <c r="JZ66" s="60"/>
      <c r="KA66" s="60"/>
      <c r="KB66" s="60"/>
      <c r="KC66" s="60"/>
      <c r="KD66" s="60"/>
      <c r="KE66" s="60"/>
      <c r="KF66" s="60"/>
      <c r="KG66" s="60"/>
      <c r="KH66" s="60"/>
      <c r="KI66" s="60"/>
      <c r="KJ66" s="60"/>
      <c r="KK66" s="60"/>
      <c r="KL66" s="60"/>
      <c r="KM66" s="60"/>
      <c r="KN66" s="60"/>
      <c r="KO66" s="60"/>
      <c r="KP66" s="60"/>
      <c r="KQ66" s="60"/>
      <c r="KR66" s="60"/>
      <c r="KS66" s="60"/>
      <c r="KT66" s="60"/>
      <c r="KU66" s="60"/>
      <c r="KV66" s="60"/>
      <c r="KW66" s="60"/>
      <c r="KX66" s="60"/>
      <c r="KY66" s="60"/>
      <c r="KZ66" s="60"/>
      <c r="LA66" s="60"/>
      <c r="LB66" s="60"/>
      <c r="LC66" s="60"/>
      <c r="LD66" s="60"/>
      <c r="LE66" s="60"/>
      <c r="LF66" s="60"/>
      <c r="LG66" s="60"/>
      <c r="LH66" s="60"/>
    </row>
    <row r="67" spans="1:320" s="17" customFormat="1" x14ac:dyDescent="0.25">
      <c r="A67" s="147"/>
      <c r="E67" s="156"/>
      <c r="F67" s="156"/>
      <c r="G67" s="156"/>
      <c r="H67" s="156"/>
      <c r="I67" s="156"/>
      <c r="J67" s="156"/>
      <c r="K67" s="156"/>
      <c r="L67" s="156"/>
      <c r="M67" s="156"/>
      <c r="N67" s="156"/>
      <c r="O67" s="156"/>
      <c r="P67" s="156"/>
      <c r="Q67" s="156"/>
      <c r="R67" s="156"/>
      <c r="S67" s="156"/>
      <c r="AC67" s="60"/>
      <c r="AD67" s="60"/>
      <c r="AE67" s="60"/>
      <c r="AF67" s="60"/>
      <c r="AG67" s="60"/>
      <c r="AH67" s="60"/>
      <c r="AI67" s="60"/>
      <c r="AJ67" s="60"/>
      <c r="AK67" s="60"/>
      <c r="AL67" s="60"/>
      <c r="AM67" s="60"/>
      <c r="AN67" s="60"/>
      <c r="AO67" s="60"/>
      <c r="AP67" s="60"/>
      <c r="AQ67" s="60"/>
      <c r="AR67" s="60"/>
      <c r="AS67" s="60"/>
      <c r="AT67" s="60"/>
      <c r="AU67" s="60"/>
      <c r="AV67" s="60"/>
      <c r="AW67" s="60"/>
      <c r="AX67" s="60"/>
      <c r="AY67" s="60"/>
      <c r="AZ67" s="60"/>
      <c r="BA67" s="60"/>
      <c r="BB67" s="60"/>
      <c r="BC67" s="60"/>
      <c r="BD67" s="60"/>
      <c r="BE67" s="60"/>
      <c r="BF67" s="60"/>
      <c r="BG67" s="60"/>
      <c r="BH67" s="60"/>
      <c r="BI67" s="60"/>
      <c r="BJ67" s="60"/>
      <c r="BK67" s="60"/>
      <c r="BL67" s="60"/>
      <c r="BM67" s="60"/>
      <c r="BN67" s="60"/>
      <c r="BO67" s="60"/>
      <c r="BP67" s="60"/>
      <c r="BQ67" s="60"/>
      <c r="BR67" s="60"/>
      <c r="BS67" s="60"/>
      <c r="BT67" s="60"/>
      <c r="BU67" s="60"/>
      <c r="BV67" s="60"/>
      <c r="BW67" s="60"/>
      <c r="BX67" s="60"/>
      <c r="BY67" s="60"/>
      <c r="BZ67" s="60"/>
      <c r="CA67" s="60"/>
      <c r="CB67" s="60"/>
      <c r="CC67" s="60"/>
      <c r="CD67" s="60"/>
      <c r="CE67" s="60"/>
      <c r="CF67" s="60"/>
      <c r="CG67" s="60"/>
      <c r="CH67" s="60"/>
      <c r="CI67" s="60"/>
      <c r="CJ67" s="60"/>
      <c r="CK67" s="60"/>
      <c r="CL67" s="60"/>
      <c r="CM67" s="60"/>
      <c r="CN67" s="60"/>
      <c r="CO67" s="60"/>
      <c r="CP67" s="60"/>
      <c r="CQ67" s="60"/>
      <c r="CR67" s="60"/>
      <c r="CS67" s="60"/>
      <c r="CT67" s="60"/>
      <c r="CU67" s="60"/>
      <c r="CV67" s="60"/>
      <c r="CW67" s="60"/>
      <c r="CX67" s="60"/>
      <c r="CY67" s="60"/>
      <c r="CZ67" s="60"/>
      <c r="DA67" s="60"/>
      <c r="DB67" s="60"/>
      <c r="DC67" s="60"/>
      <c r="DD67" s="60"/>
      <c r="DE67" s="60"/>
      <c r="DF67" s="60"/>
      <c r="DG67" s="60"/>
      <c r="DH67" s="60"/>
      <c r="DI67" s="60"/>
      <c r="DJ67" s="60"/>
      <c r="DK67" s="60"/>
      <c r="DL67" s="60"/>
      <c r="DM67" s="60"/>
      <c r="DN67" s="60"/>
      <c r="DO67" s="60"/>
      <c r="DP67" s="60"/>
      <c r="DQ67" s="60"/>
      <c r="DR67" s="60"/>
      <c r="DS67" s="60"/>
      <c r="DT67" s="60"/>
      <c r="DU67" s="60"/>
      <c r="DV67" s="60"/>
      <c r="DW67" s="60"/>
      <c r="DX67" s="60"/>
      <c r="DY67" s="60"/>
      <c r="DZ67" s="60"/>
      <c r="EA67" s="60"/>
      <c r="EB67" s="60"/>
      <c r="EC67" s="60"/>
      <c r="ED67" s="60"/>
      <c r="EE67" s="60"/>
      <c r="EF67" s="60"/>
      <c r="EG67" s="60"/>
      <c r="EH67" s="60"/>
      <c r="EI67" s="60"/>
      <c r="EJ67" s="60"/>
      <c r="EK67" s="60"/>
      <c r="EL67" s="60"/>
      <c r="EM67" s="60"/>
      <c r="EN67" s="60"/>
      <c r="EO67" s="60"/>
      <c r="EP67" s="60"/>
      <c r="EQ67" s="60"/>
      <c r="ER67" s="60"/>
      <c r="ES67" s="60"/>
      <c r="ET67" s="60"/>
      <c r="EU67" s="60"/>
      <c r="EV67" s="60"/>
      <c r="EW67" s="60"/>
      <c r="EX67" s="60"/>
      <c r="EY67" s="60"/>
      <c r="EZ67" s="60"/>
      <c r="FA67" s="60"/>
      <c r="FB67" s="60"/>
      <c r="FC67" s="60"/>
      <c r="FD67" s="60"/>
      <c r="FE67" s="60"/>
      <c r="FF67" s="60"/>
      <c r="FG67" s="60"/>
      <c r="FH67" s="60"/>
      <c r="FI67" s="60"/>
      <c r="FJ67" s="60"/>
      <c r="FK67" s="60"/>
      <c r="FL67" s="60"/>
      <c r="FM67" s="60"/>
      <c r="FN67" s="60"/>
      <c r="FO67" s="60"/>
      <c r="FP67" s="60"/>
      <c r="FQ67" s="60"/>
      <c r="FR67" s="60"/>
      <c r="FS67" s="60"/>
      <c r="FT67" s="60"/>
      <c r="FU67" s="60"/>
      <c r="FV67" s="60"/>
      <c r="FW67" s="60"/>
      <c r="FX67" s="60"/>
      <c r="FY67" s="60"/>
      <c r="FZ67" s="60"/>
      <c r="GA67" s="60"/>
      <c r="GB67" s="60"/>
      <c r="GC67" s="60"/>
      <c r="GD67" s="60"/>
      <c r="GE67" s="60"/>
      <c r="GF67" s="60"/>
      <c r="GG67" s="60"/>
      <c r="GH67" s="60"/>
      <c r="GI67" s="60"/>
      <c r="GJ67" s="60"/>
      <c r="GK67" s="60"/>
      <c r="GL67" s="60"/>
      <c r="GM67" s="60"/>
      <c r="GN67" s="60"/>
      <c r="GO67" s="60"/>
      <c r="GP67" s="60"/>
      <c r="GQ67" s="60"/>
      <c r="GR67" s="60"/>
      <c r="GS67" s="60"/>
      <c r="GT67" s="60"/>
      <c r="GU67" s="60"/>
      <c r="GV67" s="60"/>
      <c r="GW67" s="60"/>
      <c r="GX67" s="60"/>
      <c r="GY67" s="60"/>
      <c r="GZ67" s="60"/>
      <c r="HA67" s="60"/>
      <c r="HB67" s="60"/>
      <c r="HC67" s="60"/>
      <c r="HD67" s="60"/>
      <c r="HE67" s="60"/>
      <c r="HF67" s="60"/>
      <c r="HG67" s="60"/>
      <c r="HH67" s="60"/>
      <c r="HI67" s="60"/>
      <c r="HJ67" s="60"/>
      <c r="HK67" s="60"/>
      <c r="HL67" s="60"/>
      <c r="HM67" s="60"/>
      <c r="HN67" s="60"/>
      <c r="HO67" s="60"/>
      <c r="HP67" s="60"/>
      <c r="HQ67" s="60"/>
      <c r="HR67" s="60"/>
      <c r="HS67" s="60"/>
      <c r="HT67" s="60"/>
      <c r="HU67" s="60"/>
      <c r="HV67" s="60"/>
      <c r="HW67" s="60"/>
      <c r="HX67" s="60"/>
      <c r="HY67" s="60"/>
      <c r="HZ67" s="60"/>
      <c r="IA67" s="60"/>
      <c r="IB67" s="60"/>
      <c r="IC67" s="60"/>
      <c r="ID67" s="60"/>
      <c r="IE67" s="60"/>
      <c r="IF67" s="60"/>
      <c r="IG67" s="60"/>
      <c r="IH67" s="60"/>
      <c r="II67" s="60"/>
      <c r="IJ67" s="60"/>
      <c r="IK67" s="60"/>
      <c r="IL67" s="60"/>
      <c r="IM67" s="60"/>
      <c r="IN67" s="60"/>
      <c r="IO67" s="60"/>
      <c r="IP67" s="60"/>
      <c r="IQ67" s="60"/>
      <c r="IR67" s="60"/>
      <c r="IS67" s="60"/>
      <c r="IT67" s="60"/>
      <c r="IU67" s="60"/>
      <c r="IV67" s="60"/>
      <c r="IW67" s="60"/>
      <c r="IX67" s="60"/>
      <c r="IY67" s="60"/>
      <c r="IZ67" s="60"/>
      <c r="JA67" s="60"/>
      <c r="JB67" s="60"/>
      <c r="JC67" s="60"/>
      <c r="JD67" s="60"/>
      <c r="JE67" s="60"/>
      <c r="JF67" s="60"/>
      <c r="JG67" s="60"/>
      <c r="JH67" s="60"/>
      <c r="JI67" s="60"/>
      <c r="JJ67" s="60"/>
      <c r="JK67" s="60"/>
      <c r="JL67" s="60"/>
      <c r="JM67" s="60"/>
      <c r="JN67" s="60"/>
      <c r="JO67" s="60"/>
      <c r="JP67" s="60"/>
      <c r="JQ67" s="60"/>
      <c r="JR67" s="60"/>
      <c r="JS67" s="60"/>
      <c r="JT67" s="60"/>
      <c r="JU67" s="60"/>
      <c r="JV67" s="60"/>
      <c r="JW67" s="60"/>
      <c r="JX67" s="60"/>
      <c r="JY67" s="60"/>
      <c r="JZ67" s="60"/>
      <c r="KA67" s="60"/>
      <c r="KB67" s="60"/>
      <c r="KC67" s="60"/>
      <c r="KD67" s="60"/>
      <c r="KE67" s="60"/>
      <c r="KF67" s="60"/>
      <c r="KG67" s="60"/>
      <c r="KH67" s="60"/>
      <c r="KI67" s="60"/>
      <c r="KJ67" s="60"/>
      <c r="KK67" s="60"/>
      <c r="KL67" s="60"/>
      <c r="KM67" s="60"/>
      <c r="KN67" s="60"/>
      <c r="KO67" s="60"/>
      <c r="KP67" s="60"/>
      <c r="KQ67" s="60"/>
      <c r="KR67" s="60"/>
      <c r="KS67" s="60"/>
      <c r="KT67" s="60"/>
      <c r="KU67" s="60"/>
      <c r="KV67" s="60"/>
      <c r="KW67" s="60"/>
      <c r="KX67" s="60"/>
      <c r="KY67" s="60"/>
      <c r="KZ67" s="60"/>
      <c r="LA67" s="60"/>
      <c r="LB67" s="60"/>
      <c r="LC67" s="60"/>
      <c r="LD67" s="60"/>
      <c r="LE67" s="60"/>
      <c r="LF67" s="60"/>
      <c r="LG67" s="60"/>
      <c r="LH67" s="60"/>
    </row>
    <row r="68" spans="1:320" s="17" customFormat="1" x14ac:dyDescent="0.25">
      <c r="A68" s="147"/>
      <c r="E68" s="156"/>
      <c r="F68" s="156"/>
      <c r="G68" s="156"/>
      <c r="H68" s="156"/>
      <c r="I68" s="156"/>
      <c r="J68" s="156"/>
      <c r="K68" s="156"/>
      <c r="L68" s="156"/>
      <c r="M68" s="156"/>
      <c r="N68" s="156"/>
      <c r="O68" s="156"/>
      <c r="P68" s="156"/>
      <c r="Q68" s="156"/>
      <c r="R68" s="156"/>
      <c r="S68" s="156"/>
      <c r="AC68" s="60"/>
      <c r="AD68" s="60"/>
      <c r="AE68" s="60"/>
      <c r="AF68" s="60"/>
      <c r="AG68" s="60"/>
      <c r="AH68" s="60"/>
      <c r="AI68" s="60"/>
      <c r="AJ68" s="60"/>
      <c r="AK68" s="60"/>
      <c r="AL68" s="60"/>
      <c r="AM68" s="60"/>
      <c r="AN68" s="60"/>
      <c r="AO68" s="60"/>
      <c r="AP68" s="60"/>
      <c r="AQ68" s="60"/>
      <c r="AR68" s="60"/>
      <c r="AS68" s="60"/>
      <c r="AT68" s="60"/>
      <c r="AU68" s="60"/>
      <c r="AV68" s="60"/>
      <c r="AW68" s="60"/>
      <c r="AX68" s="60"/>
      <c r="AY68" s="60"/>
      <c r="AZ68" s="60"/>
      <c r="BA68" s="60"/>
      <c r="BB68" s="60"/>
      <c r="BC68" s="60"/>
      <c r="BD68" s="60"/>
      <c r="BE68" s="60"/>
      <c r="BF68" s="60"/>
      <c r="BG68" s="60"/>
      <c r="BH68" s="60"/>
      <c r="BI68" s="60"/>
      <c r="BJ68" s="60"/>
      <c r="BK68" s="60"/>
      <c r="BL68" s="60"/>
      <c r="BM68" s="60"/>
      <c r="BN68" s="60"/>
      <c r="BO68" s="60"/>
      <c r="BP68" s="60"/>
      <c r="BQ68" s="60"/>
      <c r="BR68" s="60"/>
      <c r="BS68" s="60"/>
      <c r="BT68" s="60"/>
      <c r="BU68" s="60"/>
      <c r="BV68" s="60"/>
      <c r="BW68" s="60"/>
      <c r="BX68" s="60"/>
      <c r="BY68" s="60"/>
      <c r="BZ68" s="60"/>
      <c r="CA68" s="60"/>
      <c r="CB68" s="60"/>
      <c r="CC68" s="60"/>
      <c r="CD68" s="60"/>
      <c r="CE68" s="60"/>
      <c r="CF68" s="60"/>
      <c r="CG68" s="60"/>
      <c r="CH68" s="60"/>
      <c r="CI68" s="60"/>
      <c r="CJ68" s="60"/>
      <c r="CK68" s="60"/>
      <c r="CL68" s="60"/>
      <c r="CM68" s="60"/>
      <c r="CN68" s="60"/>
      <c r="CO68" s="60"/>
      <c r="CP68" s="60"/>
      <c r="CQ68" s="60"/>
      <c r="CR68" s="60"/>
      <c r="CS68" s="60"/>
      <c r="CT68" s="60"/>
      <c r="CU68" s="60"/>
      <c r="CV68" s="60"/>
      <c r="CW68" s="60"/>
      <c r="CX68" s="60"/>
      <c r="CY68" s="60"/>
      <c r="CZ68" s="60"/>
      <c r="DA68" s="60"/>
      <c r="DB68" s="60"/>
      <c r="DC68" s="60"/>
      <c r="DD68" s="60"/>
      <c r="DE68" s="60"/>
      <c r="DF68" s="60"/>
      <c r="DG68" s="60"/>
      <c r="DH68" s="60"/>
      <c r="DI68" s="60"/>
      <c r="DJ68" s="60"/>
      <c r="DK68" s="60"/>
      <c r="DL68" s="60"/>
      <c r="DM68" s="60"/>
      <c r="DN68" s="60"/>
      <c r="DO68" s="60"/>
      <c r="DP68" s="60"/>
      <c r="DQ68" s="60"/>
      <c r="DR68" s="60"/>
      <c r="DS68" s="60"/>
      <c r="DT68" s="60"/>
      <c r="DU68" s="60"/>
      <c r="DV68" s="60"/>
      <c r="DW68" s="60"/>
      <c r="DX68" s="60"/>
      <c r="DY68" s="60"/>
      <c r="DZ68" s="60"/>
      <c r="EA68" s="60"/>
      <c r="EB68" s="60"/>
      <c r="EC68" s="60"/>
      <c r="ED68" s="60"/>
      <c r="EE68" s="60"/>
      <c r="EF68" s="60"/>
      <c r="EG68" s="60"/>
      <c r="EH68" s="60"/>
      <c r="EI68" s="60"/>
      <c r="EJ68" s="60"/>
      <c r="EK68" s="60"/>
      <c r="EL68" s="60"/>
      <c r="EM68" s="60"/>
      <c r="EN68" s="60"/>
      <c r="EO68" s="60"/>
      <c r="EP68" s="60"/>
      <c r="EQ68" s="60"/>
      <c r="ER68" s="60"/>
      <c r="ES68" s="60"/>
      <c r="ET68" s="60"/>
      <c r="EU68" s="60"/>
      <c r="EV68" s="60"/>
      <c r="EW68" s="60"/>
      <c r="EX68" s="60"/>
      <c r="EY68" s="60"/>
      <c r="EZ68" s="60"/>
      <c r="FA68" s="60"/>
      <c r="FB68" s="60"/>
      <c r="FC68" s="60"/>
      <c r="FD68" s="60"/>
      <c r="FE68" s="60"/>
      <c r="FF68" s="60"/>
      <c r="FG68" s="60"/>
      <c r="FH68" s="60"/>
      <c r="FI68" s="60"/>
      <c r="FJ68" s="60"/>
      <c r="FK68" s="60"/>
      <c r="FL68" s="60"/>
      <c r="FM68" s="60"/>
      <c r="FN68" s="60"/>
      <c r="FO68" s="60"/>
      <c r="FP68" s="60"/>
      <c r="FQ68" s="60"/>
      <c r="FR68" s="60"/>
      <c r="FS68" s="60"/>
      <c r="FT68" s="60"/>
      <c r="FU68" s="60"/>
      <c r="FV68" s="60"/>
      <c r="FW68" s="60"/>
      <c r="FX68" s="60"/>
      <c r="FY68" s="60"/>
      <c r="FZ68" s="60"/>
      <c r="GA68" s="60"/>
      <c r="GB68" s="60"/>
      <c r="GC68" s="60"/>
      <c r="GD68" s="60"/>
      <c r="GE68" s="60"/>
      <c r="GF68" s="60"/>
      <c r="GG68" s="60"/>
      <c r="GH68" s="60"/>
      <c r="GI68" s="60"/>
      <c r="GJ68" s="60"/>
      <c r="GK68" s="60"/>
      <c r="GL68" s="60"/>
      <c r="GM68" s="60"/>
      <c r="GN68" s="60"/>
      <c r="GO68" s="60"/>
      <c r="GP68" s="60"/>
      <c r="GQ68" s="60"/>
      <c r="GR68" s="60"/>
      <c r="GS68" s="60"/>
      <c r="GT68" s="60"/>
      <c r="GU68" s="60"/>
      <c r="GV68" s="60"/>
      <c r="GW68" s="60"/>
      <c r="GX68" s="60"/>
      <c r="GY68" s="60"/>
      <c r="GZ68" s="60"/>
      <c r="HA68" s="60"/>
      <c r="HB68" s="60"/>
      <c r="HC68" s="60"/>
      <c r="HD68" s="60"/>
      <c r="HE68" s="60"/>
      <c r="HF68" s="60"/>
      <c r="HG68" s="60"/>
      <c r="HH68" s="60"/>
      <c r="HI68" s="60"/>
      <c r="HJ68" s="60"/>
      <c r="HK68" s="60"/>
      <c r="HL68" s="60"/>
      <c r="HM68" s="60"/>
      <c r="HN68" s="60"/>
      <c r="HO68" s="60"/>
      <c r="HP68" s="60"/>
      <c r="HQ68" s="60"/>
      <c r="HR68" s="60"/>
      <c r="HS68" s="60"/>
      <c r="HT68" s="60"/>
      <c r="HU68" s="60"/>
      <c r="HV68" s="60"/>
      <c r="HW68" s="60"/>
      <c r="HX68" s="60"/>
      <c r="HY68" s="60"/>
      <c r="HZ68" s="60"/>
      <c r="IA68" s="60"/>
      <c r="IB68" s="60"/>
      <c r="IC68" s="60"/>
      <c r="ID68" s="60"/>
      <c r="IE68" s="60"/>
      <c r="IF68" s="60"/>
      <c r="IG68" s="60"/>
      <c r="IH68" s="60"/>
      <c r="II68" s="60"/>
      <c r="IJ68" s="60"/>
      <c r="IK68" s="60"/>
      <c r="IL68" s="60"/>
      <c r="IM68" s="60"/>
      <c r="IN68" s="60"/>
      <c r="IO68" s="60"/>
      <c r="IP68" s="60"/>
      <c r="IQ68" s="60"/>
      <c r="IR68" s="60"/>
      <c r="IS68" s="60"/>
      <c r="IT68" s="60"/>
      <c r="IU68" s="60"/>
      <c r="IV68" s="60"/>
      <c r="IW68" s="60"/>
      <c r="IX68" s="60"/>
      <c r="IY68" s="60"/>
      <c r="IZ68" s="60"/>
      <c r="JA68" s="60"/>
      <c r="JB68" s="60"/>
      <c r="JC68" s="60"/>
      <c r="JD68" s="60"/>
      <c r="JE68" s="60"/>
      <c r="JF68" s="60"/>
      <c r="JG68" s="60"/>
      <c r="JH68" s="60"/>
      <c r="JI68" s="60"/>
      <c r="JJ68" s="60"/>
      <c r="JK68" s="60"/>
      <c r="JL68" s="60"/>
      <c r="JM68" s="60"/>
      <c r="JN68" s="60"/>
      <c r="JO68" s="60"/>
      <c r="JP68" s="60"/>
      <c r="JQ68" s="60"/>
      <c r="JR68" s="60"/>
      <c r="JS68" s="60"/>
      <c r="JT68" s="60"/>
      <c r="JU68" s="60"/>
      <c r="JV68" s="60"/>
      <c r="JW68" s="60"/>
      <c r="JX68" s="60"/>
      <c r="JY68" s="60"/>
      <c r="JZ68" s="60"/>
      <c r="KA68" s="60"/>
      <c r="KB68" s="60"/>
      <c r="KC68" s="60"/>
      <c r="KD68" s="60"/>
      <c r="KE68" s="60"/>
      <c r="KF68" s="60"/>
      <c r="KG68" s="60"/>
      <c r="KH68" s="60"/>
      <c r="KI68" s="60"/>
      <c r="KJ68" s="60"/>
      <c r="KK68" s="60"/>
      <c r="KL68" s="60"/>
      <c r="KM68" s="60"/>
      <c r="KN68" s="60"/>
      <c r="KO68" s="60"/>
      <c r="KP68" s="60"/>
      <c r="KQ68" s="60"/>
      <c r="KR68" s="60"/>
      <c r="KS68" s="60"/>
      <c r="KT68" s="60"/>
      <c r="KU68" s="60"/>
      <c r="KV68" s="60"/>
      <c r="KW68" s="60"/>
      <c r="KX68" s="60"/>
      <c r="KY68" s="60"/>
      <c r="KZ68" s="60"/>
      <c r="LA68" s="60"/>
      <c r="LB68" s="60"/>
      <c r="LC68" s="60"/>
      <c r="LD68" s="60"/>
      <c r="LE68" s="60"/>
      <c r="LF68" s="60"/>
      <c r="LG68" s="60"/>
      <c r="LH68" s="60"/>
    </row>
    <row r="69" spans="1:320" s="17" customFormat="1" x14ac:dyDescent="0.25">
      <c r="A69" s="147"/>
      <c r="E69" s="156"/>
      <c r="F69" s="156"/>
      <c r="G69" s="156"/>
      <c r="H69" s="156"/>
      <c r="I69" s="156"/>
      <c r="J69" s="156"/>
      <c r="K69" s="156"/>
      <c r="L69" s="156"/>
      <c r="M69" s="156"/>
      <c r="N69" s="156"/>
      <c r="O69" s="156"/>
      <c r="P69" s="156"/>
      <c r="Q69" s="156"/>
      <c r="R69" s="156"/>
      <c r="S69" s="156"/>
      <c r="AC69" s="60"/>
      <c r="AD69" s="60"/>
      <c r="AE69" s="60"/>
      <c r="AF69" s="60"/>
      <c r="AG69" s="60"/>
      <c r="AH69" s="60"/>
      <c r="AI69" s="60"/>
      <c r="AJ69" s="60"/>
      <c r="AK69" s="60"/>
      <c r="AL69" s="60"/>
      <c r="AM69" s="60"/>
      <c r="AN69" s="60"/>
      <c r="AO69" s="60"/>
      <c r="AP69" s="60"/>
      <c r="AQ69" s="60"/>
      <c r="AR69" s="60"/>
      <c r="AS69" s="60"/>
      <c r="AT69" s="60"/>
      <c r="AU69" s="60"/>
      <c r="AV69" s="60"/>
      <c r="AW69" s="60"/>
      <c r="AX69" s="60"/>
      <c r="AY69" s="60"/>
      <c r="AZ69" s="60"/>
      <c r="BA69" s="60"/>
      <c r="BB69" s="60"/>
      <c r="BC69" s="60"/>
      <c r="BD69" s="60"/>
      <c r="BE69" s="60"/>
      <c r="BF69" s="60"/>
      <c r="BG69" s="60"/>
      <c r="BH69" s="60"/>
      <c r="BI69" s="60"/>
      <c r="BJ69" s="60"/>
      <c r="BK69" s="60"/>
      <c r="BL69" s="60"/>
      <c r="BM69" s="60"/>
      <c r="BN69" s="60"/>
      <c r="BO69" s="60"/>
      <c r="BP69" s="60"/>
      <c r="BQ69" s="60"/>
      <c r="BR69" s="60"/>
      <c r="BS69" s="60"/>
      <c r="BT69" s="60"/>
      <c r="BU69" s="60"/>
      <c r="BV69" s="60"/>
      <c r="BW69" s="60"/>
      <c r="BX69" s="60"/>
      <c r="BY69" s="60"/>
      <c r="BZ69" s="60"/>
      <c r="CA69" s="60"/>
      <c r="CB69" s="60"/>
      <c r="CC69" s="60"/>
      <c r="CD69" s="60"/>
      <c r="CE69" s="60"/>
      <c r="CF69" s="60"/>
      <c r="CG69" s="60"/>
      <c r="CH69" s="60"/>
      <c r="CI69" s="60"/>
      <c r="CJ69" s="60"/>
      <c r="CK69" s="60"/>
      <c r="CL69" s="60"/>
      <c r="CM69" s="60"/>
      <c r="CN69" s="60"/>
      <c r="CO69" s="60"/>
      <c r="CP69" s="60"/>
      <c r="CQ69" s="60"/>
      <c r="CR69" s="60"/>
      <c r="CS69" s="60"/>
      <c r="CT69" s="60"/>
      <c r="CU69" s="60"/>
      <c r="CV69" s="60"/>
      <c r="CW69" s="60"/>
      <c r="CX69" s="60"/>
      <c r="CY69" s="60"/>
      <c r="CZ69" s="60"/>
      <c r="DA69" s="60"/>
      <c r="DB69" s="60"/>
      <c r="DC69" s="60"/>
      <c r="DD69" s="60"/>
      <c r="DE69" s="60"/>
      <c r="DF69" s="60"/>
      <c r="DG69" s="60"/>
      <c r="DH69" s="60"/>
      <c r="DI69" s="60"/>
      <c r="DJ69" s="60"/>
      <c r="DK69" s="60"/>
      <c r="DL69" s="60"/>
      <c r="DM69" s="60"/>
      <c r="DN69" s="60"/>
      <c r="DO69" s="60"/>
      <c r="DP69" s="60"/>
      <c r="DQ69" s="60"/>
      <c r="DR69" s="60"/>
      <c r="DS69" s="60"/>
      <c r="DT69" s="60"/>
      <c r="DU69" s="60"/>
      <c r="DV69" s="60"/>
      <c r="DW69" s="60"/>
      <c r="DX69" s="60"/>
      <c r="DY69" s="60"/>
      <c r="DZ69" s="60"/>
      <c r="EA69" s="60"/>
      <c r="EB69" s="60"/>
      <c r="EC69" s="60"/>
      <c r="ED69" s="60"/>
      <c r="EE69" s="60"/>
      <c r="EF69" s="60"/>
      <c r="EG69" s="60"/>
      <c r="EH69" s="60"/>
      <c r="EI69" s="60"/>
      <c r="EJ69" s="60"/>
      <c r="EK69" s="60"/>
      <c r="EL69" s="60"/>
      <c r="EM69" s="60"/>
      <c r="EN69" s="60"/>
      <c r="EO69" s="60"/>
      <c r="EP69" s="60"/>
      <c r="EQ69" s="60"/>
      <c r="ER69" s="60"/>
      <c r="ES69" s="60"/>
      <c r="ET69" s="60"/>
      <c r="EU69" s="60"/>
      <c r="EV69" s="60"/>
      <c r="EW69" s="60"/>
      <c r="EX69" s="60"/>
      <c r="EY69" s="60"/>
      <c r="EZ69" s="60"/>
      <c r="FA69" s="60"/>
      <c r="FB69" s="60"/>
      <c r="FC69" s="60"/>
      <c r="FD69" s="60"/>
      <c r="FE69" s="60"/>
      <c r="FF69" s="60"/>
      <c r="FG69" s="60"/>
      <c r="FH69" s="60"/>
      <c r="FI69" s="60"/>
      <c r="FJ69" s="60"/>
      <c r="FK69" s="60"/>
      <c r="FL69" s="60"/>
      <c r="FM69" s="60"/>
      <c r="FN69" s="60"/>
      <c r="FO69" s="60"/>
      <c r="FP69" s="60"/>
      <c r="FQ69" s="60"/>
      <c r="FR69" s="60"/>
      <c r="FS69" s="60"/>
      <c r="FT69" s="60"/>
      <c r="FU69" s="60"/>
      <c r="FV69" s="60"/>
      <c r="FW69" s="60"/>
      <c r="FX69" s="60"/>
      <c r="FY69" s="60"/>
      <c r="FZ69" s="60"/>
      <c r="GA69" s="60"/>
      <c r="GB69" s="60"/>
      <c r="GC69" s="60"/>
      <c r="GD69" s="60"/>
      <c r="GE69" s="60"/>
      <c r="GF69" s="60"/>
      <c r="GG69" s="60"/>
      <c r="GH69" s="60"/>
      <c r="GI69" s="60"/>
      <c r="GJ69" s="60"/>
      <c r="GK69" s="60"/>
      <c r="GL69" s="60"/>
      <c r="GM69" s="60"/>
      <c r="GN69" s="60"/>
      <c r="GO69" s="60"/>
      <c r="GP69" s="60"/>
      <c r="GQ69" s="60"/>
      <c r="GR69" s="60"/>
      <c r="GS69" s="60"/>
      <c r="GT69" s="60"/>
      <c r="GU69" s="60"/>
      <c r="GV69" s="60"/>
      <c r="GW69" s="60"/>
      <c r="GX69" s="60"/>
      <c r="GY69" s="60"/>
      <c r="GZ69" s="60"/>
      <c r="HA69" s="60"/>
      <c r="HB69" s="60"/>
      <c r="HC69" s="60"/>
      <c r="HD69" s="60"/>
      <c r="HE69" s="60"/>
      <c r="HF69" s="60"/>
      <c r="HG69" s="60"/>
      <c r="HH69" s="60"/>
      <c r="HI69" s="60"/>
      <c r="HJ69" s="60"/>
      <c r="HK69" s="60"/>
      <c r="HL69" s="60"/>
      <c r="HM69" s="60"/>
      <c r="HN69" s="60"/>
      <c r="HO69" s="60"/>
      <c r="HP69" s="60"/>
      <c r="HQ69" s="60"/>
      <c r="HR69" s="60"/>
      <c r="HS69" s="60"/>
      <c r="HT69" s="60"/>
      <c r="HU69" s="60"/>
      <c r="HV69" s="60"/>
      <c r="HW69" s="60"/>
      <c r="HX69" s="60"/>
      <c r="HY69" s="60"/>
      <c r="HZ69" s="60"/>
      <c r="IA69" s="60"/>
      <c r="IB69" s="60"/>
      <c r="IC69" s="60"/>
      <c r="ID69" s="60"/>
      <c r="IE69" s="60"/>
      <c r="IF69" s="60"/>
      <c r="IG69" s="60"/>
      <c r="IH69" s="60"/>
      <c r="II69" s="60"/>
      <c r="IJ69" s="60"/>
      <c r="IK69" s="60"/>
      <c r="IL69" s="60"/>
      <c r="IM69" s="60"/>
      <c r="IN69" s="60"/>
      <c r="IO69" s="60"/>
      <c r="IP69" s="60"/>
      <c r="IQ69" s="60"/>
      <c r="IR69" s="60"/>
      <c r="IS69" s="60"/>
      <c r="IT69" s="60"/>
      <c r="IU69" s="60"/>
      <c r="IV69" s="60"/>
      <c r="IW69" s="60"/>
      <c r="IX69" s="60"/>
      <c r="IY69" s="60"/>
      <c r="IZ69" s="60"/>
      <c r="JA69" s="60"/>
      <c r="JB69" s="60"/>
      <c r="JC69" s="60"/>
      <c r="JD69" s="60"/>
      <c r="JE69" s="60"/>
      <c r="JF69" s="60"/>
      <c r="JG69" s="60"/>
      <c r="JH69" s="60"/>
      <c r="JI69" s="60"/>
      <c r="JJ69" s="60"/>
      <c r="JK69" s="60"/>
      <c r="JL69" s="60"/>
      <c r="JM69" s="60"/>
      <c r="JN69" s="60"/>
      <c r="JO69" s="60"/>
      <c r="JP69" s="60"/>
      <c r="JQ69" s="60"/>
      <c r="JR69" s="60"/>
      <c r="JS69" s="60"/>
      <c r="JT69" s="60"/>
      <c r="JU69" s="60"/>
      <c r="JV69" s="60"/>
      <c r="JW69" s="60"/>
      <c r="JX69" s="60"/>
      <c r="JY69" s="60"/>
      <c r="JZ69" s="60"/>
      <c r="KA69" s="60"/>
      <c r="KB69" s="60"/>
      <c r="KC69" s="60"/>
      <c r="KD69" s="60"/>
      <c r="KE69" s="60"/>
      <c r="KF69" s="60"/>
      <c r="KG69" s="60"/>
      <c r="KH69" s="60"/>
      <c r="KI69" s="60"/>
      <c r="KJ69" s="60"/>
      <c r="KK69" s="60"/>
      <c r="KL69" s="60"/>
      <c r="KM69" s="60"/>
      <c r="KN69" s="60"/>
      <c r="KO69" s="60"/>
      <c r="KP69" s="60"/>
      <c r="KQ69" s="60"/>
      <c r="KR69" s="60"/>
      <c r="KS69" s="60"/>
      <c r="KT69" s="60"/>
      <c r="KU69" s="60"/>
      <c r="KV69" s="60"/>
      <c r="KW69" s="60"/>
      <c r="KX69" s="60"/>
      <c r="KY69" s="60"/>
      <c r="KZ69" s="60"/>
      <c r="LA69" s="60"/>
      <c r="LB69" s="60"/>
      <c r="LC69" s="60"/>
      <c r="LD69" s="60"/>
      <c r="LE69" s="60"/>
      <c r="LF69" s="60"/>
      <c r="LG69" s="60"/>
      <c r="LH69" s="60"/>
    </row>
    <row r="70" spans="1:320" s="17" customFormat="1" x14ac:dyDescent="0.25">
      <c r="A70" s="147"/>
      <c r="E70" s="156"/>
      <c r="F70" s="156"/>
      <c r="G70" s="156"/>
      <c r="H70" s="156"/>
      <c r="I70" s="156"/>
      <c r="J70" s="156"/>
      <c r="K70" s="156"/>
      <c r="L70" s="156"/>
      <c r="M70" s="156"/>
      <c r="N70" s="156"/>
      <c r="O70" s="156"/>
      <c r="P70" s="156"/>
      <c r="Q70" s="156"/>
      <c r="R70" s="156"/>
      <c r="S70" s="156"/>
      <c r="AC70" s="60"/>
      <c r="AD70" s="60"/>
      <c r="AE70" s="60"/>
      <c r="AF70" s="60"/>
      <c r="AG70" s="60"/>
      <c r="AH70" s="60"/>
      <c r="AI70" s="60"/>
      <c r="AJ70" s="60"/>
      <c r="AK70" s="60"/>
      <c r="AL70" s="60"/>
      <c r="AM70" s="60"/>
      <c r="AN70" s="60"/>
      <c r="AO70" s="60"/>
      <c r="AP70" s="60"/>
      <c r="AQ70" s="60"/>
      <c r="AR70" s="60"/>
      <c r="AS70" s="60"/>
      <c r="AT70" s="60"/>
      <c r="AU70" s="60"/>
      <c r="AV70" s="60"/>
      <c r="AW70" s="60"/>
      <c r="AX70" s="60"/>
      <c r="AY70" s="60"/>
      <c r="AZ70" s="60"/>
      <c r="BA70" s="60"/>
      <c r="BB70" s="60"/>
      <c r="BC70" s="60"/>
      <c r="BD70" s="60"/>
      <c r="BE70" s="60"/>
      <c r="BF70" s="60"/>
      <c r="BG70" s="60"/>
      <c r="BH70" s="60"/>
      <c r="BI70" s="60"/>
      <c r="BJ70" s="60"/>
      <c r="BK70" s="60"/>
      <c r="BL70" s="60"/>
      <c r="BM70" s="60"/>
      <c r="BN70" s="60"/>
      <c r="BO70" s="60"/>
      <c r="BP70" s="60"/>
      <c r="BQ70" s="60"/>
      <c r="BR70" s="60"/>
      <c r="BS70" s="60"/>
      <c r="BT70" s="60"/>
      <c r="BU70" s="60"/>
      <c r="BV70" s="60"/>
      <c r="BW70" s="60"/>
      <c r="BX70" s="60"/>
      <c r="BY70" s="60"/>
      <c r="BZ70" s="60"/>
      <c r="CA70" s="60"/>
      <c r="CB70" s="60"/>
      <c r="CC70" s="60"/>
      <c r="CD70" s="60"/>
      <c r="CE70" s="60"/>
      <c r="CF70" s="60"/>
      <c r="CG70" s="60"/>
      <c r="CH70" s="60"/>
      <c r="CI70" s="60"/>
      <c r="CJ70" s="60"/>
      <c r="CK70" s="60"/>
      <c r="CL70" s="60"/>
      <c r="CM70" s="60"/>
      <c r="CN70" s="60"/>
      <c r="CO70" s="60"/>
      <c r="CP70" s="60"/>
      <c r="CQ70" s="60"/>
      <c r="CR70" s="60"/>
      <c r="CS70" s="60"/>
      <c r="CT70" s="60"/>
      <c r="CU70" s="60"/>
      <c r="CV70" s="60"/>
      <c r="CW70" s="60"/>
      <c r="CX70" s="60"/>
      <c r="CY70" s="60"/>
      <c r="CZ70" s="60"/>
      <c r="DA70" s="60"/>
      <c r="DB70" s="60"/>
      <c r="DC70" s="60"/>
      <c r="DD70" s="60"/>
      <c r="DE70" s="60"/>
      <c r="DF70" s="60"/>
      <c r="DG70" s="60"/>
      <c r="DH70" s="60"/>
      <c r="DI70" s="60"/>
      <c r="DJ70" s="60"/>
      <c r="DK70" s="60"/>
      <c r="DL70" s="60"/>
      <c r="DM70" s="60"/>
      <c r="DN70" s="60"/>
      <c r="DO70" s="60"/>
      <c r="DP70" s="60"/>
      <c r="DQ70" s="60"/>
      <c r="DR70" s="60"/>
      <c r="DS70" s="60"/>
      <c r="DT70" s="60"/>
      <c r="DU70" s="60"/>
      <c r="DV70" s="60"/>
      <c r="DW70" s="60"/>
      <c r="DX70" s="60"/>
      <c r="DY70" s="60"/>
      <c r="DZ70" s="60"/>
      <c r="EA70" s="60"/>
      <c r="EB70" s="60"/>
      <c r="EC70" s="60"/>
      <c r="ED70" s="60"/>
      <c r="EE70" s="60"/>
      <c r="EF70" s="60"/>
      <c r="EG70" s="60"/>
      <c r="EH70" s="60"/>
      <c r="EI70" s="60"/>
      <c r="EJ70" s="60"/>
      <c r="EK70" s="60"/>
      <c r="EL70" s="60"/>
      <c r="EM70" s="60"/>
      <c r="EN70" s="60"/>
      <c r="EO70" s="60"/>
      <c r="EP70" s="60"/>
      <c r="EQ70" s="60"/>
      <c r="ER70" s="60"/>
      <c r="ES70" s="60"/>
      <c r="ET70" s="60"/>
      <c r="EU70" s="60"/>
      <c r="EV70" s="60"/>
      <c r="EW70" s="60"/>
      <c r="EX70" s="60"/>
      <c r="EY70" s="60"/>
      <c r="EZ70" s="60"/>
      <c r="FA70" s="60"/>
      <c r="FB70" s="60"/>
      <c r="FC70" s="60"/>
      <c r="FD70" s="60"/>
      <c r="FE70" s="60"/>
      <c r="FF70" s="60"/>
      <c r="FG70" s="60"/>
      <c r="FH70" s="60"/>
      <c r="FI70" s="60"/>
      <c r="FJ70" s="60"/>
      <c r="FK70" s="60"/>
      <c r="FL70" s="60"/>
      <c r="FM70" s="60"/>
      <c r="FN70" s="60"/>
      <c r="FO70" s="60"/>
      <c r="FP70" s="60"/>
      <c r="FQ70" s="60"/>
      <c r="FR70" s="60"/>
      <c r="FS70" s="60"/>
      <c r="FT70" s="60"/>
      <c r="FU70" s="60"/>
      <c r="FV70" s="60"/>
      <c r="FW70" s="60"/>
      <c r="FX70" s="60"/>
      <c r="FY70" s="60"/>
      <c r="FZ70" s="60"/>
      <c r="GA70" s="60"/>
      <c r="GB70" s="60"/>
      <c r="GC70" s="60"/>
      <c r="GD70" s="60"/>
      <c r="GE70" s="60"/>
      <c r="GF70" s="60"/>
      <c r="GG70" s="60"/>
      <c r="GH70" s="60"/>
      <c r="GI70" s="60"/>
      <c r="GJ70" s="60"/>
      <c r="GK70" s="60"/>
      <c r="GL70" s="60"/>
      <c r="GM70" s="60"/>
      <c r="GN70" s="60"/>
      <c r="GO70" s="60"/>
      <c r="GP70" s="60"/>
      <c r="GQ70" s="60"/>
      <c r="GR70" s="60"/>
      <c r="GS70" s="60"/>
      <c r="GT70" s="60"/>
      <c r="GU70" s="60"/>
      <c r="GV70" s="60"/>
      <c r="GW70" s="60"/>
      <c r="GX70" s="60"/>
      <c r="GY70" s="60"/>
      <c r="GZ70" s="60"/>
      <c r="HA70" s="60"/>
      <c r="HB70" s="60"/>
      <c r="HC70" s="60"/>
      <c r="HD70" s="60"/>
      <c r="HE70" s="60"/>
      <c r="HF70" s="60"/>
      <c r="HG70" s="60"/>
      <c r="HH70" s="60"/>
      <c r="HI70" s="60"/>
      <c r="HJ70" s="60"/>
      <c r="HK70" s="60"/>
      <c r="HL70" s="60"/>
      <c r="HM70" s="60"/>
      <c r="HN70" s="60"/>
      <c r="HO70" s="60"/>
      <c r="HP70" s="60"/>
      <c r="HQ70" s="60"/>
      <c r="HR70" s="60"/>
      <c r="HS70" s="60"/>
      <c r="HT70" s="60"/>
      <c r="HU70" s="60"/>
      <c r="HV70" s="60"/>
      <c r="HW70" s="60"/>
      <c r="HX70" s="60"/>
      <c r="HY70" s="60"/>
      <c r="HZ70" s="60"/>
      <c r="IA70" s="60"/>
      <c r="IB70" s="60"/>
      <c r="IC70" s="60"/>
      <c r="ID70" s="60"/>
      <c r="IE70" s="60"/>
      <c r="IF70" s="60"/>
      <c r="IG70" s="60"/>
      <c r="IH70" s="60"/>
      <c r="II70" s="60"/>
      <c r="IJ70" s="60"/>
      <c r="IK70" s="60"/>
      <c r="IL70" s="60"/>
      <c r="IM70" s="60"/>
      <c r="IN70" s="60"/>
      <c r="IO70" s="60"/>
      <c r="IP70" s="60"/>
      <c r="IQ70" s="60"/>
      <c r="IR70" s="60"/>
      <c r="IS70" s="60"/>
      <c r="IT70" s="60"/>
      <c r="IU70" s="60"/>
      <c r="IV70" s="60"/>
      <c r="IW70" s="60"/>
      <c r="IX70" s="60"/>
      <c r="IY70" s="60"/>
      <c r="IZ70" s="60"/>
      <c r="JA70" s="60"/>
      <c r="JB70" s="60"/>
      <c r="JC70" s="60"/>
      <c r="JD70" s="60"/>
      <c r="JE70" s="60"/>
      <c r="JF70" s="60"/>
      <c r="JG70" s="60"/>
      <c r="JH70" s="60"/>
      <c r="JI70" s="60"/>
      <c r="JJ70" s="60"/>
      <c r="JK70" s="60"/>
      <c r="JL70" s="60"/>
      <c r="JM70" s="60"/>
      <c r="JN70" s="60"/>
      <c r="JO70" s="60"/>
      <c r="JP70" s="60"/>
      <c r="JQ70" s="60"/>
      <c r="JR70" s="60"/>
      <c r="JS70" s="60"/>
      <c r="JT70" s="60"/>
      <c r="JU70" s="60"/>
      <c r="JV70" s="60"/>
      <c r="JW70" s="60"/>
      <c r="JX70" s="60"/>
      <c r="JY70" s="60"/>
      <c r="JZ70" s="60"/>
      <c r="KA70" s="60"/>
      <c r="KB70" s="60"/>
      <c r="KC70" s="60"/>
      <c r="KD70" s="60"/>
      <c r="KE70" s="60"/>
      <c r="KF70" s="60"/>
      <c r="KG70" s="60"/>
      <c r="KH70" s="60"/>
      <c r="KI70" s="60"/>
      <c r="KJ70" s="60"/>
      <c r="KK70" s="60"/>
      <c r="KL70" s="60"/>
      <c r="KM70" s="60"/>
      <c r="KN70" s="60"/>
      <c r="KO70" s="60"/>
      <c r="KP70" s="60"/>
      <c r="KQ70" s="60"/>
      <c r="KR70" s="60"/>
      <c r="KS70" s="60"/>
      <c r="KT70" s="60"/>
      <c r="KU70" s="60"/>
      <c r="KV70" s="60"/>
      <c r="KW70" s="60"/>
      <c r="KX70" s="60"/>
      <c r="KY70" s="60"/>
      <c r="KZ70" s="60"/>
      <c r="LA70" s="60"/>
      <c r="LB70" s="60"/>
      <c r="LC70" s="60"/>
      <c r="LD70" s="60"/>
      <c r="LE70" s="60"/>
      <c r="LF70" s="60"/>
      <c r="LG70" s="60"/>
      <c r="LH70" s="60"/>
    </row>
    <row r="71" spans="1:320" s="17" customFormat="1" x14ac:dyDescent="0.25">
      <c r="A71" s="147"/>
      <c r="E71" s="156"/>
      <c r="F71" s="156"/>
      <c r="G71" s="156"/>
      <c r="H71" s="156"/>
      <c r="I71" s="156"/>
      <c r="J71" s="156"/>
      <c r="K71" s="156"/>
      <c r="L71" s="156"/>
      <c r="M71" s="156"/>
      <c r="N71" s="156"/>
      <c r="O71" s="156"/>
      <c r="P71" s="156"/>
      <c r="Q71" s="156"/>
      <c r="R71" s="156"/>
      <c r="S71" s="156"/>
      <c r="AC71" s="60"/>
      <c r="AD71" s="60"/>
      <c r="AE71" s="60"/>
      <c r="AF71" s="60"/>
      <c r="AG71" s="60"/>
      <c r="AH71" s="60"/>
      <c r="AI71" s="60"/>
      <c r="AJ71" s="60"/>
      <c r="AK71" s="60"/>
      <c r="AL71" s="60"/>
      <c r="AM71" s="60"/>
      <c r="AN71" s="60"/>
      <c r="AO71" s="60"/>
      <c r="AP71" s="60"/>
      <c r="AQ71" s="60"/>
      <c r="AR71" s="60"/>
      <c r="AS71" s="60"/>
      <c r="AT71" s="60"/>
      <c r="AU71" s="60"/>
      <c r="AV71" s="60"/>
      <c r="AW71" s="60"/>
      <c r="AX71" s="60"/>
      <c r="AY71" s="60"/>
      <c r="AZ71" s="60"/>
      <c r="BA71" s="60"/>
      <c r="BB71" s="60"/>
      <c r="BC71" s="60"/>
      <c r="BD71" s="60"/>
      <c r="BE71" s="60"/>
      <c r="BF71" s="60"/>
      <c r="BG71" s="60"/>
      <c r="BH71" s="60"/>
      <c r="BI71" s="60"/>
      <c r="BJ71" s="60"/>
      <c r="BK71" s="60"/>
      <c r="BL71" s="60"/>
      <c r="BM71" s="60"/>
      <c r="BN71" s="60"/>
      <c r="BO71" s="60"/>
      <c r="BP71" s="60"/>
      <c r="BQ71" s="60"/>
      <c r="BR71" s="60"/>
      <c r="BS71" s="60"/>
      <c r="BT71" s="60"/>
      <c r="BU71" s="60"/>
      <c r="BV71" s="60"/>
      <c r="BW71" s="60"/>
      <c r="BX71" s="60"/>
      <c r="BY71" s="60"/>
      <c r="BZ71" s="60"/>
      <c r="CA71" s="60"/>
      <c r="CB71" s="60"/>
      <c r="CC71" s="60"/>
      <c r="CD71" s="60"/>
      <c r="CE71" s="60"/>
      <c r="CF71" s="60"/>
      <c r="CG71" s="60"/>
      <c r="CH71" s="60"/>
      <c r="CI71" s="60"/>
      <c r="CJ71" s="60"/>
      <c r="CK71" s="60"/>
      <c r="CL71" s="60"/>
      <c r="CM71" s="60"/>
      <c r="CN71" s="60"/>
      <c r="CO71" s="60"/>
      <c r="CP71" s="60"/>
      <c r="CQ71" s="60"/>
      <c r="CR71" s="60"/>
      <c r="CS71" s="60"/>
      <c r="CT71" s="60"/>
      <c r="CU71" s="60"/>
      <c r="CV71" s="60"/>
      <c r="CW71" s="60"/>
      <c r="CX71" s="60"/>
      <c r="CY71" s="60"/>
      <c r="CZ71" s="60"/>
      <c r="DA71" s="60"/>
      <c r="DB71" s="60"/>
      <c r="DC71" s="60"/>
      <c r="DD71" s="60"/>
      <c r="DE71" s="60"/>
      <c r="DF71" s="60"/>
      <c r="DG71" s="60"/>
      <c r="DH71" s="60"/>
      <c r="DI71" s="60"/>
      <c r="DJ71" s="60"/>
      <c r="DK71" s="60"/>
      <c r="DL71" s="60"/>
      <c r="DM71" s="60"/>
      <c r="DN71" s="60"/>
      <c r="DO71" s="60"/>
      <c r="DP71" s="60"/>
      <c r="DQ71" s="60"/>
      <c r="DR71" s="60"/>
      <c r="DS71" s="60"/>
      <c r="DT71" s="60"/>
      <c r="DU71" s="60"/>
      <c r="DV71" s="60"/>
      <c r="DW71" s="60"/>
      <c r="DX71" s="60"/>
      <c r="DY71" s="60"/>
      <c r="DZ71" s="60"/>
      <c r="EA71" s="60"/>
      <c r="EB71" s="60"/>
      <c r="EC71" s="60"/>
      <c r="ED71" s="60"/>
      <c r="EE71" s="60"/>
      <c r="EF71" s="60"/>
      <c r="EG71" s="60"/>
      <c r="EH71" s="60"/>
      <c r="EI71" s="60"/>
      <c r="EJ71" s="60"/>
      <c r="EK71" s="60"/>
      <c r="EL71" s="60"/>
      <c r="EM71" s="60"/>
      <c r="EN71" s="60"/>
      <c r="EO71" s="60"/>
      <c r="EP71" s="60"/>
      <c r="EQ71" s="60"/>
      <c r="ER71" s="60"/>
      <c r="ES71" s="60"/>
      <c r="ET71" s="60"/>
      <c r="EU71" s="60"/>
      <c r="EV71" s="60"/>
      <c r="EW71" s="60"/>
      <c r="EX71" s="60"/>
      <c r="EY71" s="60"/>
      <c r="EZ71" s="60"/>
      <c r="FA71" s="60"/>
      <c r="FB71" s="60"/>
      <c r="FC71" s="60"/>
      <c r="FD71" s="60"/>
      <c r="FE71" s="60"/>
      <c r="FF71" s="60"/>
      <c r="FG71" s="60"/>
      <c r="FH71" s="60"/>
      <c r="FI71" s="60"/>
      <c r="FJ71" s="60"/>
      <c r="FK71" s="60"/>
      <c r="FL71" s="60"/>
      <c r="FM71" s="60"/>
      <c r="FN71" s="60"/>
      <c r="FO71" s="60"/>
      <c r="FP71" s="60"/>
      <c r="FQ71" s="60"/>
      <c r="FR71" s="60"/>
      <c r="FS71" s="60"/>
      <c r="FT71" s="60"/>
      <c r="FU71" s="60"/>
      <c r="FV71" s="60"/>
      <c r="FW71" s="60"/>
      <c r="FX71" s="60"/>
      <c r="FY71" s="60"/>
      <c r="FZ71" s="60"/>
      <c r="GA71" s="60"/>
      <c r="GB71" s="60"/>
      <c r="GC71" s="60"/>
      <c r="GD71" s="60"/>
      <c r="GE71" s="60"/>
      <c r="GF71" s="60"/>
      <c r="GG71" s="60"/>
      <c r="GH71" s="60"/>
      <c r="GI71" s="60"/>
      <c r="GJ71" s="60"/>
      <c r="GK71" s="60"/>
      <c r="GL71" s="60"/>
      <c r="GM71" s="60"/>
      <c r="GN71" s="60"/>
      <c r="GO71" s="60"/>
      <c r="GP71" s="60"/>
      <c r="GQ71" s="60"/>
      <c r="GR71" s="60"/>
      <c r="GS71" s="60"/>
      <c r="GT71" s="60"/>
      <c r="GU71" s="60"/>
      <c r="GV71" s="60"/>
      <c r="GW71" s="60"/>
      <c r="GX71" s="60"/>
      <c r="GY71" s="60"/>
      <c r="GZ71" s="60"/>
      <c r="HA71" s="60"/>
      <c r="HB71" s="60"/>
      <c r="HC71" s="60"/>
      <c r="HD71" s="60"/>
      <c r="HE71" s="60"/>
      <c r="HF71" s="60"/>
      <c r="HG71" s="60"/>
      <c r="HH71" s="60"/>
      <c r="HI71" s="60"/>
      <c r="HJ71" s="60"/>
      <c r="HK71" s="60"/>
      <c r="HL71" s="60"/>
      <c r="HM71" s="60"/>
      <c r="HN71" s="60"/>
      <c r="HO71" s="60"/>
      <c r="HP71" s="60"/>
      <c r="HQ71" s="60"/>
      <c r="HR71" s="60"/>
      <c r="HS71" s="60"/>
      <c r="HT71" s="60"/>
      <c r="HU71" s="60"/>
      <c r="HV71" s="60"/>
      <c r="HW71" s="60"/>
      <c r="HX71" s="60"/>
      <c r="HY71" s="60"/>
      <c r="HZ71" s="60"/>
      <c r="IA71" s="60"/>
      <c r="IB71" s="60"/>
      <c r="IC71" s="60"/>
      <c r="ID71" s="60"/>
      <c r="IE71" s="60"/>
      <c r="IF71" s="60"/>
      <c r="IG71" s="60"/>
      <c r="IH71" s="60"/>
      <c r="II71" s="60"/>
      <c r="IJ71" s="60"/>
      <c r="IK71" s="60"/>
      <c r="IL71" s="60"/>
      <c r="IM71" s="60"/>
      <c r="IN71" s="60"/>
      <c r="IO71" s="60"/>
      <c r="IP71" s="60"/>
      <c r="IQ71" s="60"/>
      <c r="IR71" s="60"/>
      <c r="IS71" s="60"/>
      <c r="IT71" s="60"/>
      <c r="IU71" s="60"/>
      <c r="IV71" s="60"/>
      <c r="IW71" s="60"/>
      <c r="IX71" s="60"/>
      <c r="IY71" s="60"/>
      <c r="IZ71" s="60"/>
      <c r="JA71" s="60"/>
      <c r="JB71" s="60"/>
      <c r="JC71" s="60"/>
      <c r="JD71" s="60"/>
      <c r="JE71" s="60"/>
      <c r="JF71" s="60"/>
      <c r="JG71" s="60"/>
      <c r="JH71" s="60"/>
      <c r="JI71" s="60"/>
      <c r="JJ71" s="60"/>
      <c r="JK71" s="60"/>
      <c r="JL71" s="60"/>
      <c r="JM71" s="60"/>
      <c r="JN71" s="60"/>
      <c r="JO71" s="60"/>
      <c r="JP71" s="60"/>
      <c r="JQ71" s="60"/>
      <c r="JR71" s="60"/>
      <c r="JS71" s="60"/>
      <c r="JT71" s="60"/>
      <c r="JU71" s="60"/>
      <c r="JV71" s="60"/>
      <c r="JW71" s="60"/>
      <c r="JX71" s="60"/>
      <c r="JY71" s="60"/>
      <c r="JZ71" s="60"/>
      <c r="KA71" s="60"/>
      <c r="KB71" s="60"/>
      <c r="KC71" s="60"/>
      <c r="KD71" s="60"/>
      <c r="KE71" s="60"/>
      <c r="KF71" s="60"/>
      <c r="KG71" s="60"/>
      <c r="KH71" s="60"/>
      <c r="KI71" s="60"/>
      <c r="KJ71" s="60"/>
      <c r="KK71" s="60"/>
      <c r="KL71" s="60"/>
      <c r="KM71" s="60"/>
      <c r="KN71" s="60"/>
      <c r="KO71" s="60"/>
      <c r="KP71" s="60"/>
      <c r="KQ71" s="60"/>
      <c r="KR71" s="60"/>
      <c r="KS71" s="60"/>
      <c r="KT71" s="60"/>
      <c r="KU71" s="60"/>
      <c r="KV71" s="60"/>
      <c r="KW71" s="60"/>
      <c r="KX71" s="60"/>
      <c r="KY71" s="60"/>
      <c r="KZ71" s="60"/>
      <c r="LA71" s="60"/>
      <c r="LB71" s="60"/>
      <c r="LC71" s="60"/>
      <c r="LD71" s="60"/>
      <c r="LE71" s="60"/>
      <c r="LF71" s="60"/>
      <c r="LG71" s="60"/>
      <c r="LH71" s="60"/>
    </row>
    <row r="72" spans="1:320" s="17" customFormat="1" x14ac:dyDescent="0.25">
      <c r="A72" s="147"/>
      <c r="E72" s="156"/>
      <c r="F72" s="156"/>
      <c r="G72" s="156"/>
      <c r="H72" s="156"/>
      <c r="I72" s="156"/>
      <c r="J72" s="156"/>
      <c r="K72" s="156"/>
      <c r="L72" s="156"/>
      <c r="M72" s="156"/>
      <c r="N72" s="156"/>
      <c r="O72" s="156"/>
      <c r="P72" s="156"/>
      <c r="Q72" s="156"/>
      <c r="R72" s="156"/>
      <c r="S72" s="156"/>
      <c r="AC72" s="60"/>
      <c r="AD72" s="60"/>
      <c r="AE72" s="60"/>
      <c r="AF72" s="60"/>
      <c r="AG72" s="60"/>
      <c r="AH72" s="60"/>
      <c r="AI72" s="60"/>
      <c r="AJ72" s="60"/>
      <c r="AK72" s="60"/>
      <c r="AL72" s="60"/>
      <c r="AM72" s="60"/>
      <c r="AN72" s="60"/>
      <c r="AO72" s="60"/>
      <c r="AP72" s="60"/>
      <c r="AQ72" s="60"/>
      <c r="AR72" s="60"/>
      <c r="AS72" s="60"/>
      <c r="AT72" s="60"/>
      <c r="AU72" s="60"/>
      <c r="AV72" s="60"/>
      <c r="AW72" s="60"/>
      <c r="AX72" s="60"/>
      <c r="AY72" s="60"/>
      <c r="AZ72" s="60"/>
      <c r="BA72" s="60"/>
      <c r="BB72" s="60"/>
      <c r="BC72" s="60"/>
      <c r="BD72" s="60"/>
      <c r="BE72" s="60"/>
      <c r="BF72" s="60"/>
      <c r="BG72" s="60"/>
      <c r="BH72" s="60"/>
      <c r="BI72" s="60"/>
      <c r="BJ72" s="60"/>
      <c r="BK72" s="60"/>
      <c r="BL72" s="60"/>
      <c r="BM72" s="60"/>
      <c r="BN72" s="60"/>
      <c r="BO72" s="60"/>
      <c r="BP72" s="60"/>
      <c r="BQ72" s="60"/>
      <c r="BR72" s="60"/>
      <c r="BS72" s="60"/>
      <c r="BT72" s="60"/>
      <c r="BU72" s="60"/>
      <c r="BV72" s="60"/>
      <c r="BW72" s="60"/>
      <c r="BX72" s="60"/>
      <c r="BY72" s="60"/>
      <c r="BZ72" s="60"/>
      <c r="CA72" s="60"/>
      <c r="CB72" s="60"/>
      <c r="CC72" s="60"/>
      <c r="CD72" s="60"/>
      <c r="CE72" s="60"/>
      <c r="CF72" s="60"/>
      <c r="CG72" s="60"/>
      <c r="CH72" s="60"/>
      <c r="CI72" s="60"/>
      <c r="CJ72" s="60"/>
      <c r="CK72" s="60"/>
      <c r="CL72" s="60"/>
      <c r="CM72" s="60"/>
      <c r="CN72" s="60"/>
      <c r="CO72" s="60"/>
      <c r="CP72" s="60"/>
      <c r="CQ72" s="60"/>
      <c r="CR72" s="60"/>
      <c r="CS72" s="60"/>
      <c r="CT72" s="60"/>
      <c r="CU72" s="60"/>
      <c r="CV72" s="60"/>
      <c r="CW72" s="60"/>
      <c r="CX72" s="60"/>
      <c r="CY72" s="60"/>
      <c r="CZ72" s="60"/>
      <c r="DA72" s="60"/>
      <c r="DB72" s="60"/>
      <c r="DC72" s="60"/>
      <c r="DD72" s="60"/>
      <c r="DE72" s="60"/>
      <c r="DF72" s="60"/>
      <c r="DG72" s="60"/>
      <c r="DH72" s="60"/>
      <c r="DI72" s="60"/>
      <c r="DJ72" s="60"/>
      <c r="DK72" s="60"/>
      <c r="DL72" s="60"/>
      <c r="DM72" s="60"/>
      <c r="DN72" s="60"/>
      <c r="DO72" s="60"/>
      <c r="DP72" s="60"/>
      <c r="DQ72" s="60"/>
      <c r="DR72" s="60"/>
      <c r="DS72" s="60"/>
      <c r="DT72" s="60"/>
      <c r="DU72" s="60"/>
      <c r="DV72" s="60"/>
      <c r="DW72" s="60"/>
      <c r="DX72" s="60"/>
      <c r="DY72" s="60"/>
      <c r="DZ72" s="60"/>
      <c r="EA72" s="60"/>
      <c r="EB72" s="60"/>
      <c r="EC72" s="60"/>
      <c r="ED72" s="60"/>
      <c r="EE72" s="60"/>
      <c r="EF72" s="60"/>
      <c r="EG72" s="60"/>
      <c r="EH72" s="60"/>
      <c r="EI72" s="60"/>
      <c r="EJ72" s="60"/>
      <c r="EK72" s="60"/>
      <c r="EL72" s="60"/>
      <c r="EM72" s="60"/>
      <c r="EN72" s="60"/>
      <c r="EO72" s="60"/>
      <c r="EP72" s="60"/>
      <c r="EQ72" s="60"/>
      <c r="ER72" s="60"/>
      <c r="ES72" s="60"/>
      <c r="ET72" s="60"/>
      <c r="EU72" s="60"/>
      <c r="EV72" s="60"/>
      <c r="EW72" s="60"/>
      <c r="EX72" s="60"/>
      <c r="EY72" s="60"/>
      <c r="EZ72" s="60"/>
      <c r="FA72" s="60"/>
      <c r="FB72" s="60"/>
      <c r="FC72" s="60"/>
      <c r="FD72" s="60"/>
      <c r="FE72" s="60"/>
      <c r="FF72" s="60"/>
      <c r="FG72" s="60"/>
      <c r="FH72" s="60"/>
      <c r="FI72" s="60"/>
      <c r="FJ72" s="60"/>
      <c r="FK72" s="60"/>
      <c r="FL72" s="60"/>
      <c r="FM72" s="60"/>
      <c r="FN72" s="60"/>
      <c r="FO72" s="60"/>
      <c r="FP72" s="60"/>
      <c r="FQ72" s="60"/>
      <c r="FR72" s="60"/>
      <c r="FS72" s="60"/>
      <c r="FT72" s="60"/>
      <c r="FU72" s="60"/>
      <c r="FV72" s="60"/>
      <c r="FW72" s="60"/>
      <c r="FX72" s="60"/>
      <c r="FY72" s="60"/>
      <c r="FZ72" s="60"/>
      <c r="GA72" s="60"/>
      <c r="GB72" s="60"/>
      <c r="GC72" s="60"/>
      <c r="GD72" s="60"/>
      <c r="GE72" s="60"/>
      <c r="GF72" s="60"/>
      <c r="GG72" s="60"/>
      <c r="GH72" s="60"/>
      <c r="GI72" s="60"/>
      <c r="GJ72" s="60"/>
      <c r="GK72" s="60"/>
      <c r="GL72" s="60"/>
      <c r="GM72" s="60"/>
      <c r="GN72" s="60"/>
      <c r="GO72" s="60"/>
      <c r="GP72" s="60"/>
      <c r="GQ72" s="60"/>
      <c r="GR72" s="60"/>
      <c r="GS72" s="60"/>
      <c r="GT72" s="60"/>
      <c r="GU72" s="60"/>
      <c r="GV72" s="60"/>
      <c r="GW72" s="60"/>
      <c r="GX72" s="60"/>
      <c r="GY72" s="60"/>
      <c r="GZ72" s="60"/>
      <c r="HA72" s="60"/>
      <c r="HB72" s="60"/>
      <c r="HC72" s="60"/>
      <c r="HD72" s="60"/>
      <c r="HE72" s="60"/>
      <c r="HF72" s="60"/>
      <c r="HG72" s="60"/>
      <c r="HH72" s="60"/>
      <c r="HI72" s="60"/>
      <c r="HJ72" s="60"/>
      <c r="HK72" s="60"/>
      <c r="HL72" s="60"/>
      <c r="HM72" s="60"/>
      <c r="HN72" s="60"/>
      <c r="HO72" s="60"/>
      <c r="HP72" s="60"/>
      <c r="HQ72" s="60"/>
      <c r="HR72" s="60"/>
      <c r="HS72" s="60"/>
      <c r="HT72" s="60"/>
      <c r="HU72" s="60"/>
      <c r="HV72" s="60"/>
      <c r="HW72" s="60"/>
      <c r="HX72" s="60"/>
      <c r="HY72" s="60"/>
      <c r="HZ72" s="60"/>
      <c r="IA72" s="60"/>
      <c r="IB72" s="60"/>
      <c r="IC72" s="60"/>
      <c r="ID72" s="60"/>
      <c r="IE72" s="60"/>
      <c r="IF72" s="60"/>
      <c r="IG72" s="60"/>
      <c r="IH72" s="60"/>
      <c r="II72" s="60"/>
      <c r="IJ72" s="60"/>
      <c r="IK72" s="60"/>
      <c r="IL72" s="60"/>
      <c r="IM72" s="60"/>
      <c r="IN72" s="60"/>
      <c r="IO72" s="60"/>
      <c r="IP72" s="60"/>
      <c r="IQ72" s="60"/>
      <c r="IR72" s="60"/>
      <c r="IS72" s="60"/>
      <c r="IT72" s="60"/>
      <c r="IU72" s="60"/>
      <c r="IV72" s="60"/>
      <c r="IW72" s="60"/>
      <c r="IX72" s="60"/>
      <c r="IY72" s="60"/>
      <c r="IZ72" s="60"/>
      <c r="JA72" s="60"/>
      <c r="JB72" s="60"/>
      <c r="JC72" s="60"/>
      <c r="JD72" s="60"/>
      <c r="JE72" s="60"/>
      <c r="JF72" s="60"/>
      <c r="JG72" s="60"/>
      <c r="JH72" s="60"/>
      <c r="JI72" s="60"/>
      <c r="JJ72" s="60"/>
      <c r="JK72" s="60"/>
      <c r="JL72" s="60"/>
      <c r="JM72" s="60"/>
      <c r="JN72" s="60"/>
      <c r="JO72" s="60"/>
      <c r="JP72" s="60"/>
      <c r="JQ72" s="60"/>
      <c r="JR72" s="60"/>
      <c r="JS72" s="60"/>
      <c r="JT72" s="60"/>
      <c r="JU72" s="60"/>
      <c r="JV72" s="60"/>
      <c r="JW72" s="60"/>
      <c r="JX72" s="60"/>
      <c r="JY72" s="60"/>
      <c r="JZ72" s="60"/>
      <c r="KA72" s="60"/>
      <c r="KB72" s="60"/>
      <c r="KC72" s="60"/>
      <c r="KD72" s="60"/>
      <c r="KE72" s="60"/>
      <c r="KF72" s="60"/>
      <c r="KG72" s="60"/>
      <c r="KH72" s="60"/>
      <c r="KI72" s="60"/>
      <c r="KJ72" s="60"/>
      <c r="KK72" s="60"/>
      <c r="KL72" s="60"/>
      <c r="KM72" s="60"/>
      <c r="KN72" s="60"/>
      <c r="KO72" s="60"/>
      <c r="KP72" s="60"/>
      <c r="KQ72" s="60"/>
      <c r="KR72" s="60"/>
      <c r="KS72" s="60"/>
      <c r="KT72" s="60"/>
      <c r="KU72" s="60"/>
      <c r="KV72" s="60"/>
      <c r="KW72" s="60"/>
      <c r="KX72" s="60"/>
      <c r="KY72" s="60"/>
      <c r="KZ72" s="60"/>
      <c r="LA72" s="60"/>
      <c r="LB72" s="60"/>
      <c r="LC72" s="60"/>
      <c r="LD72" s="60"/>
      <c r="LE72" s="60"/>
      <c r="LF72" s="60"/>
      <c r="LG72" s="60"/>
      <c r="LH72" s="60"/>
    </row>
    <row r="73" spans="1:320" s="17" customFormat="1" x14ac:dyDescent="0.25">
      <c r="A73" s="147"/>
      <c r="E73" s="156"/>
      <c r="F73" s="156"/>
      <c r="G73" s="156"/>
      <c r="H73" s="156"/>
      <c r="I73" s="156"/>
      <c r="J73" s="156"/>
      <c r="K73" s="156"/>
      <c r="L73" s="156"/>
      <c r="M73" s="156"/>
      <c r="N73" s="156"/>
      <c r="O73" s="156"/>
      <c r="P73" s="156"/>
      <c r="Q73" s="156"/>
      <c r="R73" s="156"/>
      <c r="S73" s="156"/>
      <c r="AC73" s="60"/>
      <c r="AD73" s="60"/>
      <c r="AE73" s="60"/>
      <c r="AF73" s="60"/>
      <c r="AG73" s="60"/>
      <c r="AH73" s="60"/>
      <c r="AI73" s="60"/>
      <c r="AJ73" s="60"/>
      <c r="AK73" s="60"/>
      <c r="AL73" s="60"/>
      <c r="AM73" s="60"/>
      <c r="AN73" s="60"/>
      <c r="AO73" s="60"/>
      <c r="AP73" s="60"/>
      <c r="AQ73" s="60"/>
      <c r="AR73" s="60"/>
      <c r="AS73" s="60"/>
      <c r="AT73" s="60"/>
      <c r="AU73" s="60"/>
      <c r="AV73" s="60"/>
      <c r="AW73" s="60"/>
      <c r="AX73" s="60"/>
      <c r="AY73" s="60"/>
      <c r="AZ73" s="60"/>
      <c r="BA73" s="60"/>
      <c r="BB73" s="60"/>
      <c r="BC73" s="60"/>
      <c r="BD73" s="60"/>
      <c r="BE73" s="60"/>
      <c r="BF73" s="60"/>
      <c r="BG73" s="60"/>
      <c r="BH73" s="60"/>
      <c r="BI73" s="60"/>
      <c r="BJ73" s="60"/>
      <c r="BK73" s="60"/>
      <c r="BL73" s="60"/>
      <c r="BM73" s="60"/>
      <c r="BN73" s="60"/>
      <c r="BO73" s="60"/>
      <c r="BP73" s="60"/>
      <c r="BQ73" s="60"/>
      <c r="BR73" s="60"/>
      <c r="BS73" s="60"/>
      <c r="BT73" s="60"/>
      <c r="BU73" s="60"/>
      <c r="BV73" s="60"/>
      <c r="BW73" s="60"/>
      <c r="BX73" s="60"/>
      <c r="BY73" s="60"/>
      <c r="BZ73" s="60"/>
      <c r="CA73" s="60"/>
      <c r="CB73" s="60"/>
      <c r="CC73" s="60"/>
      <c r="CD73" s="60"/>
      <c r="CE73" s="60"/>
      <c r="CF73" s="60"/>
      <c r="CG73" s="60"/>
      <c r="CH73" s="60"/>
      <c r="CI73" s="60"/>
      <c r="CJ73" s="60"/>
      <c r="CK73" s="60"/>
      <c r="CL73" s="60"/>
      <c r="CM73" s="60"/>
      <c r="CN73" s="60"/>
      <c r="CO73" s="60"/>
      <c r="CP73" s="60"/>
      <c r="CQ73" s="60"/>
      <c r="CR73" s="60"/>
      <c r="CS73" s="60"/>
      <c r="CT73" s="60"/>
      <c r="CU73" s="60"/>
      <c r="CV73" s="60"/>
      <c r="CW73" s="60"/>
      <c r="CX73" s="60"/>
      <c r="CY73" s="60"/>
      <c r="CZ73" s="60"/>
      <c r="DA73" s="60"/>
      <c r="DB73" s="60"/>
      <c r="DC73" s="60"/>
      <c r="DD73" s="60"/>
      <c r="DE73" s="60"/>
      <c r="DF73" s="60"/>
      <c r="DG73" s="60"/>
      <c r="DH73" s="60"/>
      <c r="DI73" s="60"/>
      <c r="DJ73" s="60"/>
      <c r="DK73" s="60"/>
      <c r="DL73" s="60"/>
      <c r="DM73" s="60"/>
      <c r="DN73" s="60"/>
      <c r="DO73" s="60"/>
      <c r="DP73" s="60"/>
      <c r="DQ73" s="60"/>
      <c r="DR73" s="60"/>
      <c r="DS73" s="60"/>
      <c r="DT73" s="60"/>
      <c r="DU73" s="60"/>
      <c r="DV73" s="60"/>
      <c r="DW73" s="60"/>
      <c r="DX73" s="60"/>
      <c r="DY73" s="60"/>
      <c r="DZ73" s="60"/>
      <c r="EA73" s="60"/>
      <c r="EB73" s="60"/>
      <c r="EC73" s="60"/>
      <c r="ED73" s="60"/>
      <c r="EE73" s="60"/>
      <c r="EF73" s="60"/>
      <c r="EG73" s="60"/>
      <c r="EH73" s="60"/>
      <c r="EI73" s="60"/>
      <c r="EJ73" s="60"/>
      <c r="EK73" s="60"/>
      <c r="EL73" s="60"/>
      <c r="EM73" s="60"/>
      <c r="EN73" s="60"/>
      <c r="EO73" s="60"/>
      <c r="EP73" s="60"/>
      <c r="EQ73" s="60"/>
      <c r="ER73" s="60"/>
      <c r="ES73" s="60"/>
      <c r="ET73" s="60"/>
      <c r="EU73" s="60"/>
      <c r="EV73" s="60"/>
      <c r="EW73" s="60"/>
      <c r="EX73" s="60"/>
      <c r="EY73" s="60"/>
      <c r="EZ73" s="60"/>
      <c r="FA73" s="60"/>
      <c r="FB73" s="60"/>
      <c r="FC73" s="60"/>
      <c r="FD73" s="60"/>
      <c r="FE73" s="60"/>
      <c r="FF73" s="60"/>
      <c r="FG73" s="60"/>
      <c r="FH73" s="60"/>
      <c r="FI73" s="60"/>
      <c r="FJ73" s="60"/>
      <c r="FK73" s="60"/>
      <c r="FL73" s="60"/>
      <c r="FM73" s="60"/>
      <c r="FN73" s="60"/>
      <c r="FO73" s="60"/>
      <c r="FP73" s="60"/>
      <c r="FQ73" s="60"/>
      <c r="FR73" s="60"/>
      <c r="FS73" s="60"/>
      <c r="FT73" s="60"/>
      <c r="FU73" s="60"/>
      <c r="FV73" s="60"/>
      <c r="FW73" s="60"/>
      <c r="FX73" s="60"/>
      <c r="FY73" s="60"/>
      <c r="FZ73" s="60"/>
      <c r="GA73" s="60"/>
      <c r="GB73" s="60"/>
      <c r="GC73" s="60"/>
      <c r="GD73" s="60"/>
      <c r="GE73" s="60"/>
      <c r="GF73" s="60"/>
      <c r="GG73" s="60"/>
      <c r="GH73" s="60"/>
      <c r="GI73" s="60"/>
      <c r="GJ73" s="60"/>
      <c r="GK73" s="60"/>
      <c r="GL73" s="60"/>
      <c r="GM73" s="60"/>
      <c r="GN73" s="60"/>
      <c r="GO73" s="60"/>
      <c r="GP73" s="60"/>
      <c r="GQ73" s="60"/>
      <c r="GR73" s="60"/>
      <c r="GS73" s="60"/>
      <c r="GT73" s="60"/>
      <c r="GU73" s="60"/>
      <c r="GV73" s="60"/>
      <c r="GW73" s="60"/>
      <c r="GX73" s="60"/>
      <c r="GY73" s="60"/>
      <c r="GZ73" s="60"/>
      <c r="HA73" s="60"/>
      <c r="HB73" s="60"/>
      <c r="HC73" s="60"/>
      <c r="HD73" s="60"/>
      <c r="HE73" s="60"/>
      <c r="HF73" s="60"/>
      <c r="HG73" s="60"/>
      <c r="HH73" s="60"/>
      <c r="HI73" s="60"/>
      <c r="HJ73" s="60"/>
      <c r="HK73" s="60"/>
      <c r="HL73" s="60"/>
      <c r="HM73" s="60"/>
      <c r="HN73" s="60"/>
      <c r="HO73" s="60"/>
      <c r="HP73" s="60"/>
      <c r="HQ73" s="60"/>
      <c r="HR73" s="60"/>
      <c r="HS73" s="60"/>
      <c r="HT73" s="60"/>
      <c r="HU73" s="60"/>
      <c r="HV73" s="60"/>
      <c r="HW73" s="60"/>
      <c r="HX73" s="60"/>
      <c r="HY73" s="60"/>
      <c r="HZ73" s="60"/>
      <c r="IA73" s="60"/>
      <c r="IB73" s="60"/>
      <c r="IC73" s="60"/>
      <c r="ID73" s="60"/>
      <c r="IE73" s="60"/>
      <c r="IF73" s="60"/>
      <c r="IG73" s="60"/>
      <c r="IH73" s="60"/>
      <c r="II73" s="60"/>
      <c r="IJ73" s="60"/>
      <c r="IK73" s="60"/>
      <c r="IL73" s="60"/>
      <c r="IM73" s="60"/>
      <c r="IN73" s="60"/>
      <c r="IO73" s="60"/>
      <c r="IP73" s="60"/>
      <c r="IQ73" s="60"/>
      <c r="IR73" s="60"/>
      <c r="IS73" s="60"/>
      <c r="IT73" s="60"/>
      <c r="IU73" s="60"/>
      <c r="IV73" s="60"/>
      <c r="IW73" s="60"/>
      <c r="IX73" s="60"/>
      <c r="IY73" s="60"/>
      <c r="IZ73" s="60"/>
      <c r="JA73" s="60"/>
      <c r="JB73" s="60"/>
      <c r="JC73" s="60"/>
      <c r="JD73" s="60"/>
      <c r="JE73" s="60"/>
      <c r="JF73" s="60"/>
      <c r="JG73" s="60"/>
      <c r="JH73" s="60"/>
      <c r="JI73" s="60"/>
      <c r="JJ73" s="60"/>
      <c r="JK73" s="60"/>
      <c r="JL73" s="60"/>
      <c r="JM73" s="60"/>
      <c r="JN73" s="60"/>
      <c r="JO73" s="60"/>
      <c r="JP73" s="60"/>
      <c r="JQ73" s="60"/>
      <c r="JR73" s="60"/>
      <c r="JS73" s="60"/>
      <c r="JT73" s="60"/>
      <c r="JU73" s="60"/>
      <c r="JV73" s="60"/>
      <c r="JW73" s="60"/>
      <c r="JX73" s="60"/>
      <c r="JY73" s="60"/>
      <c r="JZ73" s="60"/>
      <c r="KA73" s="60"/>
      <c r="KB73" s="60"/>
      <c r="KC73" s="60"/>
      <c r="KD73" s="60"/>
      <c r="KE73" s="60"/>
      <c r="KF73" s="60"/>
      <c r="KG73" s="60"/>
      <c r="KH73" s="60"/>
      <c r="KI73" s="60"/>
      <c r="KJ73" s="60"/>
      <c r="KK73" s="60"/>
      <c r="KL73" s="60"/>
      <c r="KM73" s="60"/>
      <c r="KN73" s="60"/>
      <c r="KO73" s="60"/>
      <c r="KP73" s="60"/>
      <c r="KQ73" s="60"/>
      <c r="KR73" s="60"/>
      <c r="KS73" s="60"/>
      <c r="KT73" s="60"/>
      <c r="KU73" s="60"/>
      <c r="KV73" s="60"/>
      <c r="KW73" s="60"/>
      <c r="KX73" s="60"/>
      <c r="KY73" s="60"/>
      <c r="KZ73" s="60"/>
      <c r="LA73" s="60"/>
      <c r="LB73" s="60"/>
      <c r="LC73" s="60"/>
      <c r="LD73" s="60"/>
      <c r="LE73" s="60"/>
      <c r="LF73" s="60"/>
      <c r="LG73" s="60"/>
      <c r="LH73" s="60"/>
    </row>
    <row r="74" spans="1:320" s="17" customFormat="1" x14ac:dyDescent="0.25">
      <c r="A74" s="147"/>
      <c r="E74" s="156"/>
      <c r="F74" s="156"/>
      <c r="G74" s="156"/>
      <c r="H74" s="156"/>
      <c r="I74" s="156"/>
      <c r="J74" s="156"/>
      <c r="K74" s="156"/>
      <c r="L74" s="156"/>
      <c r="M74" s="156"/>
      <c r="N74" s="156"/>
      <c r="O74" s="156"/>
      <c r="P74" s="156"/>
      <c r="Q74" s="156"/>
      <c r="R74" s="156"/>
      <c r="S74" s="156"/>
      <c r="AC74" s="60"/>
      <c r="AD74" s="60"/>
      <c r="AE74" s="60"/>
      <c r="AF74" s="60"/>
      <c r="AG74" s="60"/>
      <c r="AH74" s="60"/>
      <c r="AI74" s="60"/>
      <c r="AJ74" s="60"/>
      <c r="AK74" s="60"/>
      <c r="AL74" s="60"/>
      <c r="AM74" s="60"/>
      <c r="AN74" s="60"/>
      <c r="AO74" s="60"/>
      <c r="AP74" s="60"/>
      <c r="AQ74" s="60"/>
      <c r="AR74" s="60"/>
      <c r="AS74" s="60"/>
      <c r="AT74" s="60"/>
      <c r="AU74" s="60"/>
      <c r="AV74" s="60"/>
      <c r="AW74" s="60"/>
      <c r="AX74" s="60"/>
      <c r="AY74" s="60"/>
      <c r="AZ74" s="60"/>
      <c r="BA74" s="60"/>
      <c r="BB74" s="60"/>
      <c r="BC74" s="60"/>
      <c r="BD74" s="60"/>
      <c r="BE74" s="60"/>
      <c r="BF74" s="60"/>
      <c r="BG74" s="60"/>
      <c r="BH74" s="60"/>
      <c r="BI74" s="60"/>
      <c r="BJ74" s="60"/>
      <c r="BK74" s="60"/>
      <c r="BL74" s="60"/>
      <c r="BM74" s="60"/>
      <c r="BN74" s="60"/>
      <c r="BO74" s="60"/>
      <c r="BP74" s="60"/>
      <c r="BQ74" s="60"/>
      <c r="BR74" s="60"/>
      <c r="BS74" s="60"/>
      <c r="BT74" s="60"/>
      <c r="BU74" s="60"/>
      <c r="BV74" s="60"/>
      <c r="BW74" s="60"/>
      <c r="BX74" s="60"/>
      <c r="BY74" s="60"/>
      <c r="BZ74" s="60"/>
      <c r="CA74" s="60"/>
      <c r="CB74" s="60"/>
      <c r="CC74" s="60"/>
      <c r="CD74" s="60"/>
      <c r="CE74" s="60"/>
      <c r="CF74" s="60"/>
      <c r="CG74" s="60"/>
      <c r="CH74" s="60"/>
      <c r="CI74" s="60"/>
      <c r="CJ74" s="60"/>
      <c r="CK74" s="60"/>
      <c r="CL74" s="60"/>
      <c r="CM74" s="60"/>
      <c r="CN74" s="60"/>
      <c r="CO74" s="60"/>
      <c r="CP74" s="60"/>
      <c r="CQ74" s="60"/>
      <c r="CR74" s="60"/>
      <c r="CS74" s="60"/>
      <c r="CT74" s="60"/>
      <c r="CU74" s="60"/>
      <c r="CV74" s="60"/>
      <c r="CW74" s="60"/>
      <c r="CX74" s="60"/>
      <c r="CY74" s="60"/>
      <c r="CZ74" s="60"/>
      <c r="DA74" s="60"/>
      <c r="DB74" s="60"/>
      <c r="DC74" s="60"/>
      <c r="DD74" s="60"/>
      <c r="DE74" s="60"/>
      <c r="DF74" s="60"/>
      <c r="DG74" s="60"/>
      <c r="DH74" s="60"/>
      <c r="DI74" s="60"/>
      <c r="DJ74" s="60"/>
      <c r="DK74" s="60"/>
      <c r="DL74" s="60"/>
      <c r="DM74" s="60"/>
      <c r="DN74" s="60"/>
      <c r="DO74" s="60"/>
      <c r="DP74" s="60"/>
      <c r="DQ74" s="60"/>
      <c r="DR74" s="60"/>
      <c r="DS74" s="60"/>
      <c r="DT74" s="60"/>
      <c r="DU74" s="60"/>
      <c r="DV74" s="60"/>
      <c r="DW74" s="60"/>
      <c r="DX74" s="60"/>
      <c r="DY74" s="60"/>
      <c r="DZ74" s="60"/>
      <c r="EA74" s="60"/>
      <c r="EB74" s="60"/>
      <c r="EC74" s="60"/>
      <c r="ED74" s="60"/>
      <c r="EE74" s="60"/>
      <c r="EF74" s="60"/>
      <c r="EG74" s="60"/>
      <c r="EH74" s="60"/>
      <c r="EI74" s="60"/>
      <c r="EJ74" s="60"/>
      <c r="EK74" s="60"/>
      <c r="EL74" s="60"/>
      <c r="EM74" s="60"/>
      <c r="EN74" s="60"/>
      <c r="EO74" s="60"/>
      <c r="EP74" s="60"/>
      <c r="EQ74" s="60"/>
      <c r="ER74" s="60"/>
      <c r="ES74" s="60"/>
      <c r="ET74" s="60"/>
      <c r="EU74" s="60"/>
      <c r="EV74" s="60"/>
      <c r="EW74" s="60"/>
      <c r="EX74" s="60"/>
      <c r="EY74" s="60"/>
      <c r="EZ74" s="60"/>
      <c r="FA74" s="60"/>
      <c r="FB74" s="60"/>
      <c r="FC74" s="60"/>
      <c r="FD74" s="60"/>
      <c r="FE74" s="60"/>
      <c r="FF74" s="60"/>
      <c r="FG74" s="60"/>
      <c r="FH74" s="60"/>
      <c r="FI74" s="60"/>
      <c r="FJ74" s="60"/>
      <c r="FK74" s="60"/>
      <c r="FL74" s="60"/>
      <c r="FM74" s="60"/>
      <c r="FN74" s="60"/>
      <c r="FO74" s="60"/>
      <c r="FP74" s="60"/>
      <c r="FQ74" s="60"/>
      <c r="FR74" s="60"/>
      <c r="FS74" s="60"/>
      <c r="FT74" s="60"/>
      <c r="FU74" s="60"/>
      <c r="FV74" s="60"/>
      <c r="FW74" s="60"/>
      <c r="FX74" s="60"/>
      <c r="FY74" s="60"/>
      <c r="FZ74" s="60"/>
      <c r="GA74" s="60"/>
      <c r="GB74" s="60"/>
      <c r="GC74" s="60"/>
      <c r="GD74" s="60"/>
      <c r="GE74" s="60"/>
      <c r="GF74" s="60"/>
      <c r="GG74" s="60"/>
      <c r="GH74" s="60"/>
      <c r="GI74" s="60"/>
      <c r="GJ74" s="60"/>
      <c r="GK74" s="60"/>
      <c r="GL74" s="60"/>
      <c r="GM74" s="60"/>
      <c r="GN74" s="60"/>
      <c r="GO74" s="60"/>
      <c r="GP74" s="60"/>
      <c r="GQ74" s="60"/>
      <c r="GR74" s="60"/>
      <c r="GS74" s="60"/>
      <c r="GT74" s="60"/>
      <c r="GU74" s="60"/>
      <c r="GV74" s="60"/>
      <c r="GW74" s="60"/>
      <c r="GX74" s="60"/>
      <c r="GY74" s="60"/>
      <c r="GZ74" s="60"/>
      <c r="HA74" s="60"/>
      <c r="HB74" s="60"/>
      <c r="HC74" s="60"/>
      <c r="HD74" s="60"/>
      <c r="HE74" s="60"/>
      <c r="HF74" s="60"/>
      <c r="HG74" s="60"/>
      <c r="HH74" s="60"/>
      <c r="HI74" s="60"/>
      <c r="HJ74" s="60"/>
      <c r="HK74" s="60"/>
      <c r="HL74" s="60"/>
      <c r="HM74" s="60"/>
      <c r="HN74" s="60"/>
      <c r="HO74" s="60"/>
      <c r="HP74" s="60"/>
      <c r="HQ74" s="60"/>
      <c r="HR74" s="60"/>
      <c r="HS74" s="60"/>
      <c r="HT74" s="60"/>
      <c r="HU74" s="60"/>
      <c r="HV74" s="60"/>
      <c r="HW74" s="60"/>
      <c r="HX74" s="60"/>
      <c r="HY74" s="60"/>
      <c r="HZ74" s="60"/>
      <c r="IA74" s="60"/>
      <c r="IB74" s="60"/>
      <c r="IC74" s="60"/>
      <c r="ID74" s="60"/>
      <c r="IE74" s="60"/>
      <c r="IF74" s="60"/>
      <c r="IG74" s="60"/>
      <c r="IH74" s="60"/>
      <c r="II74" s="60"/>
      <c r="IJ74" s="60"/>
      <c r="IK74" s="60"/>
      <c r="IL74" s="60"/>
      <c r="IM74" s="60"/>
      <c r="IN74" s="60"/>
      <c r="IO74" s="60"/>
      <c r="IP74" s="60"/>
      <c r="IQ74" s="60"/>
      <c r="IR74" s="60"/>
      <c r="IS74" s="60"/>
      <c r="IT74" s="60"/>
      <c r="IU74" s="60"/>
      <c r="IV74" s="60"/>
      <c r="IW74" s="60"/>
      <c r="IX74" s="60"/>
      <c r="IY74" s="60"/>
      <c r="IZ74" s="60"/>
      <c r="JA74" s="60"/>
      <c r="JB74" s="60"/>
      <c r="JC74" s="60"/>
      <c r="JD74" s="60"/>
      <c r="JE74" s="60"/>
      <c r="JF74" s="60"/>
      <c r="JG74" s="60"/>
      <c r="JH74" s="60"/>
      <c r="JI74" s="60"/>
      <c r="JJ74" s="60"/>
      <c r="JK74" s="60"/>
      <c r="JL74" s="60"/>
      <c r="JM74" s="60"/>
      <c r="JN74" s="60"/>
      <c r="JO74" s="60"/>
      <c r="JP74" s="60"/>
      <c r="JQ74" s="60"/>
      <c r="JR74" s="60"/>
      <c r="JS74" s="60"/>
      <c r="JT74" s="60"/>
      <c r="JU74" s="60"/>
      <c r="JV74" s="60"/>
      <c r="JW74" s="60"/>
      <c r="JX74" s="60"/>
      <c r="JY74" s="60"/>
      <c r="JZ74" s="60"/>
      <c r="KA74" s="60"/>
      <c r="KB74" s="60"/>
      <c r="KC74" s="60"/>
      <c r="KD74" s="60"/>
      <c r="KE74" s="60"/>
      <c r="KF74" s="60"/>
      <c r="KG74" s="60"/>
      <c r="KH74" s="60"/>
      <c r="KI74" s="60"/>
      <c r="KJ74" s="60"/>
      <c r="KK74" s="60"/>
      <c r="KL74" s="60"/>
      <c r="KM74" s="60"/>
      <c r="KN74" s="60"/>
      <c r="KO74" s="60"/>
      <c r="KP74" s="60"/>
      <c r="KQ74" s="60"/>
      <c r="KR74" s="60"/>
      <c r="KS74" s="60"/>
      <c r="KT74" s="60"/>
      <c r="KU74" s="60"/>
      <c r="KV74" s="60"/>
      <c r="KW74" s="60"/>
      <c r="KX74" s="60"/>
      <c r="KY74" s="60"/>
      <c r="KZ74" s="60"/>
      <c r="LA74" s="60"/>
      <c r="LB74" s="60"/>
      <c r="LC74" s="60"/>
      <c r="LD74" s="60"/>
      <c r="LE74" s="60"/>
      <c r="LF74" s="60"/>
      <c r="LG74" s="60"/>
      <c r="LH74" s="60"/>
    </row>
    <row r="75" spans="1:320" s="17" customFormat="1" x14ac:dyDescent="0.25">
      <c r="A75" s="147"/>
      <c r="E75" s="156"/>
      <c r="F75" s="156"/>
      <c r="G75" s="156"/>
      <c r="H75" s="156"/>
      <c r="I75" s="156"/>
      <c r="J75" s="156"/>
      <c r="K75" s="156"/>
      <c r="L75" s="156"/>
      <c r="M75" s="156"/>
      <c r="N75" s="156"/>
      <c r="O75" s="156"/>
      <c r="P75" s="156"/>
      <c r="Q75" s="156"/>
      <c r="R75" s="156"/>
      <c r="S75" s="156"/>
      <c r="AC75" s="60"/>
      <c r="AD75" s="60"/>
      <c r="AE75" s="60"/>
      <c r="AF75" s="60"/>
      <c r="AG75" s="60"/>
      <c r="AH75" s="60"/>
      <c r="AI75" s="60"/>
      <c r="AJ75" s="60"/>
      <c r="AK75" s="60"/>
      <c r="AL75" s="60"/>
      <c r="AM75" s="60"/>
      <c r="AN75" s="60"/>
      <c r="AO75" s="60"/>
      <c r="AP75" s="60"/>
      <c r="AQ75" s="60"/>
      <c r="AR75" s="60"/>
      <c r="AS75" s="60"/>
      <c r="AT75" s="60"/>
      <c r="AU75" s="60"/>
      <c r="AV75" s="60"/>
      <c r="AW75" s="60"/>
      <c r="AX75" s="60"/>
      <c r="AY75" s="60"/>
      <c r="AZ75" s="60"/>
      <c r="BA75" s="60"/>
      <c r="BB75" s="60"/>
      <c r="BC75" s="60"/>
      <c r="BD75" s="60"/>
      <c r="BE75" s="60"/>
      <c r="BF75" s="60"/>
      <c r="BG75" s="60"/>
      <c r="BH75" s="60"/>
      <c r="BI75" s="60"/>
      <c r="BJ75" s="60"/>
      <c r="BK75" s="60"/>
      <c r="BL75" s="60"/>
      <c r="BM75" s="60"/>
      <c r="BN75" s="60"/>
      <c r="BO75" s="60"/>
      <c r="BP75" s="60"/>
      <c r="BQ75" s="60"/>
      <c r="BR75" s="60"/>
      <c r="BS75" s="60"/>
      <c r="BT75" s="60"/>
      <c r="BU75" s="60"/>
      <c r="BV75" s="60"/>
      <c r="BW75" s="60"/>
      <c r="BX75" s="60"/>
      <c r="BY75" s="60"/>
      <c r="BZ75" s="60"/>
      <c r="CA75" s="60"/>
      <c r="CB75" s="60"/>
      <c r="CC75" s="60"/>
      <c r="CD75" s="60"/>
      <c r="CE75" s="60"/>
      <c r="CF75" s="60"/>
      <c r="CG75" s="60"/>
      <c r="CH75" s="60"/>
      <c r="CI75" s="60"/>
      <c r="CJ75" s="60"/>
      <c r="CK75" s="60"/>
      <c r="CL75" s="60"/>
      <c r="CM75" s="60"/>
      <c r="CN75" s="60"/>
      <c r="CO75" s="60"/>
      <c r="CP75" s="60"/>
      <c r="CQ75" s="60"/>
      <c r="CR75" s="60"/>
      <c r="CS75" s="60"/>
      <c r="CT75" s="60"/>
      <c r="CU75" s="60"/>
      <c r="CV75" s="60"/>
      <c r="CW75" s="60"/>
      <c r="CX75" s="60"/>
      <c r="CY75" s="60"/>
      <c r="CZ75" s="60"/>
      <c r="DA75" s="60"/>
      <c r="DB75" s="60"/>
      <c r="DC75" s="60"/>
      <c r="DD75" s="60"/>
      <c r="DE75" s="60"/>
      <c r="DF75" s="60"/>
      <c r="DG75" s="60"/>
      <c r="DH75" s="60"/>
      <c r="DI75" s="60"/>
      <c r="DJ75" s="60"/>
      <c r="DK75" s="60"/>
      <c r="DL75" s="60"/>
      <c r="DM75" s="60"/>
      <c r="DN75" s="60"/>
      <c r="DO75" s="60"/>
      <c r="DP75" s="60"/>
      <c r="DQ75" s="60"/>
      <c r="DR75" s="60"/>
      <c r="DS75" s="60"/>
      <c r="DT75" s="60"/>
      <c r="DU75" s="60"/>
      <c r="DV75" s="60"/>
      <c r="DW75" s="60"/>
      <c r="DX75" s="60"/>
      <c r="DY75" s="60"/>
      <c r="DZ75" s="60"/>
      <c r="EA75" s="60"/>
      <c r="EB75" s="60"/>
      <c r="EC75" s="60"/>
      <c r="ED75" s="60"/>
      <c r="EE75" s="60"/>
      <c r="EF75" s="60"/>
      <c r="EG75" s="60"/>
      <c r="EH75" s="60"/>
      <c r="EI75" s="60"/>
      <c r="EJ75" s="60"/>
      <c r="EK75" s="60"/>
      <c r="EL75" s="60"/>
      <c r="EM75" s="60"/>
      <c r="EN75" s="60"/>
      <c r="EO75" s="60"/>
      <c r="EP75" s="60"/>
      <c r="EQ75" s="60"/>
      <c r="ER75" s="60"/>
      <c r="ES75" s="60"/>
      <c r="ET75" s="60"/>
      <c r="EU75" s="60"/>
      <c r="EV75" s="60"/>
      <c r="EW75" s="60"/>
      <c r="EX75" s="60"/>
      <c r="EY75" s="60"/>
      <c r="EZ75" s="60"/>
      <c r="FA75" s="60"/>
      <c r="FB75" s="60"/>
      <c r="FC75" s="60"/>
      <c r="FD75" s="60"/>
      <c r="FE75" s="60"/>
      <c r="FF75" s="60"/>
      <c r="FG75" s="60"/>
      <c r="FH75" s="60"/>
      <c r="FI75" s="60"/>
      <c r="FJ75" s="60"/>
      <c r="FK75" s="60"/>
      <c r="FL75" s="60"/>
      <c r="FM75" s="60"/>
      <c r="FN75" s="60"/>
      <c r="FO75" s="60"/>
      <c r="FP75" s="60"/>
      <c r="FQ75" s="60"/>
      <c r="FR75" s="60"/>
      <c r="FS75" s="60"/>
      <c r="FT75" s="60"/>
      <c r="FU75" s="60"/>
      <c r="FV75" s="60"/>
      <c r="FW75" s="60"/>
      <c r="FX75" s="60"/>
      <c r="FY75" s="60"/>
      <c r="FZ75" s="60"/>
      <c r="GA75" s="60"/>
      <c r="GB75" s="60"/>
      <c r="GC75" s="60"/>
      <c r="GD75" s="60"/>
      <c r="GE75" s="60"/>
      <c r="GF75" s="60"/>
      <c r="GG75" s="60"/>
      <c r="GH75" s="60"/>
      <c r="GI75" s="60"/>
      <c r="GJ75" s="60"/>
      <c r="GK75" s="60"/>
      <c r="GL75" s="60"/>
      <c r="GM75" s="60"/>
      <c r="GN75" s="60"/>
      <c r="GO75" s="60"/>
      <c r="GP75" s="60"/>
      <c r="GQ75" s="60"/>
      <c r="GR75" s="60"/>
      <c r="GS75" s="60"/>
      <c r="GT75" s="60"/>
      <c r="GU75" s="60"/>
      <c r="GV75" s="60"/>
      <c r="GW75" s="60"/>
      <c r="GX75" s="60"/>
      <c r="GY75" s="60"/>
      <c r="GZ75" s="60"/>
      <c r="HA75" s="60"/>
      <c r="HB75" s="60"/>
      <c r="HC75" s="60"/>
      <c r="HD75" s="60"/>
      <c r="HE75" s="60"/>
      <c r="HF75" s="60"/>
      <c r="HG75" s="60"/>
      <c r="HH75" s="60"/>
      <c r="HI75" s="60"/>
      <c r="HJ75" s="60"/>
      <c r="HK75" s="60"/>
      <c r="HL75" s="60"/>
      <c r="HM75" s="60"/>
      <c r="HN75" s="60"/>
      <c r="HO75" s="60"/>
      <c r="HP75" s="60"/>
      <c r="HQ75" s="60"/>
      <c r="HR75" s="60"/>
      <c r="HS75" s="60"/>
      <c r="HT75" s="60"/>
      <c r="HU75" s="60"/>
      <c r="HV75" s="60"/>
      <c r="HW75" s="60"/>
      <c r="HX75" s="60"/>
      <c r="HY75" s="60"/>
      <c r="HZ75" s="60"/>
      <c r="IA75" s="60"/>
      <c r="IB75" s="60"/>
      <c r="IC75" s="60"/>
      <c r="ID75" s="60"/>
      <c r="IE75" s="60"/>
      <c r="IF75" s="60"/>
      <c r="IG75" s="60"/>
      <c r="IH75" s="60"/>
      <c r="II75" s="60"/>
      <c r="IJ75" s="60"/>
      <c r="IK75" s="60"/>
      <c r="IL75" s="60"/>
      <c r="IM75" s="60"/>
      <c r="IN75" s="60"/>
      <c r="IO75" s="60"/>
      <c r="IP75" s="60"/>
      <c r="IQ75" s="60"/>
      <c r="IR75" s="60"/>
      <c r="IS75" s="60"/>
      <c r="IT75" s="60"/>
      <c r="IU75" s="60"/>
      <c r="IV75" s="60"/>
      <c r="IW75" s="60"/>
      <c r="IX75" s="60"/>
      <c r="IY75" s="60"/>
      <c r="IZ75" s="60"/>
      <c r="JA75" s="60"/>
      <c r="JB75" s="60"/>
      <c r="JC75" s="60"/>
      <c r="JD75" s="60"/>
      <c r="JE75" s="60"/>
      <c r="JF75" s="60"/>
      <c r="JG75" s="60"/>
      <c r="JH75" s="60"/>
      <c r="JI75" s="60"/>
      <c r="JJ75" s="60"/>
      <c r="JK75" s="60"/>
      <c r="JL75" s="60"/>
      <c r="JM75" s="60"/>
      <c r="JN75" s="60"/>
      <c r="JO75" s="60"/>
      <c r="JP75" s="60"/>
      <c r="JQ75" s="60"/>
      <c r="JR75" s="60"/>
      <c r="JS75" s="60"/>
      <c r="JT75" s="60"/>
      <c r="JU75" s="60"/>
      <c r="JV75" s="60"/>
      <c r="JW75" s="60"/>
      <c r="JX75" s="60"/>
      <c r="JY75" s="60"/>
      <c r="JZ75" s="60"/>
      <c r="KA75" s="60"/>
      <c r="KB75" s="60"/>
      <c r="KC75" s="60"/>
      <c r="KD75" s="60"/>
      <c r="KE75" s="60"/>
      <c r="KF75" s="60"/>
      <c r="KG75" s="60"/>
      <c r="KH75" s="60"/>
      <c r="KI75" s="60"/>
      <c r="KJ75" s="60"/>
      <c r="KK75" s="60"/>
      <c r="KL75" s="60"/>
      <c r="KM75" s="60"/>
      <c r="KN75" s="60"/>
      <c r="KO75" s="60"/>
      <c r="KP75" s="60"/>
      <c r="KQ75" s="60"/>
      <c r="KR75" s="60"/>
      <c r="KS75" s="60"/>
      <c r="KT75" s="60"/>
      <c r="KU75" s="60"/>
      <c r="KV75" s="60"/>
      <c r="KW75" s="60"/>
      <c r="KX75" s="60"/>
      <c r="KY75" s="60"/>
      <c r="KZ75" s="60"/>
      <c r="LA75" s="60"/>
      <c r="LB75" s="60"/>
      <c r="LC75" s="60"/>
      <c r="LD75" s="60"/>
      <c r="LE75" s="60"/>
      <c r="LF75" s="60"/>
      <c r="LG75" s="60"/>
      <c r="LH75" s="60"/>
    </row>
    <row r="76" spans="1:320" s="17" customFormat="1" x14ac:dyDescent="0.25">
      <c r="A76" s="147"/>
      <c r="E76" s="156"/>
      <c r="F76" s="156"/>
      <c r="G76" s="156"/>
      <c r="H76" s="156"/>
      <c r="I76" s="156"/>
      <c r="J76" s="156"/>
      <c r="K76" s="156"/>
      <c r="L76" s="156"/>
      <c r="M76" s="156"/>
      <c r="N76" s="156"/>
      <c r="O76" s="156"/>
      <c r="P76" s="156"/>
      <c r="Q76" s="156"/>
      <c r="R76" s="156"/>
      <c r="S76" s="156"/>
      <c r="AC76" s="60"/>
      <c r="AD76" s="60"/>
      <c r="AE76" s="60"/>
      <c r="AF76" s="60"/>
      <c r="AG76" s="60"/>
      <c r="AH76" s="60"/>
      <c r="AI76" s="60"/>
      <c r="AJ76" s="60"/>
      <c r="AK76" s="60"/>
      <c r="AL76" s="60"/>
      <c r="AM76" s="60"/>
      <c r="AN76" s="60"/>
      <c r="AO76" s="60"/>
      <c r="AP76" s="60"/>
      <c r="AQ76" s="60"/>
      <c r="AR76" s="60"/>
      <c r="AS76" s="60"/>
      <c r="AT76" s="60"/>
      <c r="AU76" s="60"/>
      <c r="AV76" s="60"/>
      <c r="AW76" s="60"/>
      <c r="AX76" s="60"/>
      <c r="AY76" s="60"/>
      <c r="AZ76" s="60"/>
      <c r="BA76" s="60"/>
      <c r="BB76" s="60"/>
      <c r="BC76" s="60"/>
      <c r="BD76" s="60"/>
      <c r="BE76" s="60"/>
      <c r="BF76" s="60"/>
      <c r="BG76" s="60"/>
      <c r="BH76" s="60"/>
      <c r="BI76" s="60"/>
      <c r="BJ76" s="60"/>
      <c r="BK76" s="60"/>
      <c r="BL76" s="60"/>
      <c r="BM76" s="60"/>
      <c r="BN76" s="60"/>
      <c r="BO76" s="60"/>
      <c r="BP76" s="60"/>
      <c r="BQ76" s="60"/>
      <c r="BR76" s="60"/>
      <c r="BS76" s="60"/>
      <c r="BT76" s="60"/>
      <c r="BU76" s="60"/>
      <c r="BV76" s="60"/>
      <c r="BW76" s="60"/>
      <c r="BX76" s="60"/>
      <c r="BY76" s="60"/>
      <c r="BZ76" s="60"/>
      <c r="CA76" s="60"/>
      <c r="CB76" s="60"/>
      <c r="CC76" s="60"/>
      <c r="CD76" s="60"/>
      <c r="CE76" s="60"/>
      <c r="CF76" s="60"/>
      <c r="CG76" s="60"/>
      <c r="CH76" s="60"/>
      <c r="CI76" s="60"/>
      <c r="CJ76" s="60"/>
      <c r="CK76" s="60"/>
      <c r="CL76" s="60"/>
      <c r="CM76" s="60"/>
      <c r="CN76" s="60"/>
      <c r="CO76" s="60"/>
      <c r="CP76" s="60"/>
      <c r="CQ76" s="60"/>
      <c r="CR76" s="60"/>
      <c r="CS76" s="60"/>
      <c r="CT76" s="60"/>
      <c r="CU76" s="60"/>
      <c r="CV76" s="60"/>
      <c r="CW76" s="60"/>
      <c r="CX76" s="60"/>
      <c r="CY76" s="60"/>
      <c r="CZ76" s="60"/>
      <c r="DA76" s="60"/>
      <c r="DB76" s="60"/>
      <c r="DC76" s="60"/>
      <c r="DD76" s="60"/>
      <c r="DE76" s="60"/>
      <c r="DF76" s="60"/>
      <c r="DG76" s="60"/>
      <c r="DH76" s="60"/>
      <c r="DI76" s="60"/>
      <c r="DJ76" s="60"/>
      <c r="DK76" s="60"/>
      <c r="DL76" s="60"/>
      <c r="DM76" s="60"/>
      <c r="DN76" s="60"/>
      <c r="DO76" s="60"/>
      <c r="DP76" s="60"/>
      <c r="DQ76" s="60"/>
      <c r="DR76" s="60"/>
      <c r="DS76" s="60"/>
      <c r="DT76" s="60"/>
      <c r="DU76" s="60"/>
      <c r="DV76" s="60"/>
      <c r="DW76" s="60"/>
      <c r="DX76" s="60"/>
      <c r="DY76" s="60"/>
      <c r="DZ76" s="60"/>
      <c r="EA76" s="60"/>
      <c r="EB76" s="60"/>
      <c r="EC76" s="60"/>
      <c r="ED76" s="60"/>
      <c r="EE76" s="60"/>
      <c r="EF76" s="60"/>
      <c r="EG76" s="60"/>
      <c r="EH76" s="60"/>
      <c r="EI76" s="60"/>
      <c r="EJ76" s="60"/>
      <c r="EK76" s="60"/>
      <c r="EL76" s="60"/>
      <c r="EM76" s="60"/>
      <c r="EN76" s="60"/>
      <c r="EO76" s="60"/>
      <c r="EP76" s="60"/>
      <c r="EQ76" s="60"/>
      <c r="ER76" s="60"/>
      <c r="ES76" s="60"/>
      <c r="ET76" s="60"/>
      <c r="EU76" s="60"/>
      <c r="EV76" s="60"/>
      <c r="EW76" s="60"/>
      <c r="EX76" s="60"/>
      <c r="EY76" s="60"/>
      <c r="EZ76" s="60"/>
      <c r="FA76" s="60"/>
      <c r="FB76" s="60"/>
      <c r="FC76" s="60"/>
      <c r="FD76" s="60"/>
      <c r="FE76" s="60"/>
      <c r="FF76" s="60"/>
      <c r="FG76" s="60"/>
      <c r="FH76" s="60"/>
      <c r="FI76" s="60"/>
      <c r="FJ76" s="60"/>
      <c r="FK76" s="60"/>
      <c r="FL76" s="60"/>
      <c r="FM76" s="60"/>
      <c r="FN76" s="60"/>
      <c r="FO76" s="60"/>
      <c r="FP76" s="60"/>
      <c r="FQ76" s="60"/>
      <c r="FR76" s="60"/>
      <c r="FS76" s="60"/>
      <c r="FT76" s="60"/>
      <c r="FU76" s="60"/>
      <c r="FV76" s="60"/>
      <c r="FW76" s="60"/>
      <c r="FX76" s="60"/>
      <c r="FY76" s="60"/>
      <c r="FZ76" s="60"/>
      <c r="GA76" s="60"/>
      <c r="GB76" s="60"/>
      <c r="GC76" s="60"/>
      <c r="GD76" s="60"/>
      <c r="GE76" s="60"/>
      <c r="GF76" s="60"/>
      <c r="GG76" s="60"/>
      <c r="GH76" s="60"/>
      <c r="GI76" s="60"/>
      <c r="GJ76" s="60"/>
      <c r="GK76" s="60"/>
      <c r="GL76" s="60"/>
      <c r="GM76" s="60"/>
      <c r="GN76" s="60"/>
      <c r="GO76" s="60"/>
      <c r="GP76" s="60"/>
      <c r="GQ76" s="60"/>
      <c r="GR76" s="60"/>
      <c r="GS76" s="60"/>
      <c r="GT76" s="60"/>
      <c r="GU76" s="60"/>
      <c r="GV76" s="60"/>
      <c r="GW76" s="60"/>
      <c r="GX76" s="60"/>
      <c r="GY76" s="60"/>
      <c r="GZ76" s="60"/>
      <c r="HA76" s="60"/>
      <c r="HB76" s="60"/>
      <c r="HC76" s="60"/>
      <c r="HD76" s="60"/>
      <c r="HE76" s="60"/>
      <c r="HF76" s="60"/>
      <c r="HG76" s="60"/>
      <c r="HH76" s="60"/>
      <c r="HI76" s="60"/>
      <c r="HJ76" s="60"/>
      <c r="HK76" s="60"/>
      <c r="HL76" s="60"/>
      <c r="HM76" s="60"/>
      <c r="HN76" s="60"/>
      <c r="HO76" s="60"/>
      <c r="HP76" s="60"/>
      <c r="HQ76" s="60"/>
      <c r="HR76" s="60"/>
      <c r="HS76" s="60"/>
      <c r="HT76" s="60"/>
      <c r="HU76" s="60"/>
      <c r="HV76" s="60"/>
      <c r="HW76" s="60"/>
      <c r="HX76" s="60"/>
      <c r="HY76" s="60"/>
      <c r="HZ76" s="60"/>
      <c r="IA76" s="60"/>
      <c r="IB76" s="60"/>
      <c r="IC76" s="60"/>
      <c r="ID76" s="60"/>
      <c r="IE76" s="60"/>
      <c r="IF76" s="60"/>
      <c r="IG76" s="60"/>
      <c r="IH76" s="60"/>
      <c r="II76" s="60"/>
      <c r="IJ76" s="60"/>
      <c r="IK76" s="60"/>
      <c r="IL76" s="60"/>
      <c r="IM76" s="60"/>
      <c r="IN76" s="60"/>
      <c r="IO76" s="60"/>
      <c r="IP76" s="60"/>
      <c r="IQ76" s="60"/>
      <c r="IR76" s="60"/>
      <c r="IS76" s="60"/>
      <c r="IT76" s="60"/>
      <c r="IU76" s="60"/>
      <c r="IV76" s="60"/>
      <c r="IW76" s="60"/>
      <c r="IX76" s="60"/>
      <c r="IY76" s="60"/>
      <c r="IZ76" s="60"/>
      <c r="JA76" s="60"/>
      <c r="JB76" s="60"/>
      <c r="JC76" s="60"/>
      <c r="JD76" s="60"/>
      <c r="JE76" s="60"/>
      <c r="JF76" s="60"/>
      <c r="JG76" s="60"/>
      <c r="JH76" s="60"/>
      <c r="JI76" s="60"/>
      <c r="JJ76" s="60"/>
      <c r="JK76" s="60"/>
      <c r="JL76" s="60"/>
      <c r="JM76" s="60"/>
      <c r="JN76" s="60"/>
      <c r="JO76" s="60"/>
      <c r="JP76" s="60"/>
      <c r="JQ76" s="60"/>
      <c r="JR76" s="60"/>
      <c r="JS76" s="60"/>
      <c r="JT76" s="60"/>
      <c r="JU76" s="60"/>
      <c r="JV76" s="60"/>
      <c r="JW76" s="60"/>
      <c r="JX76" s="60"/>
      <c r="JY76" s="60"/>
      <c r="JZ76" s="60"/>
      <c r="KA76" s="60"/>
      <c r="KB76" s="60"/>
      <c r="KC76" s="60"/>
      <c r="KD76" s="60"/>
      <c r="KE76" s="60"/>
      <c r="KF76" s="60"/>
      <c r="KG76" s="60"/>
      <c r="KH76" s="60"/>
      <c r="KI76" s="60"/>
      <c r="KJ76" s="60"/>
      <c r="KK76" s="60"/>
      <c r="KL76" s="60"/>
      <c r="KM76" s="60"/>
      <c r="KN76" s="60"/>
      <c r="KO76" s="60"/>
      <c r="KP76" s="60"/>
      <c r="KQ76" s="60"/>
      <c r="KR76" s="60"/>
      <c r="KS76" s="60"/>
      <c r="KT76" s="60"/>
      <c r="KU76" s="60"/>
      <c r="KV76" s="60"/>
      <c r="KW76" s="60"/>
      <c r="KX76" s="60"/>
      <c r="KY76" s="60"/>
      <c r="KZ76" s="60"/>
      <c r="LA76" s="60"/>
      <c r="LB76" s="60"/>
      <c r="LC76" s="60"/>
      <c r="LD76" s="60"/>
      <c r="LE76" s="60"/>
      <c r="LF76" s="60"/>
      <c r="LG76" s="60"/>
      <c r="LH76" s="60"/>
    </row>
    <row r="77" spans="1:320" s="17" customFormat="1" x14ac:dyDescent="0.25">
      <c r="A77" s="147"/>
      <c r="E77" s="156"/>
      <c r="F77" s="156"/>
      <c r="G77" s="156"/>
      <c r="H77" s="156"/>
      <c r="I77" s="156"/>
      <c r="J77" s="156"/>
      <c r="K77" s="156"/>
      <c r="L77" s="156"/>
      <c r="M77" s="156"/>
      <c r="N77" s="156"/>
      <c r="O77" s="156"/>
      <c r="P77" s="156"/>
      <c r="Q77" s="156"/>
      <c r="R77" s="156"/>
      <c r="S77" s="156"/>
      <c r="AC77" s="60"/>
      <c r="AD77" s="60"/>
      <c r="AE77" s="60"/>
      <c r="AF77" s="60"/>
      <c r="AG77" s="60"/>
      <c r="AH77" s="60"/>
      <c r="AI77" s="60"/>
      <c r="AJ77" s="60"/>
      <c r="AK77" s="60"/>
      <c r="AL77" s="60"/>
      <c r="AM77" s="60"/>
      <c r="AN77" s="60"/>
      <c r="AO77" s="60"/>
      <c r="AP77" s="60"/>
      <c r="AQ77" s="60"/>
      <c r="AR77" s="60"/>
      <c r="AS77" s="60"/>
      <c r="AT77" s="60"/>
      <c r="AU77" s="60"/>
      <c r="AV77" s="60"/>
      <c r="AW77" s="60"/>
      <c r="AX77" s="60"/>
      <c r="AY77" s="60"/>
      <c r="AZ77" s="60"/>
      <c r="BA77" s="60"/>
      <c r="BB77" s="60"/>
      <c r="BC77" s="60"/>
      <c r="BD77" s="60"/>
      <c r="BE77" s="60"/>
      <c r="BF77" s="60"/>
      <c r="BG77" s="60"/>
      <c r="BH77" s="60"/>
      <c r="BI77" s="60"/>
      <c r="BJ77" s="60"/>
      <c r="BK77" s="60"/>
      <c r="BL77" s="60"/>
      <c r="BM77" s="60"/>
      <c r="BN77" s="60"/>
      <c r="BO77" s="60"/>
      <c r="BP77" s="60"/>
      <c r="BQ77" s="60"/>
      <c r="BR77" s="60"/>
      <c r="BS77" s="60"/>
      <c r="BT77" s="60"/>
      <c r="BU77" s="60"/>
      <c r="BV77" s="60"/>
      <c r="BW77" s="60"/>
      <c r="BX77" s="60"/>
      <c r="BY77" s="60"/>
      <c r="BZ77" s="60"/>
      <c r="CA77" s="60"/>
      <c r="CB77" s="60"/>
      <c r="CC77" s="60"/>
      <c r="CD77" s="60"/>
      <c r="CE77" s="60"/>
      <c r="CF77" s="60"/>
      <c r="CG77" s="60"/>
      <c r="CH77" s="60"/>
      <c r="CI77" s="60"/>
      <c r="CJ77" s="60"/>
      <c r="CK77" s="60"/>
      <c r="CL77" s="60"/>
      <c r="CM77" s="60"/>
      <c r="CN77" s="60"/>
      <c r="CO77" s="60"/>
      <c r="CP77" s="60"/>
      <c r="CQ77" s="60"/>
      <c r="CR77" s="60"/>
      <c r="CS77" s="60"/>
      <c r="CT77" s="60"/>
      <c r="CU77" s="60"/>
      <c r="CV77" s="60"/>
      <c r="CW77" s="60"/>
      <c r="CX77" s="60"/>
      <c r="CY77" s="60"/>
      <c r="CZ77" s="60"/>
      <c r="DA77" s="60"/>
      <c r="DB77" s="60"/>
      <c r="DC77" s="60"/>
      <c r="DD77" s="60"/>
      <c r="DE77" s="60"/>
      <c r="DF77" s="60"/>
      <c r="DG77" s="60"/>
      <c r="DH77" s="60"/>
      <c r="DI77" s="60"/>
      <c r="DJ77" s="60"/>
      <c r="DK77" s="60"/>
      <c r="DL77" s="60"/>
      <c r="DM77" s="60"/>
      <c r="DN77" s="60"/>
      <c r="DO77" s="60"/>
      <c r="DP77" s="60"/>
      <c r="DQ77" s="60"/>
      <c r="DR77" s="60"/>
      <c r="DS77" s="60"/>
      <c r="DT77" s="60"/>
      <c r="DU77" s="60"/>
      <c r="DV77" s="60"/>
      <c r="DW77" s="60"/>
      <c r="DX77" s="60"/>
      <c r="DY77" s="60"/>
      <c r="DZ77" s="60"/>
      <c r="EA77" s="60"/>
      <c r="EB77" s="60"/>
      <c r="EC77" s="60"/>
      <c r="ED77" s="60"/>
      <c r="EE77" s="60"/>
      <c r="EF77" s="60"/>
      <c r="EG77" s="60"/>
      <c r="EH77" s="60"/>
      <c r="EI77" s="60"/>
      <c r="EJ77" s="60"/>
      <c r="EK77" s="60"/>
      <c r="EL77" s="60"/>
      <c r="EM77" s="60"/>
      <c r="EN77" s="60"/>
      <c r="EO77" s="60"/>
      <c r="EP77" s="60"/>
      <c r="EQ77" s="60"/>
      <c r="ER77" s="60"/>
      <c r="ES77" s="60"/>
      <c r="ET77" s="60"/>
      <c r="EU77" s="60"/>
      <c r="EV77" s="60"/>
      <c r="EW77" s="60"/>
      <c r="EX77" s="60"/>
      <c r="EY77" s="60"/>
      <c r="EZ77" s="60"/>
      <c r="FA77" s="60"/>
      <c r="FB77" s="60"/>
      <c r="FC77" s="60"/>
      <c r="FD77" s="60"/>
      <c r="FE77" s="60"/>
      <c r="FF77" s="60"/>
      <c r="FG77" s="60"/>
      <c r="FH77" s="60"/>
      <c r="FI77" s="60"/>
      <c r="FJ77" s="60"/>
      <c r="FK77" s="60"/>
      <c r="FL77" s="60"/>
      <c r="FM77" s="60"/>
      <c r="FN77" s="60"/>
      <c r="FO77" s="60"/>
      <c r="FP77" s="60"/>
      <c r="FQ77" s="60"/>
      <c r="FR77" s="60"/>
      <c r="FS77" s="60"/>
      <c r="FT77" s="60"/>
      <c r="FU77" s="60"/>
      <c r="FV77" s="60"/>
      <c r="FW77" s="60"/>
      <c r="FX77" s="60"/>
      <c r="FY77" s="60"/>
      <c r="FZ77" s="60"/>
      <c r="GA77" s="60"/>
      <c r="GB77" s="60"/>
      <c r="GC77" s="60"/>
      <c r="GD77" s="60"/>
      <c r="GE77" s="60"/>
      <c r="GF77" s="60"/>
      <c r="GG77" s="60"/>
      <c r="GH77" s="60"/>
      <c r="GI77" s="60"/>
      <c r="GJ77" s="60"/>
      <c r="GK77" s="60"/>
      <c r="GL77" s="60"/>
      <c r="GM77" s="60"/>
      <c r="GN77" s="60"/>
      <c r="GO77" s="60"/>
      <c r="GP77" s="60"/>
      <c r="GQ77" s="60"/>
      <c r="GR77" s="60"/>
      <c r="GS77" s="60"/>
      <c r="GT77" s="60"/>
      <c r="GU77" s="60"/>
      <c r="GV77" s="60"/>
      <c r="GW77" s="60"/>
      <c r="GX77" s="60"/>
      <c r="GY77" s="60"/>
      <c r="GZ77" s="60"/>
      <c r="HA77" s="60"/>
      <c r="HB77" s="60"/>
      <c r="HC77" s="60"/>
      <c r="HD77" s="60"/>
      <c r="HE77" s="60"/>
      <c r="HF77" s="60"/>
      <c r="HG77" s="60"/>
      <c r="HH77" s="60"/>
      <c r="HI77" s="60"/>
      <c r="HJ77" s="60"/>
      <c r="HK77" s="60"/>
      <c r="HL77" s="60"/>
      <c r="HM77" s="60"/>
      <c r="HN77" s="60"/>
      <c r="HO77" s="60"/>
      <c r="HP77" s="60"/>
      <c r="HQ77" s="60"/>
      <c r="HR77" s="60"/>
      <c r="HS77" s="60"/>
      <c r="HT77" s="60"/>
      <c r="HU77" s="60"/>
      <c r="HV77" s="60"/>
      <c r="HW77" s="60"/>
      <c r="HX77" s="60"/>
      <c r="HY77" s="60"/>
      <c r="HZ77" s="60"/>
      <c r="IA77" s="60"/>
      <c r="IB77" s="60"/>
      <c r="IC77" s="60"/>
      <c r="ID77" s="60"/>
      <c r="IE77" s="60"/>
      <c r="IF77" s="60"/>
      <c r="IG77" s="60"/>
      <c r="IH77" s="60"/>
      <c r="II77" s="60"/>
      <c r="IJ77" s="60"/>
      <c r="IK77" s="60"/>
      <c r="IL77" s="60"/>
      <c r="IM77" s="60"/>
      <c r="IN77" s="60"/>
      <c r="IO77" s="60"/>
      <c r="IP77" s="60"/>
      <c r="IQ77" s="60"/>
      <c r="IR77" s="60"/>
      <c r="IS77" s="60"/>
      <c r="IT77" s="60"/>
      <c r="IU77" s="60"/>
      <c r="IV77" s="60"/>
      <c r="IW77" s="60"/>
      <c r="IX77" s="60"/>
      <c r="IY77" s="60"/>
      <c r="IZ77" s="60"/>
      <c r="JA77" s="60"/>
      <c r="JB77" s="60"/>
      <c r="JC77" s="60"/>
      <c r="JD77" s="60"/>
      <c r="JE77" s="60"/>
      <c r="JF77" s="60"/>
      <c r="JG77" s="60"/>
      <c r="JH77" s="60"/>
      <c r="JI77" s="60"/>
      <c r="JJ77" s="60"/>
      <c r="JK77" s="60"/>
      <c r="JL77" s="60"/>
      <c r="JM77" s="60"/>
      <c r="JN77" s="60"/>
      <c r="JO77" s="60"/>
      <c r="JP77" s="60"/>
      <c r="JQ77" s="60"/>
      <c r="JR77" s="60"/>
      <c r="JS77" s="60"/>
      <c r="JT77" s="60"/>
      <c r="JU77" s="60"/>
      <c r="JV77" s="60"/>
      <c r="JW77" s="60"/>
      <c r="JX77" s="60"/>
      <c r="JY77" s="60"/>
      <c r="JZ77" s="60"/>
      <c r="KA77" s="60"/>
      <c r="KB77" s="60"/>
      <c r="KC77" s="60"/>
      <c r="KD77" s="60"/>
      <c r="KE77" s="60"/>
      <c r="KF77" s="60"/>
      <c r="KG77" s="60"/>
      <c r="KH77" s="60"/>
      <c r="KI77" s="60"/>
      <c r="KJ77" s="60"/>
      <c r="KK77" s="60"/>
      <c r="KL77" s="60"/>
      <c r="KM77" s="60"/>
      <c r="KN77" s="60"/>
      <c r="KO77" s="60"/>
      <c r="KP77" s="60"/>
      <c r="KQ77" s="60"/>
      <c r="KR77" s="60"/>
      <c r="KS77" s="60"/>
      <c r="KT77" s="60"/>
      <c r="KU77" s="60"/>
      <c r="KV77" s="60"/>
      <c r="KW77" s="60"/>
      <c r="KX77" s="60"/>
      <c r="KY77" s="60"/>
      <c r="KZ77" s="60"/>
      <c r="LA77" s="60"/>
      <c r="LB77" s="60"/>
      <c r="LC77" s="60"/>
      <c r="LD77" s="60"/>
      <c r="LE77" s="60"/>
      <c r="LF77" s="60"/>
      <c r="LG77" s="60"/>
      <c r="LH77" s="60"/>
    </row>
    <row r="78" spans="1:320" s="17" customFormat="1" x14ac:dyDescent="0.25">
      <c r="A78" s="147"/>
      <c r="E78" s="156"/>
      <c r="F78" s="156"/>
      <c r="G78" s="156"/>
      <c r="H78" s="156"/>
      <c r="I78" s="156"/>
      <c r="J78" s="156"/>
      <c r="K78" s="156"/>
      <c r="L78" s="156"/>
      <c r="M78" s="156"/>
      <c r="N78" s="156"/>
      <c r="O78" s="156"/>
      <c r="P78" s="156"/>
      <c r="Q78" s="156"/>
      <c r="R78" s="156"/>
      <c r="S78" s="156"/>
      <c r="AC78" s="60"/>
      <c r="AD78" s="60"/>
      <c r="AE78" s="60"/>
      <c r="AF78" s="60"/>
      <c r="AG78" s="60"/>
      <c r="AH78" s="60"/>
      <c r="AI78" s="60"/>
      <c r="AJ78" s="60"/>
      <c r="AK78" s="60"/>
      <c r="AL78" s="60"/>
      <c r="AM78" s="60"/>
      <c r="AN78" s="60"/>
      <c r="AO78" s="60"/>
      <c r="AP78" s="60"/>
      <c r="AQ78" s="60"/>
      <c r="AR78" s="60"/>
      <c r="AS78" s="60"/>
      <c r="AT78" s="60"/>
      <c r="AU78" s="60"/>
      <c r="AV78" s="60"/>
      <c r="AW78" s="60"/>
      <c r="AX78" s="60"/>
      <c r="AY78" s="60"/>
      <c r="AZ78" s="60"/>
      <c r="BA78" s="60"/>
      <c r="BB78" s="60"/>
      <c r="BC78" s="60"/>
      <c r="BD78" s="60"/>
      <c r="BE78" s="60"/>
      <c r="BF78" s="60"/>
      <c r="BG78" s="60"/>
      <c r="BH78" s="60"/>
      <c r="BI78" s="60"/>
      <c r="BJ78" s="60"/>
      <c r="BK78" s="60"/>
      <c r="BL78" s="60"/>
      <c r="BM78" s="60"/>
      <c r="BN78" s="60"/>
      <c r="BO78" s="60"/>
      <c r="BP78" s="60"/>
      <c r="BQ78" s="60"/>
      <c r="BR78" s="60"/>
      <c r="BS78" s="60"/>
      <c r="BT78" s="60"/>
      <c r="BU78" s="60"/>
      <c r="BV78" s="60"/>
      <c r="BW78" s="60"/>
      <c r="BX78" s="60"/>
      <c r="BY78" s="60"/>
      <c r="BZ78" s="60"/>
      <c r="CA78" s="60"/>
      <c r="CB78" s="60"/>
      <c r="CC78" s="60"/>
      <c r="CD78" s="60"/>
      <c r="CE78" s="60"/>
      <c r="CF78" s="60"/>
      <c r="CG78" s="60"/>
      <c r="CH78" s="60"/>
      <c r="CI78" s="60"/>
      <c r="CJ78" s="60"/>
      <c r="CK78" s="60"/>
      <c r="CL78" s="60"/>
      <c r="CM78" s="60"/>
      <c r="CN78" s="60"/>
      <c r="CO78" s="60"/>
      <c r="CP78" s="60"/>
      <c r="CQ78" s="60"/>
      <c r="CR78" s="60"/>
      <c r="CS78" s="60"/>
      <c r="CT78" s="60"/>
      <c r="CU78" s="60"/>
      <c r="CV78" s="60"/>
      <c r="CW78" s="60"/>
      <c r="CX78" s="60"/>
      <c r="CY78" s="60"/>
      <c r="CZ78" s="60"/>
      <c r="DA78" s="60"/>
      <c r="DB78" s="60"/>
      <c r="DC78" s="60"/>
      <c r="DD78" s="60"/>
      <c r="DE78" s="60"/>
      <c r="DF78" s="60"/>
      <c r="DG78" s="60"/>
      <c r="DH78" s="60"/>
      <c r="DI78" s="60"/>
      <c r="DJ78" s="60"/>
      <c r="DK78" s="60"/>
      <c r="DL78" s="60"/>
      <c r="DM78" s="60"/>
      <c r="DN78" s="60"/>
      <c r="DO78" s="60"/>
      <c r="DP78" s="60"/>
      <c r="DQ78" s="60"/>
      <c r="DR78" s="60"/>
      <c r="DS78" s="60"/>
      <c r="DT78" s="60"/>
      <c r="DU78" s="60"/>
      <c r="DV78" s="60"/>
      <c r="DW78" s="60"/>
      <c r="DX78" s="60"/>
      <c r="DY78" s="60"/>
      <c r="DZ78" s="60"/>
      <c r="EA78" s="60"/>
      <c r="EB78" s="60"/>
      <c r="EC78" s="60"/>
      <c r="ED78" s="60"/>
      <c r="EE78" s="60"/>
      <c r="EF78" s="60"/>
      <c r="EG78" s="60"/>
      <c r="EH78" s="60"/>
      <c r="EI78" s="60"/>
      <c r="EJ78" s="60"/>
      <c r="EK78" s="60"/>
      <c r="EL78" s="60"/>
      <c r="EM78" s="60"/>
      <c r="EN78" s="60"/>
      <c r="EO78" s="60"/>
      <c r="EP78" s="60"/>
      <c r="EQ78" s="60"/>
      <c r="ER78" s="60"/>
      <c r="ES78" s="60"/>
      <c r="ET78" s="60"/>
      <c r="EU78" s="60"/>
      <c r="EV78" s="60"/>
      <c r="EW78" s="60"/>
      <c r="EX78" s="60"/>
      <c r="EY78" s="60"/>
      <c r="EZ78" s="60"/>
      <c r="FA78" s="60"/>
      <c r="FB78" s="60"/>
      <c r="FC78" s="60"/>
      <c r="FD78" s="60"/>
      <c r="FE78" s="60"/>
      <c r="FF78" s="60"/>
      <c r="FG78" s="60"/>
      <c r="FH78" s="60"/>
      <c r="FI78" s="60"/>
      <c r="FJ78" s="60"/>
      <c r="FK78" s="60"/>
      <c r="FL78" s="60"/>
      <c r="FM78" s="60"/>
      <c r="FN78" s="60"/>
      <c r="FO78" s="60"/>
      <c r="FP78" s="60"/>
      <c r="FQ78" s="60"/>
      <c r="FR78" s="60"/>
      <c r="FS78" s="60"/>
      <c r="FT78" s="60"/>
      <c r="FU78" s="60"/>
      <c r="FV78" s="60"/>
      <c r="FW78" s="60"/>
      <c r="FX78" s="60"/>
      <c r="FY78" s="60"/>
      <c r="FZ78" s="60"/>
      <c r="GA78" s="60"/>
      <c r="GB78" s="60"/>
      <c r="GC78" s="60"/>
      <c r="GD78" s="60"/>
      <c r="GE78" s="60"/>
      <c r="GF78" s="60"/>
      <c r="GG78" s="60"/>
      <c r="GH78" s="60"/>
      <c r="GI78" s="60"/>
      <c r="GJ78" s="60"/>
      <c r="GK78" s="60"/>
      <c r="GL78" s="60"/>
      <c r="GM78" s="60"/>
      <c r="GN78" s="60"/>
      <c r="GO78" s="60"/>
      <c r="GP78" s="60"/>
      <c r="GQ78" s="60"/>
      <c r="GR78" s="60"/>
      <c r="GS78" s="60"/>
      <c r="GT78" s="60"/>
      <c r="GU78" s="60"/>
      <c r="GV78" s="60"/>
      <c r="GW78" s="60"/>
      <c r="GX78" s="60"/>
      <c r="GY78" s="60"/>
      <c r="GZ78" s="60"/>
      <c r="HA78" s="60"/>
      <c r="HB78" s="60"/>
      <c r="HC78" s="60"/>
      <c r="HD78" s="60"/>
      <c r="HE78" s="60"/>
      <c r="HF78" s="60"/>
      <c r="HG78" s="60"/>
      <c r="HH78" s="60"/>
      <c r="HI78" s="60"/>
      <c r="HJ78" s="60"/>
      <c r="HK78" s="60"/>
      <c r="HL78" s="60"/>
      <c r="HM78" s="60"/>
      <c r="HN78" s="60"/>
      <c r="HO78" s="60"/>
      <c r="HP78" s="60"/>
      <c r="HQ78" s="60"/>
      <c r="HR78" s="60"/>
      <c r="HS78" s="60"/>
      <c r="HT78" s="60"/>
      <c r="HU78" s="60"/>
      <c r="HV78" s="60"/>
      <c r="HW78" s="60"/>
      <c r="HX78" s="60"/>
      <c r="HY78" s="60"/>
      <c r="HZ78" s="60"/>
      <c r="IA78" s="60"/>
      <c r="IB78" s="60"/>
      <c r="IC78" s="60"/>
      <c r="ID78" s="60"/>
      <c r="IE78" s="60"/>
      <c r="IF78" s="60"/>
      <c r="IG78" s="60"/>
      <c r="IH78" s="60"/>
      <c r="II78" s="60"/>
      <c r="IJ78" s="60"/>
      <c r="IK78" s="60"/>
      <c r="IL78" s="60"/>
      <c r="IM78" s="60"/>
      <c r="IN78" s="60"/>
      <c r="IO78" s="60"/>
      <c r="IP78" s="60"/>
      <c r="IQ78" s="60"/>
      <c r="IR78" s="60"/>
      <c r="IS78" s="60"/>
      <c r="IT78" s="60"/>
      <c r="IU78" s="60"/>
      <c r="IV78" s="60"/>
      <c r="IW78" s="60"/>
      <c r="IX78" s="60"/>
      <c r="IY78" s="60"/>
      <c r="IZ78" s="60"/>
      <c r="JA78" s="60"/>
      <c r="JB78" s="60"/>
      <c r="JC78" s="60"/>
      <c r="JD78" s="60"/>
      <c r="JE78" s="60"/>
      <c r="JF78" s="60"/>
      <c r="JG78" s="60"/>
      <c r="JH78" s="60"/>
      <c r="JI78" s="60"/>
      <c r="JJ78" s="60"/>
      <c r="JK78" s="60"/>
      <c r="JL78" s="60"/>
      <c r="JM78" s="60"/>
      <c r="JN78" s="60"/>
      <c r="JO78" s="60"/>
      <c r="JP78" s="60"/>
      <c r="JQ78" s="60"/>
      <c r="JR78" s="60"/>
      <c r="JS78" s="60"/>
      <c r="JT78" s="60"/>
      <c r="JU78" s="60"/>
      <c r="JV78" s="60"/>
      <c r="JW78" s="60"/>
      <c r="JX78" s="60"/>
      <c r="JY78" s="60"/>
      <c r="JZ78" s="60"/>
      <c r="KA78" s="60"/>
      <c r="KB78" s="60"/>
      <c r="KC78" s="60"/>
      <c r="KD78" s="60"/>
      <c r="KE78" s="60"/>
      <c r="KF78" s="60"/>
      <c r="KG78" s="60"/>
      <c r="KH78" s="60"/>
      <c r="KI78" s="60"/>
      <c r="KJ78" s="60"/>
      <c r="KK78" s="60"/>
      <c r="KL78" s="60"/>
      <c r="KM78" s="60"/>
      <c r="KN78" s="60"/>
      <c r="KO78" s="60"/>
      <c r="KP78" s="60"/>
      <c r="KQ78" s="60"/>
      <c r="KR78" s="60"/>
      <c r="KS78" s="60"/>
      <c r="KT78" s="60"/>
      <c r="KU78" s="60"/>
      <c r="KV78" s="60"/>
      <c r="KW78" s="60"/>
      <c r="KX78" s="60"/>
      <c r="KY78" s="60"/>
      <c r="KZ78" s="60"/>
      <c r="LA78" s="60"/>
      <c r="LB78" s="60"/>
      <c r="LC78" s="60"/>
      <c r="LD78" s="60"/>
      <c r="LE78" s="60"/>
      <c r="LF78" s="60"/>
      <c r="LG78" s="60"/>
      <c r="LH78" s="60"/>
    </row>
    <row r="79" spans="1:320" s="17" customFormat="1" x14ac:dyDescent="0.25">
      <c r="A79" s="147"/>
      <c r="E79" s="156"/>
      <c r="F79" s="156"/>
      <c r="G79" s="156"/>
      <c r="H79" s="156"/>
      <c r="I79" s="156"/>
      <c r="J79" s="156"/>
      <c r="K79" s="156"/>
      <c r="L79" s="156"/>
      <c r="M79" s="156"/>
      <c r="N79" s="156"/>
      <c r="O79" s="156"/>
      <c r="P79" s="156"/>
      <c r="Q79" s="156"/>
      <c r="R79" s="156"/>
      <c r="S79" s="156"/>
      <c r="AC79" s="60"/>
      <c r="AD79" s="60"/>
      <c r="AE79" s="60"/>
      <c r="AF79" s="60"/>
      <c r="AG79" s="60"/>
      <c r="AH79" s="60"/>
      <c r="AI79" s="60"/>
      <c r="AJ79" s="60"/>
      <c r="AK79" s="60"/>
      <c r="AL79" s="60"/>
      <c r="AM79" s="60"/>
      <c r="AN79" s="60"/>
      <c r="AO79" s="60"/>
      <c r="AP79" s="60"/>
      <c r="AQ79" s="60"/>
      <c r="AR79" s="60"/>
      <c r="AS79" s="60"/>
      <c r="AT79" s="60"/>
      <c r="AU79" s="60"/>
      <c r="AV79" s="60"/>
      <c r="AW79" s="60"/>
      <c r="AX79" s="60"/>
      <c r="AY79" s="60"/>
      <c r="AZ79" s="60"/>
      <c r="BA79" s="60"/>
      <c r="BB79" s="60"/>
      <c r="BC79" s="60"/>
      <c r="BD79" s="60"/>
      <c r="BE79" s="60"/>
      <c r="BF79" s="60"/>
      <c r="BG79" s="60"/>
      <c r="BH79" s="60"/>
      <c r="BI79" s="60"/>
      <c r="BJ79" s="60"/>
      <c r="BK79" s="60"/>
      <c r="BL79" s="60"/>
      <c r="BM79" s="60"/>
      <c r="BN79" s="60"/>
      <c r="BO79" s="60"/>
      <c r="BP79" s="60"/>
      <c r="BQ79" s="60"/>
      <c r="BR79" s="60"/>
      <c r="BS79" s="60"/>
      <c r="BT79" s="60"/>
      <c r="BU79" s="60"/>
      <c r="BV79" s="60"/>
      <c r="BW79" s="60"/>
      <c r="BX79" s="60"/>
      <c r="BY79" s="60"/>
      <c r="BZ79" s="60"/>
      <c r="CA79" s="60"/>
      <c r="CB79" s="60"/>
      <c r="CC79" s="60"/>
      <c r="CD79" s="60"/>
      <c r="CE79" s="60"/>
      <c r="CF79" s="60"/>
      <c r="CG79" s="60"/>
      <c r="CH79" s="60"/>
      <c r="CI79" s="60"/>
      <c r="CJ79" s="60"/>
      <c r="CK79" s="60"/>
      <c r="CL79" s="60"/>
      <c r="CM79" s="60"/>
      <c r="CN79" s="60"/>
      <c r="CO79" s="60"/>
      <c r="CP79" s="60"/>
      <c r="CQ79" s="60"/>
      <c r="CR79" s="60"/>
      <c r="CS79" s="60"/>
      <c r="CT79" s="60"/>
      <c r="CU79" s="60"/>
      <c r="CV79" s="60"/>
      <c r="CW79" s="60"/>
      <c r="CX79" s="60"/>
      <c r="CY79" s="60"/>
      <c r="CZ79" s="60"/>
      <c r="DA79" s="60"/>
      <c r="DB79" s="60"/>
      <c r="DC79" s="60"/>
      <c r="DD79" s="60"/>
      <c r="DE79" s="60"/>
      <c r="DF79" s="60"/>
      <c r="DG79" s="60"/>
      <c r="DH79" s="60"/>
      <c r="DI79" s="60"/>
      <c r="DJ79" s="60"/>
      <c r="DK79" s="60"/>
      <c r="DL79" s="60"/>
      <c r="DM79" s="60"/>
      <c r="DN79" s="60"/>
      <c r="DO79" s="60"/>
      <c r="DP79" s="60"/>
      <c r="DQ79" s="60"/>
      <c r="DR79" s="60"/>
      <c r="DS79" s="60"/>
      <c r="DT79" s="60"/>
      <c r="DU79" s="60"/>
      <c r="DV79" s="60"/>
      <c r="DW79" s="60"/>
      <c r="DX79" s="60"/>
      <c r="DY79" s="60"/>
      <c r="DZ79" s="60"/>
      <c r="EA79" s="60"/>
      <c r="EB79" s="60"/>
      <c r="EC79" s="60"/>
      <c r="ED79" s="60"/>
      <c r="EE79" s="60"/>
      <c r="EF79" s="60"/>
      <c r="EG79" s="60"/>
      <c r="EH79" s="60"/>
      <c r="EI79" s="60"/>
      <c r="EJ79" s="60"/>
      <c r="EK79" s="60"/>
      <c r="EL79" s="60"/>
      <c r="EM79" s="60"/>
      <c r="EN79" s="60"/>
      <c r="EO79" s="60"/>
      <c r="EP79" s="60"/>
      <c r="EQ79" s="60"/>
      <c r="ER79" s="60"/>
      <c r="ES79" s="60"/>
      <c r="ET79" s="60"/>
      <c r="EU79" s="60"/>
      <c r="EV79" s="60"/>
      <c r="EW79" s="60"/>
      <c r="EX79" s="60"/>
      <c r="EY79" s="60"/>
      <c r="EZ79" s="60"/>
      <c r="FA79" s="60"/>
      <c r="FB79" s="60"/>
      <c r="FC79" s="60"/>
      <c r="FD79" s="60"/>
      <c r="FE79" s="60"/>
      <c r="FF79" s="60"/>
      <c r="FG79" s="60"/>
      <c r="FH79" s="60"/>
      <c r="FI79" s="60"/>
      <c r="FJ79" s="60"/>
      <c r="FK79" s="60"/>
      <c r="FL79" s="60"/>
      <c r="FM79" s="60"/>
      <c r="FN79" s="60"/>
      <c r="FO79" s="60"/>
      <c r="FP79" s="60"/>
      <c r="FQ79" s="60"/>
      <c r="FR79" s="60"/>
      <c r="FS79" s="60"/>
      <c r="FT79" s="60"/>
      <c r="FU79" s="60"/>
      <c r="FV79" s="60"/>
      <c r="FW79" s="60"/>
      <c r="FX79" s="60"/>
      <c r="FY79" s="60"/>
      <c r="FZ79" s="60"/>
      <c r="GA79" s="60"/>
      <c r="GB79" s="60"/>
      <c r="GC79" s="60"/>
      <c r="GD79" s="60"/>
      <c r="GE79" s="60"/>
      <c r="GF79" s="60"/>
      <c r="GG79" s="60"/>
      <c r="GH79" s="60"/>
      <c r="GI79" s="60"/>
      <c r="GJ79" s="60"/>
      <c r="GK79" s="60"/>
      <c r="GL79" s="60"/>
      <c r="GM79" s="60"/>
      <c r="GN79" s="60"/>
      <c r="GO79" s="60"/>
      <c r="GP79" s="60"/>
      <c r="GQ79" s="60"/>
      <c r="GR79" s="60"/>
      <c r="GS79" s="60"/>
      <c r="GT79" s="60"/>
      <c r="GU79" s="60"/>
      <c r="GV79" s="60"/>
      <c r="GW79" s="60"/>
      <c r="GX79" s="60"/>
      <c r="GY79" s="60"/>
      <c r="GZ79" s="60"/>
      <c r="HA79" s="60"/>
      <c r="HB79" s="60"/>
      <c r="HC79" s="60"/>
      <c r="HD79" s="60"/>
      <c r="HE79" s="60"/>
      <c r="HF79" s="60"/>
      <c r="HG79" s="60"/>
      <c r="HH79" s="60"/>
      <c r="HI79" s="60"/>
      <c r="HJ79" s="60"/>
      <c r="HK79" s="60"/>
      <c r="HL79" s="60"/>
      <c r="HM79" s="60"/>
      <c r="HN79" s="60"/>
      <c r="HO79" s="60"/>
      <c r="HP79" s="60"/>
      <c r="HQ79" s="60"/>
      <c r="HR79" s="60"/>
      <c r="HS79" s="60"/>
      <c r="HT79" s="60"/>
      <c r="HU79" s="60"/>
      <c r="HV79" s="60"/>
      <c r="HW79" s="60"/>
      <c r="HX79" s="60"/>
      <c r="HY79" s="60"/>
      <c r="HZ79" s="60"/>
      <c r="IA79" s="60"/>
      <c r="IB79" s="60"/>
      <c r="IC79" s="60"/>
      <c r="ID79" s="60"/>
      <c r="IE79" s="60"/>
      <c r="IF79" s="60"/>
      <c r="IG79" s="60"/>
      <c r="IH79" s="60"/>
      <c r="II79" s="60"/>
      <c r="IJ79" s="60"/>
      <c r="IK79" s="60"/>
      <c r="IL79" s="60"/>
      <c r="IM79" s="60"/>
      <c r="IN79" s="60"/>
      <c r="IO79" s="60"/>
      <c r="IP79" s="60"/>
      <c r="IQ79" s="60"/>
      <c r="IR79" s="60"/>
      <c r="IS79" s="60"/>
      <c r="IT79" s="60"/>
      <c r="IU79" s="60"/>
      <c r="IV79" s="60"/>
      <c r="IW79" s="60"/>
      <c r="IX79" s="60"/>
      <c r="IY79" s="60"/>
      <c r="IZ79" s="60"/>
      <c r="JA79" s="60"/>
      <c r="JB79" s="60"/>
      <c r="JC79" s="60"/>
      <c r="JD79" s="60"/>
      <c r="JE79" s="60"/>
      <c r="JF79" s="60"/>
      <c r="JG79" s="60"/>
      <c r="JH79" s="60"/>
      <c r="JI79" s="60"/>
      <c r="JJ79" s="60"/>
      <c r="JK79" s="60"/>
      <c r="JL79" s="60"/>
      <c r="JM79" s="60"/>
      <c r="JN79" s="60"/>
      <c r="JO79" s="60"/>
      <c r="JP79" s="60"/>
      <c r="JQ79" s="60"/>
      <c r="JR79" s="60"/>
      <c r="JS79" s="60"/>
      <c r="JT79" s="60"/>
      <c r="JU79" s="60"/>
      <c r="JV79" s="60"/>
      <c r="JW79" s="60"/>
      <c r="JX79" s="60"/>
      <c r="JY79" s="60"/>
      <c r="JZ79" s="60"/>
      <c r="KA79" s="60"/>
      <c r="KB79" s="60"/>
      <c r="KC79" s="60"/>
      <c r="KD79" s="60"/>
      <c r="KE79" s="60"/>
      <c r="KF79" s="60"/>
      <c r="KG79" s="60"/>
      <c r="KH79" s="60"/>
      <c r="KI79" s="60"/>
      <c r="KJ79" s="60"/>
      <c r="KK79" s="60"/>
      <c r="KL79" s="60"/>
      <c r="KM79" s="60"/>
      <c r="KN79" s="60"/>
      <c r="KO79" s="60"/>
      <c r="KP79" s="60"/>
      <c r="KQ79" s="60"/>
      <c r="KR79" s="60"/>
      <c r="KS79" s="60"/>
      <c r="KT79" s="60"/>
      <c r="KU79" s="60"/>
      <c r="KV79" s="60"/>
      <c r="KW79" s="60"/>
      <c r="KX79" s="60"/>
      <c r="KY79" s="60"/>
      <c r="KZ79" s="60"/>
      <c r="LA79" s="60"/>
      <c r="LB79" s="60"/>
      <c r="LC79" s="60"/>
      <c r="LD79" s="60"/>
      <c r="LE79" s="60"/>
      <c r="LF79" s="60"/>
      <c r="LG79" s="60"/>
      <c r="LH79" s="60"/>
    </row>
    <row r="80" spans="1:320" s="17" customFormat="1" x14ac:dyDescent="0.25">
      <c r="A80" s="147"/>
      <c r="E80" s="156"/>
      <c r="F80" s="156"/>
      <c r="G80" s="156"/>
      <c r="H80" s="156"/>
      <c r="I80" s="156"/>
      <c r="J80" s="156"/>
      <c r="K80" s="156"/>
      <c r="L80" s="156"/>
      <c r="M80" s="156"/>
      <c r="N80" s="156"/>
      <c r="O80" s="156"/>
      <c r="P80" s="156"/>
      <c r="Q80" s="156"/>
      <c r="R80" s="156"/>
      <c r="S80" s="156"/>
      <c r="AC80" s="60"/>
      <c r="AD80" s="60"/>
      <c r="AE80" s="60"/>
      <c r="AF80" s="60"/>
      <c r="AG80" s="60"/>
      <c r="AH80" s="60"/>
      <c r="AI80" s="60"/>
      <c r="AJ80" s="60"/>
      <c r="AK80" s="60"/>
      <c r="AL80" s="60"/>
      <c r="AM80" s="60"/>
      <c r="AN80" s="60"/>
      <c r="AO80" s="60"/>
      <c r="AP80" s="60"/>
      <c r="AQ80" s="60"/>
      <c r="AR80" s="60"/>
      <c r="AS80" s="60"/>
      <c r="AT80" s="60"/>
      <c r="AU80" s="60"/>
      <c r="AV80" s="60"/>
      <c r="AW80" s="60"/>
      <c r="AX80" s="60"/>
      <c r="AY80" s="60"/>
      <c r="AZ80" s="60"/>
      <c r="BA80" s="60"/>
      <c r="BB80" s="60"/>
      <c r="BC80" s="60"/>
      <c r="BD80" s="60"/>
      <c r="BE80" s="60"/>
      <c r="BF80" s="60"/>
      <c r="BG80" s="60"/>
      <c r="BH80" s="60"/>
      <c r="BI80" s="60"/>
      <c r="BJ80" s="60"/>
      <c r="BK80" s="60"/>
      <c r="BL80" s="60"/>
      <c r="BM80" s="60"/>
      <c r="BN80" s="60"/>
      <c r="BO80" s="60"/>
      <c r="BP80" s="60"/>
      <c r="BQ80" s="60"/>
      <c r="BR80" s="60"/>
      <c r="BS80" s="60"/>
      <c r="BT80" s="60"/>
      <c r="BU80" s="60"/>
      <c r="BV80" s="60"/>
      <c r="BW80" s="60"/>
      <c r="BX80" s="60"/>
      <c r="BY80" s="60"/>
      <c r="BZ80" s="60"/>
      <c r="CA80" s="60"/>
      <c r="CB80" s="60"/>
      <c r="CC80" s="60"/>
      <c r="CD80" s="60"/>
      <c r="CE80" s="60"/>
      <c r="CF80" s="60"/>
      <c r="CG80" s="60"/>
      <c r="CH80" s="60"/>
      <c r="CI80" s="60"/>
      <c r="CJ80" s="60"/>
      <c r="CK80" s="60"/>
      <c r="CL80" s="60"/>
      <c r="CM80" s="60"/>
      <c r="CN80" s="60"/>
      <c r="CO80" s="60"/>
      <c r="CP80" s="60"/>
      <c r="CQ80" s="60"/>
      <c r="CR80" s="60"/>
      <c r="CS80" s="60"/>
      <c r="CT80" s="60"/>
      <c r="CU80" s="60"/>
      <c r="CV80" s="60"/>
      <c r="CW80" s="60"/>
      <c r="CX80" s="60"/>
      <c r="CY80" s="60"/>
      <c r="CZ80" s="60"/>
      <c r="DA80" s="60"/>
      <c r="DB80" s="60"/>
      <c r="DC80" s="60"/>
      <c r="DD80" s="60"/>
      <c r="DE80" s="60"/>
      <c r="DF80" s="60"/>
      <c r="DG80" s="60"/>
      <c r="DH80" s="60"/>
      <c r="DI80" s="60"/>
      <c r="DJ80" s="60"/>
      <c r="DK80" s="60"/>
      <c r="DL80" s="60"/>
      <c r="DM80" s="60"/>
      <c r="DN80" s="60"/>
      <c r="DO80" s="60"/>
      <c r="DP80" s="60"/>
      <c r="DQ80" s="60"/>
      <c r="DR80" s="60"/>
      <c r="DS80" s="60"/>
      <c r="DT80" s="60"/>
      <c r="DU80" s="60"/>
      <c r="DV80" s="60"/>
      <c r="DW80" s="60"/>
      <c r="DX80" s="60"/>
      <c r="DY80" s="60"/>
      <c r="DZ80" s="60"/>
      <c r="EA80" s="60"/>
      <c r="EB80" s="60"/>
      <c r="EC80" s="60"/>
      <c r="ED80" s="60"/>
      <c r="EE80" s="60"/>
      <c r="EF80" s="60"/>
      <c r="EG80" s="60"/>
      <c r="EH80" s="60"/>
      <c r="EI80" s="60"/>
      <c r="EJ80" s="60"/>
      <c r="EK80" s="60"/>
      <c r="EL80" s="60"/>
      <c r="EM80" s="60"/>
      <c r="EN80" s="60"/>
      <c r="EO80" s="60"/>
      <c r="EP80" s="60"/>
      <c r="EQ80" s="60"/>
      <c r="ER80" s="60"/>
      <c r="ES80" s="60"/>
      <c r="ET80" s="60"/>
      <c r="EU80" s="60"/>
      <c r="EV80" s="60"/>
      <c r="EW80" s="60"/>
      <c r="EX80" s="60"/>
      <c r="EY80" s="60"/>
      <c r="EZ80" s="60"/>
      <c r="FA80" s="60"/>
      <c r="FB80" s="60"/>
      <c r="FC80" s="60"/>
      <c r="FD80" s="60"/>
      <c r="FE80" s="60"/>
      <c r="FF80" s="60"/>
      <c r="FG80" s="60"/>
      <c r="FH80" s="60"/>
      <c r="FI80" s="60"/>
      <c r="FJ80" s="60"/>
      <c r="FK80" s="60"/>
      <c r="FL80" s="60"/>
      <c r="FM80" s="60"/>
      <c r="FN80" s="60"/>
      <c r="FO80" s="60"/>
      <c r="FP80" s="60"/>
      <c r="FQ80" s="60"/>
      <c r="FR80" s="60"/>
      <c r="FS80" s="60"/>
      <c r="FT80" s="60"/>
      <c r="FU80" s="60"/>
      <c r="FV80" s="60"/>
      <c r="FW80" s="60"/>
      <c r="FX80" s="60"/>
      <c r="FY80" s="60"/>
      <c r="FZ80" s="60"/>
      <c r="GA80" s="60"/>
      <c r="GB80" s="60"/>
      <c r="GC80" s="60"/>
      <c r="GD80" s="60"/>
      <c r="GE80" s="60"/>
      <c r="GF80" s="60"/>
      <c r="GG80" s="60"/>
      <c r="GH80" s="60"/>
      <c r="GI80" s="60"/>
      <c r="GJ80" s="60"/>
      <c r="GK80" s="60"/>
      <c r="GL80" s="60"/>
      <c r="GM80" s="60"/>
      <c r="GN80" s="60"/>
      <c r="GO80" s="60"/>
      <c r="GP80" s="60"/>
      <c r="GQ80" s="60"/>
      <c r="GR80" s="60"/>
      <c r="GS80" s="60"/>
      <c r="GT80" s="60"/>
      <c r="GU80" s="60"/>
      <c r="GV80" s="60"/>
      <c r="GW80" s="60"/>
      <c r="GX80" s="60"/>
      <c r="GY80" s="60"/>
      <c r="GZ80" s="60"/>
      <c r="HA80" s="60"/>
      <c r="HB80" s="60"/>
      <c r="HC80" s="60"/>
      <c r="HD80" s="60"/>
      <c r="HE80" s="60"/>
      <c r="HF80" s="60"/>
      <c r="HG80" s="60"/>
      <c r="HH80" s="60"/>
      <c r="HI80" s="60"/>
      <c r="HJ80" s="60"/>
      <c r="HK80" s="60"/>
      <c r="HL80" s="60"/>
      <c r="HM80" s="60"/>
      <c r="HN80" s="60"/>
      <c r="HO80" s="60"/>
      <c r="HP80" s="60"/>
      <c r="HQ80" s="60"/>
      <c r="HR80" s="60"/>
      <c r="HS80" s="60"/>
      <c r="HT80" s="60"/>
      <c r="HU80" s="60"/>
      <c r="HV80" s="60"/>
      <c r="HW80" s="60"/>
      <c r="HX80" s="60"/>
      <c r="HY80" s="60"/>
      <c r="HZ80" s="60"/>
      <c r="IA80" s="60"/>
      <c r="IB80" s="60"/>
      <c r="IC80" s="60"/>
      <c r="ID80" s="60"/>
      <c r="IE80" s="60"/>
      <c r="IF80" s="60"/>
      <c r="IG80" s="60"/>
      <c r="IH80" s="60"/>
      <c r="II80" s="60"/>
      <c r="IJ80" s="60"/>
      <c r="IK80" s="60"/>
      <c r="IL80" s="60"/>
      <c r="IM80" s="60"/>
      <c r="IN80" s="60"/>
      <c r="IO80" s="60"/>
      <c r="IP80" s="60"/>
      <c r="IQ80" s="60"/>
      <c r="IR80" s="60"/>
      <c r="IS80" s="60"/>
      <c r="IT80" s="60"/>
      <c r="IU80" s="60"/>
      <c r="IV80" s="60"/>
      <c r="IW80" s="60"/>
      <c r="IX80" s="60"/>
      <c r="IY80" s="60"/>
      <c r="IZ80" s="60"/>
      <c r="JA80" s="60"/>
      <c r="JB80" s="60"/>
      <c r="JC80" s="60"/>
      <c r="JD80" s="60"/>
      <c r="JE80" s="60"/>
      <c r="JF80" s="60"/>
      <c r="JG80" s="60"/>
      <c r="JH80" s="60"/>
      <c r="JI80" s="60"/>
      <c r="JJ80" s="60"/>
      <c r="JK80" s="60"/>
      <c r="JL80" s="60"/>
      <c r="JM80" s="60"/>
      <c r="JN80" s="60"/>
      <c r="JO80" s="60"/>
      <c r="JP80" s="60"/>
      <c r="JQ80" s="60"/>
      <c r="JR80" s="60"/>
      <c r="JS80" s="60"/>
      <c r="JT80" s="60"/>
      <c r="JU80" s="60"/>
      <c r="JV80" s="60"/>
      <c r="JW80" s="60"/>
      <c r="JX80" s="60"/>
      <c r="JY80" s="60"/>
      <c r="JZ80" s="60"/>
      <c r="KA80" s="60"/>
      <c r="KB80" s="60"/>
      <c r="KC80" s="60"/>
      <c r="KD80" s="60"/>
      <c r="KE80" s="60"/>
      <c r="KF80" s="60"/>
      <c r="KG80" s="60"/>
      <c r="KH80" s="60"/>
      <c r="KI80" s="60"/>
      <c r="KJ80" s="60"/>
      <c r="KK80" s="60"/>
      <c r="KL80" s="60"/>
      <c r="KM80" s="60"/>
      <c r="KN80" s="60"/>
      <c r="KO80" s="60"/>
      <c r="KP80" s="60"/>
      <c r="KQ80" s="60"/>
      <c r="KR80" s="60"/>
      <c r="KS80" s="60"/>
      <c r="KT80" s="60"/>
      <c r="KU80" s="60"/>
      <c r="KV80" s="60"/>
      <c r="KW80" s="60"/>
      <c r="KX80" s="60"/>
      <c r="KY80" s="60"/>
      <c r="KZ80" s="60"/>
      <c r="LA80" s="60"/>
      <c r="LB80" s="60"/>
      <c r="LC80" s="60"/>
      <c r="LD80" s="60"/>
      <c r="LE80" s="60"/>
      <c r="LF80" s="60"/>
      <c r="LG80" s="60"/>
      <c r="LH80" s="60"/>
    </row>
    <row r="81" spans="1:320" s="17" customFormat="1" x14ac:dyDescent="0.25">
      <c r="A81" s="147"/>
      <c r="E81" s="156"/>
      <c r="F81" s="156"/>
      <c r="G81" s="156"/>
      <c r="H81" s="156"/>
      <c r="I81" s="156"/>
      <c r="J81" s="156"/>
      <c r="K81" s="156"/>
      <c r="L81" s="156"/>
      <c r="M81" s="156"/>
      <c r="N81" s="156"/>
      <c r="O81" s="156"/>
      <c r="P81" s="156"/>
      <c r="Q81" s="156"/>
      <c r="R81" s="156"/>
      <c r="S81" s="156"/>
      <c r="AC81" s="60"/>
      <c r="AD81" s="60"/>
      <c r="AE81" s="60"/>
      <c r="AF81" s="60"/>
      <c r="AG81" s="60"/>
      <c r="AH81" s="60"/>
      <c r="AI81" s="60"/>
      <c r="AJ81" s="60"/>
      <c r="AK81" s="60"/>
      <c r="AL81" s="60"/>
      <c r="AM81" s="60"/>
      <c r="AN81" s="60"/>
      <c r="AO81" s="60"/>
      <c r="AP81" s="60"/>
      <c r="AQ81" s="60"/>
      <c r="AR81" s="60"/>
      <c r="AS81" s="60"/>
      <c r="AT81" s="60"/>
      <c r="AU81" s="60"/>
      <c r="AV81" s="60"/>
      <c r="AW81" s="60"/>
      <c r="AX81" s="60"/>
      <c r="AY81" s="60"/>
      <c r="AZ81" s="60"/>
      <c r="BA81" s="60"/>
      <c r="BB81" s="60"/>
      <c r="BC81" s="60"/>
      <c r="BD81" s="60"/>
      <c r="BE81" s="60"/>
      <c r="BF81" s="60"/>
      <c r="BG81" s="60"/>
      <c r="BH81" s="60"/>
      <c r="BI81" s="60"/>
      <c r="BJ81" s="60"/>
      <c r="BK81" s="60"/>
      <c r="BL81" s="60"/>
      <c r="BM81" s="60"/>
      <c r="BN81" s="60"/>
      <c r="BO81" s="60"/>
      <c r="BP81" s="60"/>
      <c r="BQ81" s="60"/>
      <c r="BR81" s="60"/>
      <c r="BS81" s="60"/>
      <c r="BT81" s="60"/>
      <c r="BU81" s="60"/>
      <c r="BV81" s="60"/>
      <c r="BW81" s="60"/>
      <c r="BX81" s="60"/>
      <c r="BY81" s="60"/>
      <c r="BZ81" s="60"/>
      <c r="CA81" s="60"/>
      <c r="CB81" s="60"/>
      <c r="CC81" s="60"/>
      <c r="CD81" s="60"/>
      <c r="CE81" s="60"/>
      <c r="CF81" s="60"/>
      <c r="CG81" s="60"/>
      <c r="CH81" s="60"/>
      <c r="CI81" s="60"/>
      <c r="CJ81" s="60"/>
      <c r="CK81" s="60"/>
      <c r="CL81" s="60"/>
      <c r="CM81" s="60"/>
      <c r="CN81" s="60"/>
      <c r="CO81" s="60"/>
      <c r="CP81" s="60"/>
      <c r="CQ81" s="60"/>
      <c r="CR81" s="60"/>
      <c r="CS81" s="60"/>
      <c r="CT81" s="60"/>
      <c r="CU81" s="60"/>
      <c r="CV81" s="60"/>
      <c r="CW81" s="60"/>
      <c r="CX81" s="60"/>
      <c r="CY81" s="60"/>
      <c r="CZ81" s="60"/>
      <c r="DA81" s="60"/>
      <c r="DB81" s="60"/>
      <c r="DC81" s="60"/>
      <c r="DD81" s="60"/>
      <c r="DE81" s="60"/>
      <c r="DF81" s="60"/>
      <c r="DG81" s="60"/>
      <c r="DH81" s="60"/>
      <c r="DI81" s="60"/>
      <c r="DJ81" s="60"/>
      <c r="DK81" s="60"/>
      <c r="DL81" s="60"/>
      <c r="DM81" s="60"/>
      <c r="DN81" s="60"/>
      <c r="DO81" s="60"/>
      <c r="DP81" s="60"/>
      <c r="DQ81" s="60"/>
      <c r="DR81" s="60"/>
      <c r="DS81" s="60"/>
      <c r="DT81" s="60"/>
      <c r="DU81" s="60"/>
      <c r="DV81" s="60"/>
      <c r="DW81" s="60"/>
      <c r="DX81" s="60"/>
      <c r="DY81" s="60"/>
      <c r="DZ81" s="60"/>
      <c r="EA81" s="60"/>
      <c r="EB81" s="60"/>
      <c r="EC81" s="60"/>
      <c r="ED81" s="60"/>
      <c r="EE81" s="60"/>
      <c r="EF81" s="60"/>
      <c r="EG81" s="60"/>
      <c r="EH81" s="60"/>
      <c r="EI81" s="60"/>
      <c r="EJ81" s="60"/>
      <c r="EK81" s="60"/>
      <c r="EL81" s="60"/>
      <c r="EM81" s="60"/>
      <c r="EN81" s="60"/>
      <c r="EO81" s="60"/>
      <c r="EP81" s="60"/>
      <c r="EQ81" s="60"/>
      <c r="ER81" s="60"/>
      <c r="ES81" s="60"/>
      <c r="ET81" s="60"/>
      <c r="EU81" s="60"/>
      <c r="EV81" s="60"/>
      <c r="EW81" s="60"/>
      <c r="EX81" s="60"/>
      <c r="EY81" s="60"/>
      <c r="EZ81" s="60"/>
      <c r="FA81" s="60"/>
      <c r="FB81" s="60"/>
      <c r="FC81" s="60"/>
      <c r="FD81" s="60"/>
      <c r="FE81" s="60"/>
      <c r="FF81" s="60"/>
      <c r="FG81" s="60"/>
      <c r="FH81" s="60"/>
      <c r="FI81" s="60"/>
      <c r="FJ81" s="60"/>
      <c r="FK81" s="60"/>
      <c r="FL81" s="60"/>
      <c r="FM81" s="60"/>
      <c r="FN81" s="60"/>
      <c r="FO81" s="60"/>
      <c r="FP81" s="60"/>
      <c r="FQ81" s="60"/>
      <c r="FR81" s="60"/>
      <c r="FS81" s="60"/>
      <c r="FT81" s="60"/>
      <c r="FU81" s="60"/>
      <c r="FV81" s="60"/>
      <c r="FW81" s="60"/>
      <c r="FX81" s="60"/>
      <c r="FY81" s="60"/>
      <c r="FZ81" s="60"/>
      <c r="GA81" s="60"/>
      <c r="GB81" s="60"/>
      <c r="GC81" s="60"/>
      <c r="GD81" s="60"/>
      <c r="GE81" s="60"/>
      <c r="GF81" s="60"/>
      <c r="GG81" s="60"/>
      <c r="GH81" s="60"/>
      <c r="GI81" s="60"/>
      <c r="GJ81" s="60"/>
      <c r="GK81" s="60"/>
      <c r="GL81" s="60"/>
      <c r="GM81" s="60"/>
      <c r="GN81" s="60"/>
      <c r="GO81" s="60"/>
      <c r="GP81" s="60"/>
      <c r="GQ81" s="60"/>
      <c r="GR81" s="60"/>
      <c r="GS81" s="60"/>
      <c r="GT81" s="60"/>
      <c r="GU81" s="60"/>
      <c r="GV81" s="60"/>
      <c r="GW81" s="60"/>
      <c r="GX81" s="60"/>
      <c r="GY81" s="60"/>
      <c r="GZ81" s="60"/>
      <c r="HA81" s="60"/>
      <c r="HB81" s="60"/>
      <c r="HC81" s="60"/>
      <c r="HD81" s="60"/>
      <c r="HE81" s="60"/>
      <c r="HF81" s="60"/>
      <c r="HG81" s="60"/>
      <c r="HH81" s="60"/>
      <c r="HI81" s="60"/>
      <c r="HJ81" s="60"/>
      <c r="HK81" s="60"/>
      <c r="HL81" s="60"/>
      <c r="HM81" s="60"/>
      <c r="HN81" s="60"/>
      <c r="HO81" s="60"/>
      <c r="HP81" s="60"/>
      <c r="HQ81" s="60"/>
      <c r="HR81" s="60"/>
      <c r="HS81" s="60"/>
      <c r="HT81" s="60"/>
      <c r="HU81" s="60"/>
      <c r="HV81" s="60"/>
      <c r="HW81" s="60"/>
      <c r="HX81" s="60"/>
      <c r="HY81" s="60"/>
      <c r="HZ81" s="60"/>
      <c r="IA81" s="60"/>
      <c r="IB81" s="60"/>
      <c r="IC81" s="60"/>
      <c r="ID81" s="60"/>
      <c r="IE81" s="60"/>
      <c r="IF81" s="60"/>
      <c r="IG81" s="60"/>
      <c r="IH81" s="60"/>
      <c r="II81" s="60"/>
      <c r="IJ81" s="60"/>
      <c r="IK81" s="60"/>
      <c r="IL81" s="60"/>
      <c r="IM81" s="60"/>
      <c r="IN81" s="60"/>
      <c r="IO81" s="60"/>
      <c r="IP81" s="60"/>
      <c r="IQ81" s="60"/>
      <c r="IR81" s="60"/>
      <c r="IS81" s="60"/>
      <c r="IT81" s="60"/>
      <c r="IU81" s="60"/>
      <c r="IV81" s="60"/>
      <c r="IW81" s="60"/>
      <c r="IX81" s="60"/>
      <c r="IY81" s="60"/>
      <c r="IZ81" s="60"/>
      <c r="JA81" s="60"/>
      <c r="JB81" s="60"/>
      <c r="JC81" s="60"/>
      <c r="JD81" s="60"/>
      <c r="JE81" s="60"/>
      <c r="JF81" s="60"/>
      <c r="JG81" s="60"/>
      <c r="JH81" s="60"/>
      <c r="JI81" s="60"/>
      <c r="JJ81" s="60"/>
      <c r="JK81" s="60"/>
      <c r="JL81" s="60"/>
      <c r="JM81" s="60"/>
      <c r="JN81" s="60"/>
      <c r="JO81" s="60"/>
      <c r="JP81" s="60"/>
      <c r="JQ81" s="60"/>
      <c r="JR81" s="60"/>
      <c r="JS81" s="60"/>
      <c r="JT81" s="60"/>
      <c r="JU81" s="60"/>
      <c r="JV81" s="60"/>
      <c r="JW81" s="60"/>
      <c r="JX81" s="60"/>
      <c r="JY81" s="60"/>
      <c r="JZ81" s="60"/>
      <c r="KA81" s="60"/>
      <c r="KB81" s="60"/>
      <c r="KC81" s="60"/>
      <c r="KD81" s="60"/>
      <c r="KE81" s="60"/>
      <c r="KF81" s="60"/>
      <c r="KG81" s="60"/>
      <c r="KH81" s="60"/>
      <c r="KI81" s="60"/>
      <c r="KJ81" s="60"/>
      <c r="KK81" s="60"/>
      <c r="KL81" s="60"/>
      <c r="KM81" s="60"/>
      <c r="KN81" s="60"/>
      <c r="KO81" s="60"/>
      <c r="KP81" s="60"/>
      <c r="KQ81" s="60"/>
      <c r="KR81" s="60"/>
      <c r="KS81" s="60"/>
      <c r="KT81" s="60"/>
      <c r="KU81" s="60"/>
      <c r="KV81" s="60"/>
      <c r="KW81" s="60"/>
      <c r="KX81" s="60"/>
      <c r="KY81" s="60"/>
      <c r="KZ81" s="60"/>
      <c r="LA81" s="60"/>
      <c r="LB81" s="60"/>
      <c r="LC81" s="60"/>
      <c r="LD81" s="60"/>
      <c r="LE81" s="60"/>
      <c r="LF81" s="60"/>
      <c r="LG81" s="60"/>
      <c r="LH81" s="60"/>
    </row>
    <row r="82" spans="1:320" s="17" customFormat="1" x14ac:dyDescent="0.25">
      <c r="A82" s="147"/>
      <c r="E82" s="156"/>
      <c r="F82" s="156"/>
      <c r="G82" s="156"/>
      <c r="H82" s="156"/>
      <c r="I82" s="156"/>
      <c r="J82" s="156"/>
      <c r="K82" s="156"/>
      <c r="L82" s="156"/>
      <c r="M82" s="156"/>
      <c r="N82" s="156"/>
      <c r="O82" s="156"/>
      <c r="P82" s="156"/>
      <c r="Q82" s="156"/>
      <c r="R82" s="156"/>
      <c r="S82" s="156"/>
      <c r="AC82" s="60"/>
      <c r="AD82" s="60"/>
      <c r="AE82" s="60"/>
      <c r="AF82" s="60"/>
      <c r="AG82" s="60"/>
      <c r="AH82" s="60"/>
      <c r="AI82" s="60"/>
      <c r="AJ82" s="60"/>
      <c r="AK82" s="60"/>
      <c r="AL82" s="60"/>
      <c r="AM82" s="60"/>
      <c r="AN82" s="60"/>
      <c r="AO82" s="60"/>
      <c r="AP82" s="60"/>
      <c r="AQ82" s="60"/>
      <c r="AR82" s="60"/>
      <c r="AS82" s="60"/>
      <c r="AT82" s="60"/>
      <c r="AU82" s="60"/>
      <c r="AV82" s="60"/>
      <c r="AW82" s="60"/>
      <c r="AX82" s="60"/>
      <c r="AY82" s="60"/>
      <c r="AZ82" s="60"/>
      <c r="BA82" s="60"/>
      <c r="BB82" s="60"/>
      <c r="BC82" s="60"/>
      <c r="BD82" s="60"/>
      <c r="BE82" s="60"/>
      <c r="BF82" s="60"/>
      <c r="BG82" s="60"/>
      <c r="BH82" s="60"/>
      <c r="BI82" s="60"/>
      <c r="BJ82" s="60"/>
      <c r="BK82" s="60"/>
      <c r="BL82" s="60"/>
      <c r="BM82" s="60"/>
      <c r="BN82" s="60"/>
      <c r="BO82" s="60"/>
      <c r="BP82" s="60"/>
      <c r="BQ82" s="60"/>
      <c r="BR82" s="60"/>
      <c r="BS82" s="60"/>
      <c r="BT82" s="60"/>
      <c r="BU82" s="60"/>
      <c r="BV82" s="60"/>
      <c r="BW82" s="60"/>
      <c r="BX82" s="60"/>
      <c r="BY82" s="60"/>
      <c r="BZ82" s="60"/>
      <c r="CA82" s="60"/>
      <c r="CB82" s="60"/>
      <c r="CC82" s="60"/>
      <c r="CD82" s="60"/>
      <c r="CE82" s="60"/>
      <c r="CF82" s="60"/>
      <c r="CG82" s="60"/>
      <c r="CH82" s="60"/>
      <c r="CI82" s="60"/>
      <c r="CJ82" s="60"/>
      <c r="CK82" s="60"/>
      <c r="CL82" s="60"/>
      <c r="CM82" s="60"/>
      <c r="CN82" s="60"/>
      <c r="CO82" s="60"/>
      <c r="CP82" s="60"/>
      <c r="CQ82" s="60"/>
      <c r="CR82" s="60"/>
      <c r="CS82" s="60"/>
      <c r="CT82" s="60"/>
      <c r="CU82" s="60"/>
      <c r="CV82" s="60"/>
      <c r="CW82" s="60"/>
      <c r="CX82" s="60"/>
      <c r="CY82" s="60"/>
      <c r="CZ82" s="60"/>
      <c r="DA82" s="60"/>
      <c r="DB82" s="60"/>
      <c r="DC82" s="60"/>
      <c r="DD82" s="60"/>
      <c r="DE82" s="60"/>
      <c r="DF82" s="60"/>
      <c r="DG82" s="60"/>
      <c r="DH82" s="60"/>
      <c r="DI82" s="60"/>
      <c r="DJ82" s="60"/>
      <c r="DK82" s="60"/>
      <c r="DL82" s="60"/>
      <c r="DM82" s="60"/>
      <c r="DN82" s="60"/>
      <c r="DO82" s="60"/>
      <c r="DP82" s="60"/>
      <c r="DQ82" s="60"/>
      <c r="DR82" s="60"/>
      <c r="DS82" s="60"/>
      <c r="DT82" s="60"/>
      <c r="DU82" s="60"/>
      <c r="DV82" s="60"/>
      <c r="DW82" s="60"/>
      <c r="DX82" s="60"/>
      <c r="DY82" s="60"/>
      <c r="DZ82" s="60"/>
      <c r="EA82" s="60"/>
      <c r="EB82" s="60"/>
      <c r="EC82" s="60"/>
      <c r="ED82" s="60"/>
      <c r="EE82" s="60"/>
      <c r="EF82" s="60"/>
      <c r="EG82" s="60"/>
      <c r="EH82" s="60"/>
      <c r="EI82" s="60"/>
      <c r="EJ82" s="60"/>
      <c r="EK82" s="60"/>
      <c r="EL82" s="60"/>
      <c r="EM82" s="60"/>
      <c r="EN82" s="60"/>
      <c r="EO82" s="60"/>
      <c r="EP82" s="60"/>
      <c r="EQ82" s="60"/>
      <c r="ER82" s="60"/>
      <c r="ES82" s="60"/>
      <c r="ET82" s="60"/>
      <c r="EU82" s="60"/>
      <c r="EV82" s="60"/>
      <c r="EW82" s="60"/>
      <c r="EX82" s="60"/>
      <c r="EY82" s="60"/>
      <c r="EZ82" s="60"/>
      <c r="FA82" s="60"/>
      <c r="FB82" s="60"/>
      <c r="FC82" s="60"/>
      <c r="FD82" s="60"/>
      <c r="FE82" s="60"/>
      <c r="FF82" s="60"/>
      <c r="FG82" s="60"/>
      <c r="FH82" s="60"/>
      <c r="FI82" s="60"/>
      <c r="FJ82" s="60"/>
      <c r="FK82" s="60"/>
      <c r="FL82" s="60"/>
      <c r="FM82" s="60"/>
      <c r="FN82" s="60"/>
      <c r="FO82" s="60"/>
      <c r="FP82" s="60"/>
      <c r="FQ82" s="60"/>
      <c r="FR82" s="60"/>
      <c r="FS82" s="60"/>
      <c r="FT82" s="60"/>
      <c r="FU82" s="60"/>
      <c r="FV82" s="60"/>
      <c r="FW82" s="60"/>
      <c r="FX82" s="60"/>
      <c r="FY82" s="60"/>
      <c r="FZ82" s="60"/>
      <c r="GA82" s="60"/>
      <c r="GB82" s="60"/>
      <c r="GC82" s="60"/>
      <c r="GD82" s="60"/>
      <c r="GE82" s="60"/>
      <c r="GF82" s="60"/>
      <c r="GG82" s="60"/>
      <c r="GH82" s="60"/>
      <c r="GI82" s="60"/>
      <c r="GJ82" s="60"/>
      <c r="GK82" s="60"/>
      <c r="GL82" s="60"/>
      <c r="GM82" s="60"/>
      <c r="GN82" s="60"/>
      <c r="GO82" s="60"/>
      <c r="GP82" s="60"/>
      <c r="GQ82" s="60"/>
      <c r="GR82" s="60"/>
      <c r="GS82" s="60"/>
      <c r="GT82" s="60"/>
      <c r="GU82" s="60"/>
      <c r="GV82" s="60"/>
      <c r="GW82" s="60"/>
      <c r="GX82" s="60"/>
      <c r="GY82" s="60"/>
      <c r="GZ82" s="60"/>
      <c r="HA82" s="60"/>
      <c r="HB82" s="60"/>
      <c r="HC82" s="60"/>
      <c r="HD82" s="60"/>
      <c r="HE82" s="60"/>
      <c r="HF82" s="60"/>
      <c r="HG82" s="60"/>
      <c r="HH82" s="60"/>
      <c r="HI82" s="60"/>
      <c r="HJ82" s="60"/>
      <c r="HK82" s="60"/>
      <c r="HL82" s="60"/>
      <c r="HM82" s="60"/>
      <c r="HN82" s="60"/>
      <c r="HO82" s="60"/>
      <c r="HP82" s="60"/>
      <c r="HQ82" s="60"/>
      <c r="HR82" s="60"/>
      <c r="HS82" s="60"/>
      <c r="HT82" s="60"/>
      <c r="HU82" s="60"/>
      <c r="HV82" s="60"/>
      <c r="HW82" s="60"/>
      <c r="HX82" s="60"/>
      <c r="HY82" s="60"/>
      <c r="HZ82" s="60"/>
      <c r="IA82" s="60"/>
      <c r="IB82" s="60"/>
      <c r="IC82" s="60"/>
      <c r="ID82" s="60"/>
      <c r="IE82" s="60"/>
      <c r="IF82" s="60"/>
      <c r="IG82" s="60"/>
      <c r="IH82" s="60"/>
      <c r="II82" s="60"/>
      <c r="IJ82" s="60"/>
      <c r="IK82" s="60"/>
      <c r="IL82" s="60"/>
      <c r="IM82" s="60"/>
      <c r="IN82" s="60"/>
      <c r="IO82" s="60"/>
      <c r="IP82" s="60"/>
      <c r="IQ82" s="60"/>
      <c r="IR82" s="60"/>
      <c r="IS82" s="60"/>
      <c r="IT82" s="60"/>
      <c r="IU82" s="60"/>
      <c r="IV82" s="60"/>
      <c r="IW82" s="60"/>
      <c r="IX82" s="60"/>
      <c r="IY82" s="60"/>
      <c r="IZ82" s="60"/>
      <c r="JA82" s="60"/>
      <c r="JB82" s="60"/>
      <c r="JC82" s="60"/>
      <c r="JD82" s="60"/>
      <c r="JE82" s="60"/>
      <c r="JF82" s="60"/>
      <c r="JG82" s="60"/>
      <c r="JH82" s="60"/>
      <c r="JI82" s="60"/>
      <c r="JJ82" s="60"/>
      <c r="JK82" s="60"/>
      <c r="JL82" s="60"/>
      <c r="JM82" s="60"/>
      <c r="JN82" s="60"/>
      <c r="JO82" s="60"/>
      <c r="JP82" s="60"/>
      <c r="JQ82" s="60"/>
      <c r="JR82" s="60"/>
      <c r="JS82" s="60"/>
      <c r="JT82" s="60"/>
      <c r="JU82" s="60"/>
      <c r="JV82" s="60"/>
      <c r="JW82" s="60"/>
      <c r="JX82" s="60"/>
      <c r="JY82" s="60"/>
      <c r="JZ82" s="60"/>
      <c r="KA82" s="60"/>
      <c r="KB82" s="60"/>
      <c r="KC82" s="60"/>
      <c r="KD82" s="60"/>
      <c r="KE82" s="60"/>
      <c r="KF82" s="60"/>
      <c r="KG82" s="60"/>
      <c r="KH82" s="60"/>
      <c r="KI82" s="60"/>
      <c r="KJ82" s="60"/>
      <c r="KK82" s="60"/>
      <c r="KL82" s="60"/>
      <c r="KM82" s="60"/>
      <c r="KN82" s="60"/>
      <c r="KO82" s="60"/>
      <c r="KP82" s="60"/>
      <c r="KQ82" s="60"/>
      <c r="KR82" s="60"/>
      <c r="KS82" s="60"/>
      <c r="KT82" s="60"/>
      <c r="KU82" s="60"/>
      <c r="KV82" s="60"/>
      <c r="KW82" s="60"/>
      <c r="KX82" s="60"/>
      <c r="KY82" s="60"/>
      <c r="KZ82" s="60"/>
      <c r="LA82" s="60"/>
      <c r="LB82" s="60"/>
      <c r="LC82" s="60"/>
      <c r="LD82" s="60"/>
      <c r="LE82" s="60"/>
      <c r="LF82" s="60"/>
      <c r="LG82" s="60"/>
      <c r="LH82" s="60"/>
    </row>
    <row r="83" spans="1:320" s="17" customFormat="1" x14ac:dyDescent="0.25">
      <c r="A83" s="147"/>
      <c r="E83" s="156"/>
      <c r="F83" s="156"/>
      <c r="G83" s="156"/>
      <c r="H83" s="156"/>
      <c r="I83" s="156"/>
      <c r="J83" s="156"/>
      <c r="K83" s="156"/>
      <c r="L83" s="156"/>
      <c r="M83" s="156"/>
      <c r="N83" s="156"/>
      <c r="O83" s="156"/>
      <c r="P83" s="156"/>
      <c r="Q83" s="156"/>
      <c r="R83" s="156"/>
      <c r="S83" s="156"/>
      <c r="AC83" s="60"/>
      <c r="AD83" s="60"/>
      <c r="AE83" s="60"/>
      <c r="AF83" s="60"/>
      <c r="AG83" s="60"/>
      <c r="AH83" s="60"/>
      <c r="AI83" s="60"/>
      <c r="AJ83" s="60"/>
      <c r="AK83" s="60"/>
      <c r="AL83" s="60"/>
      <c r="AM83" s="60"/>
      <c r="AN83" s="60"/>
      <c r="AO83" s="60"/>
      <c r="AP83" s="60"/>
      <c r="AQ83" s="60"/>
      <c r="AR83" s="60"/>
      <c r="AS83" s="60"/>
      <c r="AT83" s="60"/>
      <c r="AU83" s="60"/>
      <c r="AV83" s="60"/>
      <c r="AW83" s="60"/>
      <c r="AX83" s="60"/>
      <c r="AY83" s="60"/>
      <c r="AZ83" s="60"/>
      <c r="BA83" s="60"/>
      <c r="BB83" s="60"/>
      <c r="BC83" s="60"/>
      <c r="BD83" s="60"/>
      <c r="BE83" s="60"/>
      <c r="BF83" s="60"/>
      <c r="BG83" s="60"/>
      <c r="BH83" s="60"/>
      <c r="BI83" s="60"/>
      <c r="BJ83" s="60"/>
      <c r="BK83" s="60"/>
      <c r="BL83" s="60"/>
      <c r="BM83" s="60"/>
      <c r="BN83" s="60"/>
      <c r="BO83" s="60"/>
      <c r="BP83" s="60"/>
      <c r="BQ83" s="60"/>
      <c r="BR83" s="60"/>
      <c r="BS83" s="60"/>
      <c r="BT83" s="60"/>
      <c r="BU83" s="60"/>
      <c r="BV83" s="60"/>
      <c r="BW83" s="60"/>
      <c r="BX83" s="60"/>
      <c r="BY83" s="60"/>
      <c r="BZ83" s="60"/>
      <c r="CA83" s="60"/>
      <c r="CB83" s="60"/>
      <c r="CC83" s="60"/>
      <c r="CD83" s="60"/>
      <c r="CE83" s="60"/>
      <c r="CF83" s="60"/>
      <c r="CG83" s="60"/>
      <c r="CH83" s="60"/>
      <c r="CI83" s="60"/>
      <c r="CJ83" s="60"/>
      <c r="CK83" s="60"/>
      <c r="CL83" s="60"/>
      <c r="CM83" s="60"/>
      <c r="CN83" s="60"/>
      <c r="CO83" s="60"/>
      <c r="CP83" s="60"/>
      <c r="CQ83" s="60"/>
      <c r="CR83" s="60"/>
      <c r="CS83" s="60"/>
      <c r="CT83" s="60"/>
      <c r="CU83" s="60"/>
      <c r="CV83" s="60"/>
      <c r="CW83" s="60"/>
      <c r="CX83" s="60"/>
      <c r="CY83" s="60"/>
      <c r="CZ83" s="60"/>
      <c r="DA83" s="60"/>
      <c r="DB83" s="60"/>
      <c r="DC83" s="60"/>
      <c r="DD83" s="60"/>
      <c r="DE83" s="60"/>
      <c r="DF83" s="60"/>
      <c r="DG83" s="60"/>
      <c r="DH83" s="60"/>
      <c r="DI83" s="60"/>
      <c r="DJ83" s="60"/>
      <c r="DK83" s="60"/>
      <c r="DL83" s="60"/>
      <c r="DM83" s="60"/>
      <c r="DN83" s="60"/>
      <c r="DO83" s="60"/>
      <c r="DP83" s="60"/>
      <c r="DQ83" s="60"/>
      <c r="DR83" s="60"/>
      <c r="DS83" s="60"/>
      <c r="DT83" s="60"/>
      <c r="DU83" s="60"/>
      <c r="DV83" s="60"/>
      <c r="DW83" s="60"/>
      <c r="DX83" s="60"/>
      <c r="DY83" s="60"/>
      <c r="DZ83" s="60"/>
      <c r="EA83" s="60"/>
      <c r="EB83" s="60"/>
      <c r="EC83" s="60"/>
      <c r="ED83" s="60"/>
      <c r="EE83" s="60"/>
      <c r="EF83" s="60"/>
      <c r="EG83" s="60"/>
      <c r="EH83" s="60"/>
      <c r="EI83" s="60"/>
      <c r="EJ83" s="60"/>
      <c r="EK83" s="60"/>
      <c r="EL83" s="60"/>
      <c r="EM83" s="60"/>
      <c r="EN83" s="60"/>
      <c r="EO83" s="60"/>
      <c r="EP83" s="60"/>
      <c r="EQ83" s="60"/>
      <c r="ER83" s="60"/>
      <c r="ES83" s="60"/>
      <c r="ET83" s="60"/>
      <c r="EU83" s="60"/>
      <c r="EV83" s="60"/>
      <c r="EW83" s="60"/>
      <c r="EX83" s="60"/>
      <c r="EY83" s="60"/>
      <c r="EZ83" s="60"/>
      <c r="FA83" s="60"/>
      <c r="FB83" s="60"/>
      <c r="FC83" s="60"/>
      <c r="FD83" s="60"/>
      <c r="FE83" s="60"/>
      <c r="FF83" s="60"/>
      <c r="FG83" s="60"/>
      <c r="FH83" s="60"/>
      <c r="FI83" s="60"/>
      <c r="FJ83" s="60"/>
      <c r="FK83" s="60"/>
      <c r="FL83" s="60"/>
      <c r="FM83" s="60"/>
      <c r="FN83" s="60"/>
      <c r="FO83" s="60"/>
      <c r="FP83" s="60"/>
      <c r="FQ83" s="60"/>
      <c r="FR83" s="60"/>
      <c r="FS83" s="60"/>
      <c r="FT83" s="60"/>
      <c r="FU83" s="60"/>
      <c r="FV83" s="60"/>
      <c r="FW83" s="60"/>
      <c r="FX83" s="60"/>
      <c r="FY83" s="60"/>
      <c r="FZ83" s="60"/>
      <c r="GA83" s="60"/>
      <c r="GB83" s="60"/>
      <c r="GC83" s="60"/>
      <c r="GD83" s="60"/>
      <c r="GE83" s="60"/>
      <c r="GF83" s="60"/>
      <c r="GG83" s="60"/>
      <c r="GH83" s="60"/>
      <c r="GI83" s="60"/>
      <c r="GJ83" s="60"/>
      <c r="GK83" s="60"/>
      <c r="GL83" s="60"/>
      <c r="GM83" s="60"/>
      <c r="GN83" s="60"/>
      <c r="GO83" s="60"/>
      <c r="GP83" s="60"/>
      <c r="GQ83" s="60"/>
      <c r="GR83" s="60"/>
      <c r="GS83" s="60"/>
      <c r="GT83" s="60"/>
      <c r="GU83" s="60"/>
      <c r="GV83" s="60"/>
      <c r="GW83" s="60"/>
      <c r="GX83" s="60"/>
      <c r="GY83" s="60"/>
      <c r="GZ83" s="60"/>
      <c r="HA83" s="60"/>
      <c r="HB83" s="60"/>
      <c r="HC83" s="60"/>
      <c r="HD83" s="60"/>
      <c r="HE83" s="60"/>
      <c r="HF83" s="60"/>
      <c r="HG83" s="60"/>
      <c r="HH83" s="60"/>
      <c r="HI83" s="60"/>
      <c r="HJ83" s="60"/>
      <c r="HK83" s="60"/>
      <c r="HL83" s="60"/>
      <c r="HM83" s="60"/>
      <c r="HN83" s="60"/>
      <c r="HO83" s="60"/>
      <c r="HP83" s="60"/>
      <c r="HQ83" s="60"/>
      <c r="HR83" s="60"/>
      <c r="HS83" s="60"/>
      <c r="HT83" s="60"/>
      <c r="HU83" s="60"/>
      <c r="HV83" s="60"/>
      <c r="HW83" s="60"/>
      <c r="HX83" s="60"/>
      <c r="HY83" s="60"/>
      <c r="HZ83" s="60"/>
      <c r="IA83" s="60"/>
      <c r="IB83" s="60"/>
      <c r="IC83" s="60"/>
      <c r="ID83" s="60"/>
      <c r="IE83" s="60"/>
      <c r="IF83" s="60"/>
      <c r="IG83" s="60"/>
      <c r="IH83" s="60"/>
      <c r="II83" s="60"/>
      <c r="IJ83" s="60"/>
      <c r="IK83" s="60"/>
      <c r="IL83" s="60"/>
      <c r="IM83" s="60"/>
      <c r="IN83" s="60"/>
      <c r="IO83" s="60"/>
      <c r="IP83" s="60"/>
      <c r="IQ83" s="60"/>
      <c r="IR83" s="60"/>
      <c r="IS83" s="60"/>
      <c r="IT83" s="60"/>
      <c r="IU83" s="60"/>
      <c r="IV83" s="60"/>
      <c r="IW83" s="60"/>
      <c r="IX83" s="60"/>
      <c r="IY83" s="60"/>
      <c r="IZ83" s="60"/>
      <c r="JA83" s="60"/>
      <c r="JB83" s="60"/>
      <c r="JC83" s="60"/>
      <c r="JD83" s="60"/>
      <c r="JE83" s="60"/>
      <c r="JF83" s="60"/>
      <c r="JG83" s="60"/>
      <c r="JH83" s="60"/>
      <c r="JI83" s="60"/>
      <c r="JJ83" s="60"/>
      <c r="JK83" s="60"/>
      <c r="JL83" s="60"/>
      <c r="JM83" s="60"/>
      <c r="JN83" s="60"/>
      <c r="JO83" s="60"/>
      <c r="JP83" s="60"/>
      <c r="JQ83" s="60"/>
      <c r="JR83" s="60"/>
      <c r="JS83" s="60"/>
      <c r="JT83" s="60"/>
      <c r="JU83" s="60"/>
      <c r="JV83" s="60"/>
      <c r="JW83" s="60"/>
      <c r="JX83" s="60"/>
      <c r="JY83" s="60"/>
      <c r="JZ83" s="60"/>
      <c r="KA83" s="60"/>
      <c r="KB83" s="60"/>
      <c r="KC83" s="60"/>
      <c r="KD83" s="60"/>
      <c r="KE83" s="60"/>
      <c r="KF83" s="60"/>
      <c r="KG83" s="60"/>
      <c r="KH83" s="60"/>
      <c r="KI83" s="60"/>
      <c r="KJ83" s="60"/>
      <c r="KK83" s="60"/>
      <c r="KL83" s="60"/>
      <c r="KM83" s="60"/>
      <c r="KN83" s="60"/>
      <c r="KO83" s="60"/>
      <c r="KP83" s="60"/>
      <c r="KQ83" s="60"/>
      <c r="KR83" s="60"/>
      <c r="KS83" s="60"/>
      <c r="KT83" s="60"/>
      <c r="KU83" s="60"/>
      <c r="KV83" s="60"/>
      <c r="KW83" s="60"/>
      <c r="KX83" s="60"/>
      <c r="KY83" s="60"/>
      <c r="KZ83" s="60"/>
      <c r="LA83" s="60"/>
      <c r="LB83" s="60"/>
      <c r="LC83" s="60"/>
      <c r="LD83" s="60"/>
      <c r="LE83" s="60"/>
      <c r="LF83" s="60"/>
      <c r="LG83" s="60"/>
      <c r="LH83" s="60"/>
    </row>
    <row r="84" spans="1:320" s="17" customFormat="1" x14ac:dyDescent="0.25">
      <c r="A84" s="147"/>
      <c r="E84" s="156"/>
      <c r="F84" s="156"/>
      <c r="G84" s="156"/>
      <c r="H84" s="156"/>
      <c r="I84" s="156"/>
      <c r="J84" s="156"/>
      <c r="K84" s="156"/>
      <c r="L84" s="156"/>
      <c r="M84" s="156"/>
      <c r="N84" s="156"/>
      <c r="O84" s="156"/>
      <c r="P84" s="156"/>
      <c r="Q84" s="156"/>
      <c r="R84" s="156"/>
      <c r="S84" s="156"/>
      <c r="AC84" s="60"/>
      <c r="AD84" s="60"/>
      <c r="AE84" s="60"/>
      <c r="AF84" s="60"/>
      <c r="AG84" s="60"/>
      <c r="AH84" s="60"/>
      <c r="AI84" s="60"/>
      <c r="AJ84" s="60"/>
      <c r="AK84" s="60"/>
      <c r="AL84" s="60"/>
      <c r="AM84" s="60"/>
      <c r="AN84" s="60"/>
      <c r="AO84" s="60"/>
      <c r="AP84" s="60"/>
      <c r="AQ84" s="60"/>
      <c r="AR84" s="60"/>
      <c r="AS84" s="60"/>
      <c r="AT84" s="60"/>
      <c r="AU84" s="60"/>
      <c r="AV84" s="60"/>
      <c r="AW84" s="60"/>
      <c r="AX84" s="60"/>
      <c r="AY84" s="60"/>
      <c r="AZ84" s="60"/>
      <c r="BA84" s="60"/>
      <c r="BB84" s="60"/>
      <c r="BC84" s="60"/>
      <c r="BD84" s="60"/>
      <c r="BE84" s="60"/>
      <c r="BF84" s="60"/>
      <c r="BG84" s="60"/>
      <c r="BH84" s="60"/>
      <c r="BI84" s="60"/>
      <c r="BJ84" s="60"/>
      <c r="BK84" s="60"/>
      <c r="BL84" s="60"/>
      <c r="BM84" s="60"/>
      <c r="BN84" s="60"/>
      <c r="BO84" s="60"/>
      <c r="BP84" s="60"/>
      <c r="BQ84" s="60"/>
      <c r="BR84" s="60"/>
      <c r="BS84" s="60"/>
      <c r="BT84" s="60"/>
      <c r="BU84" s="60"/>
      <c r="BV84" s="60"/>
      <c r="BW84" s="60"/>
      <c r="BX84" s="60"/>
      <c r="BY84" s="60"/>
      <c r="BZ84" s="60"/>
      <c r="CA84" s="60"/>
      <c r="CB84" s="60"/>
      <c r="CC84" s="60"/>
      <c r="CD84" s="60"/>
      <c r="CE84" s="60"/>
      <c r="CF84" s="60"/>
      <c r="CG84" s="60"/>
      <c r="CH84" s="60"/>
      <c r="CI84" s="60"/>
      <c r="CJ84" s="60"/>
      <c r="CK84" s="60"/>
      <c r="CL84" s="60"/>
      <c r="CM84" s="60"/>
      <c r="CN84" s="60"/>
      <c r="CO84" s="60"/>
      <c r="CP84" s="60"/>
      <c r="CQ84" s="60"/>
      <c r="CR84" s="60"/>
      <c r="CS84" s="60"/>
      <c r="CT84" s="60"/>
      <c r="CU84" s="60"/>
      <c r="CV84" s="60"/>
      <c r="CW84" s="60"/>
      <c r="CX84" s="60"/>
      <c r="CY84" s="60"/>
      <c r="CZ84" s="60"/>
      <c r="DA84" s="60"/>
      <c r="DB84" s="60"/>
      <c r="DC84" s="60"/>
      <c r="DD84" s="60"/>
      <c r="DE84" s="60"/>
      <c r="DF84" s="60"/>
      <c r="DG84" s="60"/>
      <c r="DH84" s="60"/>
      <c r="DI84" s="60"/>
      <c r="DJ84" s="60"/>
      <c r="DK84" s="60"/>
      <c r="DL84" s="60"/>
      <c r="DM84" s="60"/>
      <c r="DN84" s="60"/>
      <c r="DO84" s="60"/>
      <c r="DP84" s="60"/>
      <c r="DQ84" s="60"/>
      <c r="DR84" s="60"/>
      <c r="DS84" s="60"/>
      <c r="DT84" s="60"/>
      <c r="DU84" s="60"/>
      <c r="DV84" s="60"/>
      <c r="DW84" s="60"/>
      <c r="DX84" s="60"/>
      <c r="DY84" s="60"/>
      <c r="DZ84" s="60"/>
      <c r="EA84" s="60"/>
      <c r="EB84" s="60"/>
      <c r="EC84" s="60"/>
      <c r="ED84" s="60"/>
      <c r="EE84" s="60"/>
      <c r="EF84" s="60"/>
      <c r="EG84" s="60"/>
      <c r="EH84" s="60"/>
      <c r="EI84" s="60"/>
      <c r="EJ84" s="60"/>
      <c r="EK84" s="60"/>
      <c r="EL84" s="60"/>
      <c r="EM84" s="60"/>
      <c r="EN84" s="60"/>
      <c r="EO84" s="60"/>
      <c r="EP84" s="60"/>
      <c r="EQ84" s="60"/>
      <c r="ER84" s="60"/>
      <c r="ES84" s="60"/>
      <c r="ET84" s="60"/>
      <c r="EU84" s="60"/>
      <c r="EV84" s="60"/>
      <c r="EW84" s="60"/>
      <c r="EX84" s="60"/>
      <c r="EY84" s="60"/>
      <c r="EZ84" s="60"/>
      <c r="FA84" s="60"/>
      <c r="FB84" s="60"/>
      <c r="FC84" s="60"/>
      <c r="FD84" s="60"/>
      <c r="FE84" s="60"/>
      <c r="FF84" s="60"/>
      <c r="FG84" s="60"/>
      <c r="FH84" s="60"/>
      <c r="FI84" s="60"/>
      <c r="FJ84" s="60"/>
      <c r="FK84" s="60"/>
      <c r="FL84" s="60"/>
      <c r="FM84" s="60"/>
      <c r="FN84" s="60"/>
      <c r="FO84" s="60"/>
      <c r="FP84" s="60"/>
      <c r="FQ84" s="60"/>
      <c r="FR84" s="60"/>
      <c r="FS84" s="60"/>
      <c r="FT84" s="60"/>
      <c r="FU84" s="60"/>
      <c r="FV84" s="60"/>
      <c r="FW84" s="60"/>
      <c r="FX84" s="60"/>
      <c r="FY84" s="60"/>
      <c r="FZ84" s="60"/>
      <c r="GA84" s="60"/>
      <c r="GB84" s="60"/>
      <c r="GC84" s="60"/>
      <c r="GD84" s="60"/>
      <c r="GE84" s="60"/>
      <c r="GF84" s="60"/>
      <c r="GG84" s="60"/>
      <c r="GH84" s="60"/>
      <c r="GI84" s="60"/>
      <c r="GJ84" s="60"/>
      <c r="GK84" s="60"/>
      <c r="GL84" s="60"/>
      <c r="GM84" s="60"/>
      <c r="GN84" s="60"/>
      <c r="GO84" s="60"/>
      <c r="GP84" s="60"/>
      <c r="GQ84" s="60"/>
      <c r="GR84" s="60"/>
      <c r="GS84" s="60"/>
      <c r="GT84" s="60"/>
      <c r="GU84" s="60"/>
      <c r="GV84" s="60"/>
      <c r="GW84" s="60"/>
      <c r="GX84" s="60"/>
      <c r="GY84" s="60"/>
      <c r="GZ84" s="60"/>
      <c r="HA84" s="60"/>
      <c r="HB84" s="60"/>
      <c r="HC84" s="60"/>
      <c r="HD84" s="60"/>
      <c r="HE84" s="60"/>
      <c r="HF84" s="60"/>
      <c r="HG84" s="60"/>
      <c r="HH84" s="60"/>
      <c r="HI84" s="60"/>
      <c r="HJ84" s="60"/>
      <c r="HK84" s="60"/>
      <c r="HL84" s="60"/>
      <c r="HM84" s="60"/>
      <c r="HN84" s="60"/>
      <c r="HO84" s="60"/>
      <c r="HP84" s="60"/>
      <c r="HQ84" s="60"/>
      <c r="HR84" s="60"/>
      <c r="HS84" s="60"/>
      <c r="HT84" s="60"/>
      <c r="HU84" s="60"/>
      <c r="HV84" s="60"/>
      <c r="HW84" s="60"/>
      <c r="HX84" s="60"/>
      <c r="HY84" s="60"/>
      <c r="HZ84" s="60"/>
      <c r="IA84" s="60"/>
      <c r="IB84" s="60"/>
      <c r="IC84" s="60"/>
      <c r="ID84" s="60"/>
      <c r="IE84" s="60"/>
      <c r="IF84" s="60"/>
      <c r="IG84" s="60"/>
      <c r="IH84" s="60"/>
      <c r="II84" s="60"/>
      <c r="IJ84" s="60"/>
      <c r="IK84" s="60"/>
      <c r="IL84" s="60"/>
      <c r="IM84" s="60"/>
      <c r="IN84" s="60"/>
      <c r="IO84" s="60"/>
      <c r="IP84" s="60"/>
      <c r="IQ84" s="60"/>
      <c r="IR84" s="60"/>
      <c r="IS84" s="60"/>
      <c r="IT84" s="60"/>
      <c r="IU84" s="60"/>
      <c r="IV84" s="60"/>
      <c r="IW84" s="60"/>
      <c r="IX84" s="60"/>
      <c r="IY84" s="60"/>
      <c r="IZ84" s="60"/>
      <c r="JA84" s="60"/>
      <c r="JB84" s="60"/>
      <c r="JC84" s="60"/>
      <c r="JD84" s="60"/>
      <c r="JE84" s="60"/>
      <c r="JF84" s="60"/>
      <c r="JG84" s="60"/>
      <c r="JH84" s="60"/>
      <c r="JI84" s="60"/>
      <c r="JJ84" s="60"/>
      <c r="JK84" s="60"/>
      <c r="JL84" s="60"/>
      <c r="JM84" s="60"/>
      <c r="JN84" s="60"/>
      <c r="JO84" s="60"/>
      <c r="JP84" s="60"/>
      <c r="JQ84" s="60"/>
      <c r="JR84" s="60"/>
      <c r="JS84" s="60"/>
      <c r="JT84" s="60"/>
      <c r="JU84" s="60"/>
      <c r="JV84" s="60"/>
      <c r="JW84" s="60"/>
      <c r="JX84" s="60"/>
      <c r="JY84" s="60"/>
      <c r="JZ84" s="60"/>
      <c r="KA84" s="60"/>
      <c r="KB84" s="60"/>
      <c r="KC84" s="60"/>
      <c r="KD84" s="60"/>
      <c r="KE84" s="60"/>
      <c r="KF84" s="60"/>
      <c r="KG84" s="60"/>
      <c r="KH84" s="60"/>
      <c r="KI84" s="60"/>
      <c r="KJ84" s="60"/>
      <c r="KK84" s="60"/>
      <c r="KL84" s="60"/>
      <c r="KM84" s="60"/>
      <c r="KN84" s="60"/>
      <c r="KO84" s="60"/>
      <c r="KP84" s="60"/>
      <c r="KQ84" s="60"/>
      <c r="KR84" s="60"/>
      <c r="KS84" s="60"/>
      <c r="KT84" s="60"/>
      <c r="KU84" s="60"/>
      <c r="KV84" s="60"/>
      <c r="KW84" s="60"/>
      <c r="KX84" s="60"/>
      <c r="KY84" s="60"/>
      <c r="KZ84" s="60"/>
      <c r="LA84" s="60"/>
      <c r="LB84" s="60"/>
      <c r="LC84" s="60"/>
      <c r="LD84" s="60"/>
      <c r="LE84" s="60"/>
      <c r="LF84" s="60"/>
      <c r="LG84" s="60"/>
      <c r="LH84" s="60"/>
    </row>
    <row r="85" spans="1:320" s="17" customFormat="1" x14ac:dyDescent="0.25">
      <c r="A85" s="147"/>
      <c r="E85" s="156"/>
      <c r="F85" s="156"/>
      <c r="G85" s="156"/>
      <c r="H85" s="156"/>
      <c r="I85" s="156"/>
      <c r="J85" s="156"/>
      <c r="K85" s="156"/>
      <c r="L85" s="156"/>
      <c r="M85" s="156"/>
      <c r="N85" s="156"/>
      <c r="O85" s="156"/>
      <c r="P85" s="156"/>
      <c r="Q85" s="156"/>
      <c r="R85" s="156"/>
      <c r="S85" s="156"/>
      <c r="AC85" s="60"/>
      <c r="AD85" s="60"/>
      <c r="AE85" s="60"/>
      <c r="AF85" s="60"/>
      <c r="AG85" s="60"/>
      <c r="AH85" s="60"/>
      <c r="AI85" s="60"/>
      <c r="AJ85" s="60"/>
      <c r="AK85" s="60"/>
      <c r="AL85" s="60"/>
      <c r="AM85" s="60"/>
      <c r="AN85" s="60"/>
      <c r="AO85" s="60"/>
      <c r="AP85" s="60"/>
      <c r="AQ85" s="60"/>
      <c r="AR85" s="60"/>
      <c r="AS85" s="60"/>
      <c r="AT85" s="60"/>
      <c r="AU85" s="60"/>
      <c r="AV85" s="60"/>
      <c r="AW85" s="60"/>
      <c r="AX85" s="60"/>
      <c r="AY85" s="60"/>
      <c r="AZ85" s="60"/>
      <c r="BA85" s="60"/>
      <c r="BB85" s="60"/>
      <c r="BC85" s="60"/>
      <c r="BD85" s="60"/>
      <c r="BE85" s="60"/>
      <c r="BF85" s="60"/>
      <c r="BG85" s="60"/>
      <c r="BH85" s="60"/>
      <c r="BI85" s="60"/>
      <c r="BJ85" s="60"/>
      <c r="BK85" s="60"/>
      <c r="BL85" s="60"/>
      <c r="BM85" s="60"/>
      <c r="BN85" s="60"/>
      <c r="BO85" s="60"/>
      <c r="BP85" s="60"/>
      <c r="BQ85" s="60"/>
      <c r="BR85" s="60"/>
      <c r="BS85" s="60"/>
      <c r="BT85" s="60"/>
      <c r="BU85" s="60"/>
      <c r="BV85" s="60"/>
      <c r="BW85" s="60"/>
      <c r="BX85" s="60"/>
      <c r="BY85" s="60"/>
      <c r="BZ85" s="60"/>
      <c r="CA85" s="60"/>
      <c r="CB85" s="60"/>
      <c r="CC85" s="60"/>
      <c r="CD85" s="60"/>
      <c r="CE85" s="60"/>
      <c r="CF85" s="60"/>
      <c r="CG85" s="60"/>
      <c r="CH85" s="60"/>
      <c r="CI85" s="60"/>
      <c r="CJ85" s="60"/>
      <c r="CK85" s="60"/>
      <c r="CL85" s="60"/>
      <c r="CM85" s="60"/>
      <c r="CN85" s="60"/>
      <c r="CO85" s="60"/>
      <c r="CP85" s="60"/>
      <c r="CQ85" s="60"/>
      <c r="CR85" s="60"/>
      <c r="CS85" s="60"/>
      <c r="CT85" s="60"/>
      <c r="CU85" s="60"/>
      <c r="CV85" s="60"/>
      <c r="CW85" s="60"/>
      <c r="CX85" s="60"/>
      <c r="CY85" s="60"/>
      <c r="CZ85" s="60"/>
      <c r="DA85" s="60"/>
      <c r="DB85" s="60"/>
      <c r="DC85" s="60"/>
      <c r="DD85" s="60"/>
      <c r="DE85" s="60"/>
      <c r="DF85" s="60"/>
      <c r="DG85" s="60"/>
      <c r="DH85" s="60"/>
      <c r="DI85" s="60"/>
      <c r="DJ85" s="60"/>
      <c r="DK85" s="60"/>
      <c r="DL85" s="60"/>
      <c r="DM85" s="60"/>
      <c r="DN85" s="60"/>
      <c r="DO85" s="60"/>
      <c r="DP85" s="60"/>
      <c r="DQ85" s="60"/>
      <c r="DR85" s="60"/>
      <c r="DS85" s="60"/>
      <c r="DT85" s="60"/>
      <c r="DU85" s="60"/>
      <c r="DV85" s="60"/>
      <c r="DW85" s="60"/>
      <c r="DX85" s="60"/>
      <c r="DY85" s="60"/>
      <c r="DZ85" s="60"/>
      <c r="EA85" s="60"/>
      <c r="EB85" s="60"/>
      <c r="EC85" s="60"/>
      <c r="ED85" s="60"/>
      <c r="EE85" s="60"/>
      <c r="EF85" s="60"/>
      <c r="EG85" s="60"/>
      <c r="EH85" s="60"/>
      <c r="EI85" s="60"/>
      <c r="EJ85" s="60"/>
      <c r="EK85" s="60"/>
      <c r="EL85" s="60"/>
      <c r="EM85" s="60"/>
      <c r="EN85" s="60"/>
      <c r="EO85" s="60"/>
      <c r="EP85" s="60"/>
      <c r="EQ85" s="60"/>
      <c r="ER85" s="60"/>
      <c r="ES85" s="60"/>
      <c r="ET85" s="60"/>
      <c r="EU85" s="60"/>
      <c r="EV85" s="60"/>
      <c r="EW85" s="60"/>
      <c r="EX85" s="60"/>
      <c r="EY85" s="60"/>
      <c r="EZ85" s="60"/>
      <c r="FA85" s="60"/>
      <c r="FB85" s="60"/>
      <c r="FC85" s="60"/>
      <c r="FD85" s="60"/>
      <c r="FE85" s="60"/>
      <c r="FF85" s="60"/>
      <c r="FG85" s="60"/>
      <c r="FH85" s="60"/>
      <c r="FI85" s="60"/>
      <c r="FJ85" s="60"/>
      <c r="FK85" s="60"/>
      <c r="FL85" s="60"/>
      <c r="FM85" s="60"/>
      <c r="FN85" s="60"/>
      <c r="FO85" s="60"/>
      <c r="FP85" s="60"/>
      <c r="FQ85" s="60"/>
      <c r="FR85" s="60"/>
      <c r="FS85" s="60"/>
      <c r="FT85" s="60"/>
      <c r="FU85" s="60"/>
      <c r="FV85" s="60"/>
      <c r="FW85" s="60"/>
      <c r="FX85" s="60"/>
      <c r="FY85" s="60"/>
      <c r="FZ85" s="60"/>
      <c r="GA85" s="60"/>
      <c r="GB85" s="60"/>
      <c r="GC85" s="60"/>
      <c r="GD85" s="60"/>
      <c r="GE85" s="60"/>
      <c r="GF85" s="60"/>
      <c r="GG85" s="60"/>
      <c r="GH85" s="60"/>
      <c r="GI85" s="60"/>
      <c r="GJ85" s="60"/>
      <c r="GK85" s="60"/>
      <c r="GL85" s="60"/>
      <c r="GM85" s="60"/>
      <c r="GN85" s="60"/>
      <c r="GO85" s="60"/>
      <c r="GP85" s="60"/>
      <c r="GQ85" s="60"/>
      <c r="GR85" s="60"/>
      <c r="GS85" s="60"/>
      <c r="GT85" s="60"/>
      <c r="GU85" s="60"/>
      <c r="GV85" s="60"/>
      <c r="GW85" s="60"/>
      <c r="GX85" s="60"/>
      <c r="GY85" s="60"/>
      <c r="GZ85" s="60"/>
      <c r="HA85" s="60"/>
      <c r="HB85" s="60"/>
      <c r="HC85" s="60"/>
      <c r="HD85" s="60"/>
      <c r="HE85" s="60"/>
      <c r="HF85" s="60"/>
      <c r="HG85" s="60"/>
      <c r="HH85" s="60"/>
      <c r="HI85" s="60"/>
      <c r="HJ85" s="60"/>
      <c r="HK85" s="60"/>
      <c r="HL85" s="60"/>
      <c r="HM85" s="60"/>
      <c r="HN85" s="60"/>
      <c r="HO85" s="60"/>
      <c r="HP85" s="60"/>
      <c r="HQ85" s="60"/>
      <c r="HR85" s="60"/>
      <c r="HS85" s="60"/>
      <c r="HT85" s="60"/>
      <c r="HU85" s="60"/>
      <c r="HV85" s="60"/>
      <c r="HW85" s="60"/>
      <c r="HX85" s="60"/>
      <c r="HY85" s="60"/>
      <c r="HZ85" s="60"/>
      <c r="IA85" s="60"/>
      <c r="IB85" s="60"/>
      <c r="IC85" s="60"/>
      <c r="ID85" s="60"/>
      <c r="IE85" s="60"/>
      <c r="IF85" s="60"/>
      <c r="IG85" s="60"/>
      <c r="IH85" s="60"/>
      <c r="II85" s="60"/>
      <c r="IJ85" s="60"/>
      <c r="IK85" s="60"/>
      <c r="IL85" s="60"/>
      <c r="IM85" s="60"/>
      <c r="IN85" s="60"/>
      <c r="IO85" s="60"/>
      <c r="IP85" s="60"/>
      <c r="IQ85" s="60"/>
      <c r="IR85" s="60"/>
      <c r="IS85" s="60"/>
      <c r="IT85" s="60"/>
      <c r="IU85" s="60"/>
      <c r="IV85" s="60"/>
      <c r="IW85" s="60"/>
      <c r="IX85" s="60"/>
      <c r="IY85" s="60"/>
      <c r="IZ85" s="60"/>
      <c r="JA85" s="60"/>
      <c r="JB85" s="60"/>
      <c r="JC85" s="60"/>
      <c r="JD85" s="60"/>
      <c r="JE85" s="60"/>
      <c r="JF85" s="60"/>
      <c r="JG85" s="60"/>
      <c r="JH85" s="60"/>
      <c r="JI85" s="60"/>
      <c r="JJ85" s="60"/>
      <c r="JK85" s="60"/>
      <c r="JL85" s="60"/>
      <c r="JM85" s="60"/>
      <c r="JN85" s="60"/>
      <c r="JO85" s="60"/>
      <c r="JP85" s="60"/>
      <c r="JQ85" s="60"/>
      <c r="JR85" s="60"/>
      <c r="JS85" s="60"/>
      <c r="JT85" s="60"/>
      <c r="JU85" s="60"/>
      <c r="JV85" s="60"/>
      <c r="JW85" s="60"/>
      <c r="JX85" s="60"/>
      <c r="JY85" s="60"/>
      <c r="JZ85" s="60"/>
      <c r="KA85" s="60"/>
      <c r="KB85" s="60"/>
      <c r="KC85" s="60"/>
      <c r="KD85" s="60"/>
      <c r="KE85" s="60"/>
      <c r="KF85" s="60"/>
      <c r="KG85" s="60"/>
      <c r="KH85" s="60"/>
      <c r="KI85" s="60"/>
      <c r="KJ85" s="60"/>
      <c r="KK85" s="60"/>
      <c r="KL85" s="60"/>
      <c r="KM85" s="60"/>
      <c r="KN85" s="60"/>
      <c r="KO85" s="60"/>
      <c r="KP85" s="60"/>
      <c r="KQ85" s="60"/>
      <c r="KR85" s="60"/>
      <c r="KS85" s="60"/>
      <c r="KT85" s="60"/>
      <c r="KU85" s="60"/>
      <c r="KV85" s="60"/>
      <c r="KW85" s="60"/>
      <c r="KX85" s="60"/>
      <c r="KY85" s="60"/>
      <c r="KZ85" s="60"/>
      <c r="LA85" s="60"/>
      <c r="LB85" s="60"/>
      <c r="LC85" s="60"/>
      <c r="LD85" s="60"/>
      <c r="LE85" s="60"/>
      <c r="LF85" s="60"/>
      <c r="LG85" s="60"/>
      <c r="LH85" s="60"/>
    </row>
    <row r="86" spans="1:320" s="17" customFormat="1" x14ac:dyDescent="0.25">
      <c r="A86" s="147"/>
      <c r="E86" s="156"/>
      <c r="F86" s="156"/>
      <c r="G86" s="156"/>
      <c r="H86" s="156"/>
      <c r="I86" s="156"/>
      <c r="J86" s="156"/>
      <c r="K86" s="156"/>
      <c r="L86" s="156"/>
      <c r="M86" s="156"/>
      <c r="N86" s="156"/>
      <c r="O86" s="156"/>
      <c r="P86" s="156"/>
      <c r="Q86" s="156"/>
      <c r="R86" s="156"/>
      <c r="S86" s="156"/>
      <c r="AC86" s="60"/>
      <c r="AD86" s="60"/>
      <c r="AE86" s="60"/>
      <c r="AF86" s="60"/>
      <c r="AG86" s="60"/>
      <c r="AH86" s="60"/>
      <c r="AI86" s="60"/>
      <c r="AJ86" s="60"/>
      <c r="AK86" s="60"/>
      <c r="AL86" s="60"/>
      <c r="AM86" s="60"/>
      <c r="AN86" s="60"/>
      <c r="AO86" s="60"/>
      <c r="AP86" s="60"/>
      <c r="AQ86" s="60"/>
      <c r="AR86" s="60"/>
      <c r="AS86" s="60"/>
      <c r="AT86" s="60"/>
      <c r="AU86" s="60"/>
      <c r="AV86" s="60"/>
      <c r="AW86" s="60"/>
      <c r="AX86" s="60"/>
      <c r="AY86" s="60"/>
      <c r="AZ86" s="60"/>
      <c r="BA86" s="60"/>
      <c r="BB86" s="60"/>
      <c r="BC86" s="60"/>
      <c r="BD86" s="60"/>
      <c r="BE86" s="60"/>
      <c r="BF86" s="60"/>
      <c r="BG86" s="60"/>
      <c r="BH86" s="60"/>
      <c r="BI86" s="60"/>
      <c r="BJ86" s="60"/>
      <c r="BK86" s="60"/>
      <c r="BL86" s="60"/>
      <c r="BM86" s="60"/>
      <c r="BN86" s="60"/>
      <c r="BO86" s="60"/>
      <c r="BP86" s="60"/>
      <c r="BQ86" s="60"/>
      <c r="BR86" s="60"/>
      <c r="BS86" s="60"/>
      <c r="BT86" s="60"/>
      <c r="BU86" s="60"/>
      <c r="BV86" s="60"/>
      <c r="BW86" s="60"/>
      <c r="BX86" s="60"/>
      <c r="BY86" s="60"/>
      <c r="BZ86" s="60"/>
      <c r="CA86" s="60"/>
      <c r="CB86" s="60"/>
      <c r="CC86" s="60"/>
      <c r="CD86" s="60"/>
      <c r="CE86" s="60"/>
      <c r="CF86" s="60"/>
      <c r="CG86" s="60"/>
      <c r="CH86" s="60"/>
      <c r="CI86" s="60"/>
      <c r="CJ86" s="60"/>
      <c r="CK86" s="60"/>
      <c r="CL86" s="60"/>
      <c r="CM86" s="60"/>
      <c r="CN86" s="60"/>
      <c r="CO86" s="60"/>
      <c r="CP86" s="60"/>
      <c r="CQ86" s="60"/>
      <c r="CR86" s="60"/>
      <c r="CS86" s="60"/>
      <c r="CT86" s="60"/>
      <c r="CU86" s="60"/>
      <c r="CV86" s="60"/>
      <c r="CW86" s="60"/>
      <c r="CX86" s="60"/>
      <c r="CY86" s="60"/>
      <c r="CZ86" s="60"/>
      <c r="DA86" s="60"/>
      <c r="DB86" s="60"/>
      <c r="DC86" s="60"/>
      <c r="DD86" s="60"/>
      <c r="DE86" s="60"/>
      <c r="DF86" s="60"/>
      <c r="DG86" s="60"/>
      <c r="DH86" s="60"/>
      <c r="DI86" s="60"/>
      <c r="DJ86" s="60"/>
      <c r="DK86" s="60"/>
      <c r="DL86" s="60"/>
      <c r="DM86" s="60"/>
      <c r="DN86" s="60"/>
      <c r="DO86" s="60"/>
      <c r="DP86" s="60"/>
      <c r="DQ86" s="60"/>
      <c r="DR86" s="60"/>
      <c r="DS86" s="60"/>
      <c r="DT86" s="60"/>
      <c r="DU86" s="60"/>
      <c r="DV86" s="60"/>
      <c r="DW86" s="60"/>
      <c r="DX86" s="60"/>
      <c r="DY86" s="60"/>
      <c r="DZ86" s="60"/>
      <c r="EA86" s="60"/>
      <c r="EB86" s="60"/>
      <c r="EC86" s="60"/>
      <c r="ED86" s="60"/>
      <c r="EE86" s="60"/>
      <c r="EF86" s="60"/>
      <c r="EG86" s="60"/>
      <c r="EH86" s="60"/>
      <c r="EI86" s="60"/>
      <c r="EJ86" s="60"/>
      <c r="EK86" s="60"/>
      <c r="EL86" s="60"/>
      <c r="EM86" s="60"/>
      <c r="EN86" s="60"/>
      <c r="EO86" s="60"/>
      <c r="EP86" s="60"/>
      <c r="EQ86" s="60"/>
      <c r="ER86" s="60"/>
      <c r="ES86" s="60"/>
      <c r="ET86" s="60"/>
      <c r="EU86" s="60"/>
      <c r="EV86" s="60"/>
      <c r="EW86" s="60"/>
      <c r="EX86" s="60"/>
      <c r="EY86" s="60"/>
      <c r="EZ86" s="60"/>
      <c r="FA86" s="60"/>
      <c r="FB86" s="60"/>
      <c r="FC86" s="60"/>
      <c r="FD86" s="60"/>
      <c r="FE86" s="60"/>
      <c r="FF86" s="60"/>
      <c r="FG86" s="60"/>
      <c r="FH86" s="60"/>
      <c r="FI86" s="60"/>
      <c r="FJ86" s="60"/>
      <c r="FK86" s="60"/>
      <c r="FL86" s="60"/>
      <c r="FM86" s="60"/>
      <c r="FN86" s="60"/>
      <c r="FO86" s="60"/>
      <c r="FP86" s="60"/>
      <c r="FQ86" s="60"/>
      <c r="FR86" s="60"/>
      <c r="FS86" s="60"/>
      <c r="FT86" s="60"/>
      <c r="FU86" s="60"/>
      <c r="FV86" s="60"/>
      <c r="FW86" s="60"/>
      <c r="FX86" s="60"/>
      <c r="FY86" s="60"/>
      <c r="FZ86" s="60"/>
      <c r="GA86" s="60"/>
      <c r="GB86" s="60"/>
      <c r="GC86" s="60"/>
      <c r="GD86" s="60"/>
      <c r="GE86" s="60"/>
      <c r="GF86" s="60"/>
      <c r="GG86" s="60"/>
      <c r="GH86" s="60"/>
      <c r="GI86" s="60"/>
      <c r="GJ86" s="60"/>
      <c r="GK86" s="60"/>
      <c r="GL86" s="60"/>
      <c r="GM86" s="60"/>
      <c r="GN86" s="60"/>
      <c r="GO86" s="60"/>
      <c r="GP86" s="60"/>
      <c r="GQ86" s="60"/>
      <c r="GR86" s="60"/>
      <c r="GS86" s="60"/>
      <c r="GT86" s="60"/>
      <c r="GU86" s="60"/>
      <c r="GV86" s="60"/>
      <c r="GW86" s="60"/>
      <c r="GX86" s="60"/>
      <c r="GY86" s="60"/>
      <c r="GZ86" s="60"/>
      <c r="HA86" s="60"/>
      <c r="HB86" s="60"/>
      <c r="HC86" s="60"/>
      <c r="HD86" s="60"/>
      <c r="HE86" s="60"/>
      <c r="HF86" s="60"/>
      <c r="HG86" s="60"/>
      <c r="HH86" s="60"/>
      <c r="HI86" s="60"/>
      <c r="HJ86" s="60"/>
      <c r="HK86" s="60"/>
      <c r="HL86" s="60"/>
      <c r="HM86" s="60"/>
      <c r="HN86" s="60"/>
      <c r="HO86" s="60"/>
      <c r="HP86" s="60"/>
      <c r="HQ86" s="60"/>
      <c r="HR86" s="60"/>
      <c r="HS86" s="60"/>
      <c r="HT86" s="60"/>
      <c r="HU86" s="60"/>
      <c r="HV86" s="60"/>
      <c r="HW86" s="60"/>
      <c r="HX86" s="60"/>
      <c r="HY86" s="60"/>
      <c r="HZ86" s="60"/>
      <c r="IA86" s="60"/>
      <c r="IB86" s="60"/>
      <c r="IC86" s="60"/>
      <c r="ID86" s="60"/>
      <c r="IE86" s="60"/>
      <c r="IF86" s="60"/>
      <c r="IG86" s="60"/>
      <c r="IH86" s="60"/>
      <c r="II86" s="60"/>
      <c r="IJ86" s="60"/>
      <c r="IK86" s="60"/>
      <c r="IL86" s="60"/>
      <c r="IM86" s="60"/>
      <c r="IN86" s="60"/>
      <c r="IO86" s="60"/>
      <c r="IP86" s="60"/>
      <c r="IQ86" s="60"/>
      <c r="IR86" s="60"/>
      <c r="IS86" s="60"/>
      <c r="IT86" s="60"/>
      <c r="IU86" s="60"/>
      <c r="IV86" s="60"/>
      <c r="IW86" s="60"/>
      <c r="IX86" s="60"/>
      <c r="IY86" s="60"/>
      <c r="IZ86" s="60"/>
      <c r="JA86" s="60"/>
      <c r="JB86" s="60"/>
      <c r="JC86" s="60"/>
      <c r="JD86" s="60"/>
      <c r="JE86" s="60"/>
      <c r="JF86" s="60"/>
      <c r="JG86" s="60"/>
      <c r="JH86" s="60"/>
      <c r="JI86" s="60"/>
      <c r="JJ86" s="60"/>
      <c r="JK86" s="60"/>
      <c r="JL86" s="60"/>
      <c r="JM86" s="60"/>
      <c r="JN86" s="60"/>
      <c r="JO86" s="60"/>
      <c r="JP86" s="60"/>
      <c r="JQ86" s="60"/>
      <c r="JR86" s="60"/>
      <c r="JS86" s="60"/>
      <c r="JT86" s="60"/>
      <c r="JU86" s="60"/>
      <c r="JV86" s="60"/>
      <c r="JW86" s="60"/>
      <c r="JX86" s="60"/>
      <c r="JY86" s="60"/>
      <c r="JZ86" s="60"/>
      <c r="KA86" s="60"/>
      <c r="KB86" s="60"/>
      <c r="KC86" s="60"/>
      <c r="KD86" s="60"/>
      <c r="KE86" s="60"/>
      <c r="KF86" s="60"/>
      <c r="KG86" s="60"/>
      <c r="KH86" s="60"/>
      <c r="KI86" s="60"/>
      <c r="KJ86" s="60"/>
      <c r="KK86" s="60"/>
      <c r="KL86" s="60"/>
      <c r="KM86" s="60"/>
      <c r="KN86" s="60"/>
      <c r="KO86" s="60"/>
      <c r="KP86" s="60"/>
      <c r="KQ86" s="60"/>
      <c r="KR86" s="60"/>
      <c r="KS86" s="60"/>
      <c r="KT86" s="60"/>
      <c r="KU86" s="60"/>
      <c r="KV86" s="60"/>
      <c r="KW86" s="60"/>
      <c r="KX86" s="60"/>
      <c r="KY86" s="60"/>
      <c r="KZ86" s="60"/>
      <c r="LA86" s="60"/>
      <c r="LB86" s="60"/>
      <c r="LC86" s="60"/>
      <c r="LD86" s="60"/>
      <c r="LE86" s="60"/>
      <c r="LF86" s="60"/>
      <c r="LG86" s="60"/>
      <c r="LH86" s="60"/>
    </row>
    <row r="87" spans="1:320" s="17" customFormat="1" x14ac:dyDescent="0.25">
      <c r="A87" s="147"/>
      <c r="E87" s="156"/>
      <c r="F87" s="156"/>
      <c r="G87" s="156"/>
      <c r="H87" s="156"/>
      <c r="I87" s="156"/>
      <c r="J87" s="156"/>
      <c r="K87" s="156"/>
      <c r="L87" s="156"/>
      <c r="M87" s="156"/>
      <c r="N87" s="156"/>
      <c r="O87" s="156"/>
      <c r="P87" s="156"/>
      <c r="Q87" s="156"/>
      <c r="R87" s="156"/>
      <c r="S87" s="156"/>
      <c r="AC87" s="60"/>
      <c r="AD87" s="60"/>
      <c r="AE87" s="60"/>
      <c r="AF87" s="60"/>
      <c r="AG87" s="60"/>
      <c r="AH87" s="60"/>
      <c r="AI87" s="60"/>
      <c r="AJ87" s="60"/>
      <c r="AK87" s="60"/>
      <c r="AL87" s="60"/>
      <c r="AM87" s="60"/>
      <c r="AN87" s="60"/>
      <c r="AO87" s="60"/>
      <c r="AP87" s="60"/>
      <c r="AQ87" s="60"/>
      <c r="AR87" s="60"/>
      <c r="AS87" s="60"/>
      <c r="AT87" s="60"/>
      <c r="AU87" s="60"/>
      <c r="AV87" s="60"/>
      <c r="AW87" s="60"/>
      <c r="AX87" s="60"/>
      <c r="AY87" s="60"/>
      <c r="AZ87" s="60"/>
      <c r="BA87" s="60"/>
      <c r="BB87" s="60"/>
      <c r="BC87" s="60"/>
      <c r="BD87" s="60"/>
      <c r="BE87" s="60"/>
      <c r="BF87" s="60"/>
      <c r="BG87" s="60"/>
      <c r="BH87" s="60"/>
      <c r="BI87" s="60"/>
      <c r="BJ87" s="60"/>
      <c r="BK87" s="60"/>
      <c r="BL87" s="60"/>
      <c r="BM87" s="60"/>
      <c r="BN87" s="60"/>
      <c r="BO87" s="60"/>
      <c r="BP87" s="60"/>
      <c r="BQ87" s="60"/>
      <c r="BR87" s="60"/>
      <c r="BS87" s="60"/>
      <c r="BT87" s="60"/>
      <c r="BU87" s="60"/>
      <c r="BV87" s="60"/>
      <c r="BW87" s="60"/>
      <c r="BX87" s="60"/>
      <c r="BY87" s="60"/>
      <c r="BZ87" s="60"/>
      <c r="CA87" s="60"/>
      <c r="CB87" s="60"/>
      <c r="CC87" s="60"/>
      <c r="CD87" s="60"/>
      <c r="CE87" s="60"/>
      <c r="CF87" s="60"/>
      <c r="CG87" s="60"/>
      <c r="CH87" s="60"/>
      <c r="CI87" s="60"/>
      <c r="CJ87" s="60"/>
      <c r="CK87" s="60"/>
      <c r="CL87" s="60"/>
      <c r="CM87" s="60"/>
      <c r="CN87" s="60"/>
      <c r="CO87" s="60"/>
      <c r="CP87" s="60"/>
      <c r="CQ87" s="60"/>
      <c r="CR87" s="60"/>
      <c r="CS87" s="60"/>
      <c r="CT87" s="60"/>
      <c r="CU87" s="60"/>
      <c r="CV87" s="60"/>
      <c r="CW87" s="60"/>
      <c r="CX87" s="60"/>
      <c r="CY87" s="60"/>
      <c r="CZ87" s="60"/>
      <c r="DA87" s="60"/>
      <c r="DB87" s="60"/>
      <c r="DC87" s="60"/>
      <c r="DD87" s="60"/>
      <c r="DE87" s="60"/>
      <c r="DF87" s="60"/>
      <c r="DG87" s="60"/>
      <c r="DH87" s="60"/>
      <c r="DI87" s="60"/>
      <c r="DJ87" s="60"/>
      <c r="DK87" s="60"/>
      <c r="DL87" s="60"/>
      <c r="DM87" s="60"/>
      <c r="DN87" s="60"/>
      <c r="DO87" s="60"/>
      <c r="DP87" s="60"/>
      <c r="DQ87" s="60"/>
      <c r="DR87" s="60"/>
      <c r="DS87" s="60"/>
      <c r="DT87" s="60"/>
      <c r="DU87" s="60"/>
      <c r="DV87" s="60"/>
      <c r="DW87" s="60"/>
      <c r="DX87" s="60"/>
      <c r="DY87" s="60"/>
      <c r="DZ87" s="60"/>
      <c r="EA87" s="60"/>
      <c r="EB87" s="60"/>
      <c r="EC87" s="60"/>
      <c r="ED87" s="60"/>
      <c r="EE87" s="60"/>
      <c r="EF87" s="60"/>
      <c r="EG87" s="60"/>
      <c r="EH87" s="60"/>
      <c r="EI87" s="60"/>
      <c r="EJ87" s="60"/>
      <c r="EK87" s="60"/>
      <c r="EL87" s="60"/>
      <c r="EM87" s="60"/>
      <c r="EN87" s="60"/>
      <c r="EO87" s="60"/>
      <c r="EP87" s="60"/>
      <c r="EQ87" s="60"/>
      <c r="ER87" s="60"/>
      <c r="ES87" s="60"/>
      <c r="ET87" s="60"/>
      <c r="EU87" s="60"/>
      <c r="EV87" s="60"/>
      <c r="EW87" s="60"/>
      <c r="EX87" s="60"/>
      <c r="EY87" s="60"/>
      <c r="EZ87" s="60"/>
      <c r="FA87" s="60"/>
      <c r="FB87" s="60"/>
      <c r="FC87" s="60"/>
      <c r="FD87" s="60"/>
      <c r="FE87" s="60"/>
      <c r="FF87" s="60"/>
      <c r="FG87" s="60"/>
      <c r="FH87" s="60"/>
      <c r="FI87" s="60"/>
      <c r="FJ87" s="60"/>
      <c r="FK87" s="60"/>
      <c r="FL87" s="60"/>
      <c r="FM87" s="60"/>
      <c r="FN87" s="60"/>
      <c r="FO87" s="60"/>
      <c r="FP87" s="60"/>
      <c r="FQ87" s="60"/>
      <c r="FR87" s="60"/>
      <c r="FS87" s="60"/>
      <c r="FT87" s="60"/>
      <c r="FU87" s="60"/>
      <c r="FV87" s="60"/>
      <c r="FW87" s="60"/>
      <c r="FX87" s="60"/>
      <c r="FY87" s="60"/>
      <c r="FZ87" s="60"/>
      <c r="GA87" s="60"/>
      <c r="GB87" s="60"/>
      <c r="GC87" s="60"/>
      <c r="GD87" s="60"/>
      <c r="GE87" s="60"/>
      <c r="GF87" s="60"/>
      <c r="GG87" s="60"/>
      <c r="GH87" s="60"/>
      <c r="GI87" s="60"/>
      <c r="GJ87" s="60"/>
      <c r="GK87" s="60"/>
      <c r="GL87" s="60"/>
      <c r="GM87" s="60"/>
      <c r="GN87" s="60"/>
      <c r="GO87" s="60"/>
      <c r="GP87" s="60"/>
      <c r="GQ87" s="60"/>
      <c r="GR87" s="60"/>
      <c r="GS87" s="60"/>
      <c r="GT87" s="60"/>
      <c r="GU87" s="60"/>
      <c r="GV87" s="60"/>
      <c r="GW87" s="60"/>
      <c r="GX87" s="60"/>
      <c r="GY87" s="60"/>
      <c r="GZ87" s="60"/>
      <c r="HA87" s="60"/>
      <c r="HB87" s="60"/>
      <c r="HC87" s="60"/>
      <c r="HD87" s="60"/>
      <c r="HE87" s="60"/>
      <c r="HF87" s="60"/>
      <c r="HG87" s="60"/>
      <c r="HH87" s="60"/>
      <c r="HI87" s="60"/>
      <c r="HJ87" s="60"/>
      <c r="HK87" s="60"/>
      <c r="HL87" s="60"/>
      <c r="HM87" s="60"/>
      <c r="HN87" s="60"/>
      <c r="HO87" s="60"/>
      <c r="HP87" s="60"/>
      <c r="HQ87" s="60"/>
      <c r="HR87" s="60"/>
      <c r="HS87" s="60"/>
      <c r="HT87" s="60"/>
      <c r="HU87" s="60"/>
      <c r="HV87" s="60"/>
      <c r="HW87" s="60"/>
      <c r="HX87" s="60"/>
      <c r="HY87" s="60"/>
      <c r="HZ87" s="60"/>
      <c r="IA87" s="60"/>
      <c r="IB87" s="60"/>
      <c r="IC87" s="60"/>
      <c r="ID87" s="60"/>
      <c r="IE87" s="60"/>
      <c r="IF87" s="60"/>
      <c r="IG87" s="60"/>
      <c r="IH87" s="60"/>
      <c r="II87" s="60"/>
      <c r="IJ87" s="60"/>
      <c r="IK87" s="60"/>
      <c r="IL87" s="60"/>
      <c r="IM87" s="60"/>
      <c r="IN87" s="60"/>
      <c r="IO87" s="60"/>
      <c r="IP87" s="60"/>
      <c r="IQ87" s="60"/>
      <c r="IR87" s="60"/>
      <c r="IS87" s="60"/>
      <c r="IT87" s="60"/>
      <c r="IU87" s="60"/>
      <c r="IV87" s="60"/>
      <c r="IW87" s="60"/>
      <c r="IX87" s="60"/>
      <c r="IY87" s="60"/>
      <c r="IZ87" s="60"/>
      <c r="JA87" s="60"/>
      <c r="JB87" s="60"/>
      <c r="JC87" s="60"/>
      <c r="JD87" s="60"/>
      <c r="JE87" s="60"/>
      <c r="JF87" s="60"/>
      <c r="JG87" s="60"/>
      <c r="JH87" s="60"/>
      <c r="JI87" s="60"/>
      <c r="JJ87" s="60"/>
      <c r="JK87" s="60"/>
      <c r="JL87" s="60"/>
      <c r="JM87" s="60"/>
      <c r="JN87" s="60"/>
      <c r="JO87" s="60"/>
      <c r="JP87" s="60"/>
      <c r="JQ87" s="60"/>
      <c r="JR87" s="60"/>
      <c r="JS87" s="60"/>
      <c r="JT87" s="60"/>
      <c r="JU87" s="60"/>
      <c r="JV87" s="60"/>
      <c r="JW87" s="60"/>
      <c r="JX87" s="60"/>
      <c r="JY87" s="60"/>
      <c r="JZ87" s="60"/>
      <c r="KA87" s="60"/>
      <c r="KB87" s="60"/>
      <c r="KC87" s="60"/>
      <c r="KD87" s="60"/>
      <c r="KE87" s="60"/>
      <c r="KF87" s="60"/>
      <c r="KG87" s="60"/>
      <c r="KH87" s="60"/>
      <c r="KI87" s="60"/>
      <c r="KJ87" s="60"/>
      <c r="KK87" s="60"/>
      <c r="KL87" s="60"/>
      <c r="KM87" s="60"/>
      <c r="KN87" s="60"/>
      <c r="KO87" s="60"/>
      <c r="KP87" s="60"/>
      <c r="KQ87" s="60"/>
      <c r="KR87" s="60"/>
      <c r="KS87" s="60"/>
      <c r="KT87" s="60"/>
      <c r="KU87" s="60"/>
      <c r="KV87" s="60"/>
      <c r="KW87" s="60"/>
      <c r="KX87" s="60"/>
      <c r="KY87" s="60"/>
      <c r="KZ87" s="60"/>
      <c r="LA87" s="60"/>
      <c r="LB87" s="60"/>
      <c r="LC87" s="60"/>
      <c r="LD87" s="60"/>
      <c r="LE87" s="60"/>
      <c r="LF87" s="60"/>
      <c r="LG87" s="60"/>
      <c r="LH87" s="60"/>
    </row>
    <row r="88" spans="1:320" s="17" customFormat="1" x14ac:dyDescent="0.25">
      <c r="A88" s="147"/>
      <c r="E88" s="156"/>
      <c r="F88" s="156"/>
      <c r="G88" s="156"/>
      <c r="H88" s="156"/>
      <c r="I88" s="156"/>
      <c r="J88" s="156"/>
      <c r="K88" s="156"/>
      <c r="L88" s="156"/>
      <c r="M88" s="156"/>
      <c r="N88" s="156"/>
      <c r="O88" s="156"/>
      <c r="P88" s="156"/>
      <c r="Q88" s="156"/>
      <c r="R88" s="156"/>
      <c r="S88" s="156"/>
      <c r="AC88" s="60"/>
      <c r="AD88" s="60"/>
      <c r="AE88" s="60"/>
      <c r="AF88" s="60"/>
      <c r="AG88" s="60"/>
      <c r="AH88" s="60"/>
      <c r="AI88" s="60"/>
      <c r="AJ88" s="60"/>
      <c r="AK88" s="60"/>
      <c r="AL88" s="60"/>
      <c r="AM88" s="60"/>
      <c r="AN88" s="60"/>
      <c r="AO88" s="60"/>
      <c r="AP88" s="60"/>
      <c r="AQ88" s="60"/>
      <c r="AR88" s="60"/>
      <c r="AS88" s="60"/>
      <c r="AT88" s="60"/>
      <c r="AU88" s="60"/>
      <c r="AV88" s="60"/>
      <c r="AW88" s="60"/>
      <c r="AX88" s="60"/>
      <c r="AY88" s="60"/>
      <c r="AZ88" s="60"/>
      <c r="BA88" s="60"/>
      <c r="BB88" s="60"/>
      <c r="BC88" s="60"/>
      <c r="BD88" s="60"/>
      <c r="BE88" s="60"/>
      <c r="BF88" s="60"/>
      <c r="BG88" s="60"/>
      <c r="BH88" s="60"/>
      <c r="BI88" s="60"/>
      <c r="BJ88" s="60"/>
      <c r="BK88" s="60"/>
      <c r="BL88" s="60"/>
      <c r="BM88" s="60"/>
      <c r="BN88" s="60"/>
      <c r="BO88" s="60"/>
      <c r="BP88" s="60"/>
      <c r="BQ88" s="60"/>
      <c r="BR88" s="60"/>
      <c r="BS88" s="60"/>
      <c r="BT88" s="60"/>
      <c r="BU88" s="60"/>
      <c r="BV88" s="60"/>
      <c r="BW88" s="60"/>
      <c r="BX88" s="60"/>
      <c r="BY88" s="60"/>
      <c r="BZ88" s="60"/>
      <c r="CA88" s="60"/>
      <c r="CB88" s="60"/>
      <c r="CC88" s="60"/>
      <c r="CD88" s="60"/>
      <c r="CE88" s="60"/>
      <c r="CF88" s="60"/>
      <c r="CG88" s="60"/>
      <c r="CH88" s="60"/>
      <c r="CI88" s="60"/>
      <c r="CJ88" s="60"/>
      <c r="CK88" s="60"/>
      <c r="CL88" s="60"/>
      <c r="CM88" s="60"/>
      <c r="CN88" s="60"/>
      <c r="CO88" s="60"/>
      <c r="CP88" s="60"/>
      <c r="CQ88" s="60"/>
      <c r="CR88" s="60"/>
      <c r="CS88" s="60"/>
      <c r="CT88" s="60"/>
      <c r="CU88" s="60"/>
      <c r="CV88" s="60"/>
      <c r="CW88" s="60"/>
      <c r="CX88" s="60"/>
      <c r="CY88" s="60"/>
      <c r="CZ88" s="60"/>
      <c r="DA88" s="60"/>
      <c r="DB88" s="60"/>
      <c r="DC88" s="60"/>
      <c r="DD88" s="60"/>
      <c r="DE88" s="60"/>
      <c r="DF88" s="60"/>
      <c r="DG88" s="60"/>
      <c r="DH88" s="60"/>
      <c r="DI88" s="60"/>
      <c r="DJ88" s="60"/>
      <c r="DK88" s="60"/>
      <c r="DL88" s="60"/>
      <c r="DM88" s="60"/>
      <c r="DN88" s="60"/>
      <c r="DO88" s="60"/>
      <c r="DP88" s="60"/>
      <c r="DQ88" s="60"/>
      <c r="DR88" s="60"/>
      <c r="DS88" s="60"/>
      <c r="DT88" s="60"/>
      <c r="DU88" s="60"/>
      <c r="DV88" s="60"/>
      <c r="DW88" s="60"/>
      <c r="DX88" s="60"/>
      <c r="DY88" s="60"/>
      <c r="DZ88" s="60"/>
      <c r="EA88" s="60"/>
      <c r="EB88" s="60"/>
      <c r="EC88" s="60"/>
      <c r="ED88" s="60"/>
      <c r="EE88" s="60"/>
      <c r="EF88" s="60"/>
      <c r="EG88" s="60"/>
      <c r="EH88" s="60"/>
      <c r="EI88" s="60"/>
      <c r="EJ88" s="60"/>
      <c r="EK88" s="60"/>
      <c r="EL88" s="60"/>
      <c r="EM88" s="60"/>
      <c r="EN88" s="60"/>
      <c r="EO88" s="60"/>
      <c r="EP88" s="60"/>
      <c r="EQ88" s="60"/>
      <c r="ER88" s="60"/>
      <c r="ES88" s="60"/>
      <c r="ET88" s="60"/>
      <c r="EU88" s="60"/>
      <c r="EV88" s="60"/>
      <c r="EW88" s="60"/>
      <c r="EX88" s="60"/>
      <c r="EY88" s="60"/>
      <c r="EZ88" s="60"/>
      <c r="FA88" s="60"/>
      <c r="FB88" s="60"/>
      <c r="FC88" s="60"/>
      <c r="FD88" s="60"/>
      <c r="FE88" s="60"/>
      <c r="FF88" s="60"/>
      <c r="FG88" s="60"/>
      <c r="FH88" s="60"/>
      <c r="FI88" s="60"/>
      <c r="FJ88" s="60"/>
      <c r="FK88" s="60"/>
      <c r="FL88" s="60"/>
      <c r="FM88" s="60"/>
      <c r="FN88" s="60"/>
      <c r="FO88" s="60"/>
      <c r="FP88" s="60"/>
      <c r="FQ88" s="60"/>
      <c r="FR88" s="60"/>
      <c r="FS88" s="60"/>
      <c r="FT88" s="60"/>
      <c r="FU88" s="60"/>
      <c r="FV88" s="60"/>
      <c r="FW88" s="60"/>
      <c r="FX88" s="60"/>
      <c r="FY88" s="60"/>
      <c r="FZ88" s="60"/>
      <c r="GA88" s="60"/>
      <c r="GB88" s="60"/>
      <c r="GC88" s="60"/>
      <c r="GD88" s="60"/>
      <c r="GE88" s="60"/>
      <c r="GF88" s="60"/>
      <c r="GG88" s="60"/>
      <c r="GH88" s="60"/>
      <c r="GI88" s="60"/>
      <c r="GJ88" s="60"/>
      <c r="GK88" s="60"/>
      <c r="GL88" s="60"/>
      <c r="GM88" s="60"/>
      <c r="GN88" s="60"/>
      <c r="GO88" s="60"/>
      <c r="GP88" s="60"/>
      <c r="GQ88" s="60"/>
      <c r="GR88" s="60"/>
      <c r="GS88" s="60"/>
      <c r="GT88" s="60"/>
      <c r="GU88" s="60"/>
      <c r="GV88" s="60"/>
      <c r="GW88" s="60"/>
      <c r="GX88" s="60"/>
      <c r="GY88" s="60"/>
      <c r="GZ88" s="60"/>
      <c r="HA88" s="60"/>
      <c r="HB88" s="60"/>
      <c r="HC88" s="60"/>
      <c r="HD88" s="60"/>
      <c r="HE88" s="60"/>
      <c r="HF88" s="60"/>
      <c r="HG88" s="60"/>
      <c r="HH88" s="60"/>
      <c r="HI88" s="60"/>
      <c r="HJ88" s="60"/>
      <c r="HK88" s="60"/>
      <c r="HL88" s="60"/>
      <c r="HM88" s="60"/>
      <c r="HN88" s="60"/>
      <c r="HO88" s="60"/>
      <c r="HP88" s="60"/>
      <c r="HQ88" s="60"/>
      <c r="HR88" s="60"/>
      <c r="HS88" s="60"/>
      <c r="HT88" s="60"/>
      <c r="HU88" s="60"/>
      <c r="HV88" s="60"/>
      <c r="HW88" s="60"/>
      <c r="HX88" s="60"/>
      <c r="HY88" s="60"/>
      <c r="HZ88" s="60"/>
      <c r="IA88" s="60"/>
      <c r="IB88" s="60"/>
      <c r="IC88" s="60"/>
      <c r="ID88" s="60"/>
      <c r="IE88" s="60"/>
      <c r="IF88" s="60"/>
      <c r="IG88" s="60"/>
      <c r="IH88" s="60"/>
      <c r="II88" s="60"/>
      <c r="IJ88" s="60"/>
      <c r="IK88" s="60"/>
      <c r="IL88" s="60"/>
      <c r="IM88" s="60"/>
      <c r="IN88" s="60"/>
      <c r="IO88" s="60"/>
      <c r="IP88" s="60"/>
      <c r="IQ88" s="60"/>
      <c r="IR88" s="60"/>
      <c r="IS88" s="60"/>
      <c r="IT88" s="60"/>
      <c r="IU88" s="60"/>
      <c r="IV88" s="60"/>
      <c r="IW88" s="60"/>
      <c r="IX88" s="60"/>
      <c r="IY88" s="60"/>
      <c r="IZ88" s="60"/>
      <c r="JA88" s="60"/>
      <c r="JB88" s="60"/>
      <c r="JC88" s="60"/>
      <c r="JD88" s="60"/>
      <c r="JE88" s="60"/>
      <c r="JF88" s="60"/>
      <c r="JG88" s="60"/>
      <c r="JH88" s="60"/>
      <c r="JI88" s="60"/>
      <c r="JJ88" s="60"/>
      <c r="JK88" s="60"/>
      <c r="JL88" s="60"/>
      <c r="JM88" s="60"/>
      <c r="JN88" s="60"/>
      <c r="JO88" s="60"/>
      <c r="JP88" s="60"/>
      <c r="JQ88" s="60"/>
      <c r="JR88" s="60"/>
      <c r="JS88" s="60"/>
      <c r="JT88" s="60"/>
      <c r="JU88" s="60"/>
      <c r="JV88" s="60"/>
      <c r="JW88" s="60"/>
      <c r="JX88" s="60"/>
      <c r="JY88" s="60"/>
      <c r="JZ88" s="60"/>
      <c r="KA88" s="60"/>
      <c r="KB88" s="60"/>
      <c r="KC88" s="60"/>
      <c r="KD88" s="60"/>
      <c r="KE88" s="60"/>
      <c r="KF88" s="60"/>
      <c r="KG88" s="60"/>
      <c r="KH88" s="60"/>
      <c r="KI88" s="60"/>
      <c r="KJ88" s="60"/>
      <c r="KK88" s="60"/>
      <c r="KL88" s="60"/>
      <c r="KM88" s="60"/>
      <c r="KN88" s="60"/>
      <c r="KO88" s="60"/>
      <c r="KP88" s="60"/>
      <c r="KQ88" s="60"/>
      <c r="KR88" s="60"/>
      <c r="KS88" s="60"/>
      <c r="KT88" s="60"/>
      <c r="KU88" s="60"/>
      <c r="KV88" s="60"/>
      <c r="KW88" s="60"/>
      <c r="KX88" s="60"/>
      <c r="KY88" s="60"/>
      <c r="KZ88" s="60"/>
      <c r="LA88" s="60"/>
      <c r="LB88" s="60"/>
      <c r="LC88" s="60"/>
      <c r="LD88" s="60"/>
      <c r="LE88" s="60"/>
      <c r="LF88" s="60"/>
      <c r="LG88" s="60"/>
      <c r="LH88" s="60"/>
    </row>
    <row r="89" spans="1:320" s="17" customFormat="1" x14ac:dyDescent="0.25">
      <c r="A89" s="147"/>
      <c r="E89" s="156"/>
      <c r="F89" s="156"/>
      <c r="G89" s="156"/>
      <c r="H89" s="156"/>
      <c r="I89" s="156"/>
      <c r="J89" s="156"/>
      <c r="K89" s="156"/>
      <c r="L89" s="156"/>
      <c r="M89" s="156"/>
      <c r="N89" s="156"/>
      <c r="O89" s="156"/>
      <c r="P89" s="156"/>
      <c r="Q89" s="156"/>
      <c r="R89" s="156"/>
      <c r="S89" s="156"/>
      <c r="AC89" s="60"/>
      <c r="AD89" s="60"/>
      <c r="AE89" s="60"/>
      <c r="AF89" s="60"/>
      <c r="AG89" s="60"/>
      <c r="AH89" s="60"/>
      <c r="AI89" s="60"/>
      <c r="AJ89" s="60"/>
      <c r="AK89" s="60"/>
      <c r="AL89" s="60"/>
      <c r="AM89" s="60"/>
      <c r="AN89" s="60"/>
      <c r="AO89" s="60"/>
      <c r="AP89" s="60"/>
      <c r="AQ89" s="60"/>
      <c r="AR89" s="60"/>
      <c r="AS89" s="60"/>
      <c r="AT89" s="60"/>
      <c r="AU89" s="60"/>
      <c r="AV89" s="60"/>
      <c r="AW89" s="60"/>
      <c r="AX89" s="60"/>
      <c r="AY89" s="60"/>
      <c r="AZ89" s="60"/>
      <c r="BA89" s="60"/>
      <c r="BB89" s="60"/>
      <c r="BC89" s="60"/>
      <c r="BD89" s="60"/>
      <c r="BE89" s="60"/>
      <c r="BF89" s="60"/>
      <c r="BG89" s="60"/>
      <c r="BH89" s="60"/>
      <c r="BI89" s="60"/>
      <c r="BJ89" s="60"/>
      <c r="BK89" s="60"/>
      <c r="BL89" s="60"/>
      <c r="BM89" s="60"/>
      <c r="BN89" s="60"/>
      <c r="BO89" s="60"/>
      <c r="BP89" s="60"/>
      <c r="BQ89" s="60"/>
      <c r="BR89" s="60"/>
      <c r="BS89" s="60"/>
      <c r="BT89" s="60"/>
      <c r="BU89" s="60"/>
      <c r="BV89" s="60"/>
      <c r="BW89" s="60"/>
      <c r="BX89" s="60"/>
      <c r="BY89" s="60"/>
      <c r="BZ89" s="60"/>
      <c r="CA89" s="60"/>
      <c r="CB89" s="60"/>
      <c r="CC89" s="60"/>
      <c r="CD89" s="60"/>
      <c r="CE89" s="60"/>
      <c r="CF89" s="60"/>
      <c r="CG89" s="60"/>
      <c r="CH89" s="60"/>
      <c r="CI89" s="60"/>
      <c r="CJ89" s="60"/>
      <c r="CK89" s="60"/>
      <c r="CL89" s="60"/>
      <c r="CM89" s="60"/>
      <c r="CN89" s="60"/>
      <c r="CO89" s="60"/>
      <c r="CP89" s="60"/>
      <c r="CQ89" s="60"/>
      <c r="CR89" s="60"/>
      <c r="CS89" s="60"/>
      <c r="CT89" s="60"/>
      <c r="CU89" s="60"/>
      <c r="CV89" s="60"/>
      <c r="CW89" s="60"/>
      <c r="CX89" s="60"/>
      <c r="CY89" s="60"/>
      <c r="CZ89" s="60"/>
      <c r="DA89" s="60"/>
      <c r="DB89" s="60"/>
      <c r="DC89" s="60"/>
      <c r="DD89" s="60"/>
      <c r="DE89" s="60"/>
      <c r="DF89" s="60"/>
      <c r="DG89" s="60"/>
      <c r="DH89" s="60"/>
      <c r="DI89" s="60"/>
      <c r="DJ89" s="60"/>
      <c r="DK89" s="60"/>
      <c r="DL89" s="60"/>
      <c r="DM89" s="60"/>
      <c r="DN89" s="60"/>
      <c r="DO89" s="60"/>
      <c r="DP89" s="60"/>
      <c r="DQ89" s="60"/>
      <c r="DR89" s="60"/>
      <c r="DS89" s="60"/>
      <c r="DT89" s="60"/>
      <c r="DU89" s="60"/>
      <c r="DV89" s="60"/>
      <c r="DW89" s="60"/>
      <c r="DX89" s="60"/>
      <c r="DY89" s="60"/>
      <c r="DZ89" s="60"/>
      <c r="EA89" s="60"/>
      <c r="EB89" s="60"/>
      <c r="EC89" s="60"/>
      <c r="ED89" s="60"/>
      <c r="EE89" s="60"/>
      <c r="EF89" s="60"/>
      <c r="EG89" s="60"/>
      <c r="EH89" s="60"/>
      <c r="EI89" s="60"/>
      <c r="EJ89" s="60"/>
      <c r="EK89" s="60"/>
      <c r="EL89" s="60"/>
      <c r="EM89" s="60"/>
      <c r="EN89" s="60"/>
      <c r="EO89" s="60"/>
      <c r="EP89" s="60"/>
      <c r="EQ89" s="60"/>
      <c r="ER89" s="60"/>
      <c r="ES89" s="60"/>
      <c r="ET89" s="60"/>
      <c r="EU89" s="60"/>
      <c r="EV89" s="60"/>
      <c r="EW89" s="60"/>
      <c r="EX89" s="60"/>
      <c r="EY89" s="60"/>
      <c r="EZ89" s="60"/>
      <c r="FA89" s="60"/>
      <c r="FB89" s="60"/>
      <c r="FC89" s="60"/>
      <c r="FD89" s="60"/>
      <c r="FE89" s="60"/>
      <c r="FF89" s="60"/>
      <c r="FG89" s="60"/>
      <c r="FH89" s="60"/>
      <c r="FI89" s="60"/>
      <c r="FJ89" s="60"/>
      <c r="FK89" s="60"/>
      <c r="FL89" s="60"/>
      <c r="FM89" s="60"/>
      <c r="FN89" s="60"/>
      <c r="FO89" s="60"/>
      <c r="FP89" s="60"/>
      <c r="FQ89" s="60"/>
      <c r="FR89" s="60"/>
      <c r="FS89" s="60"/>
      <c r="FT89" s="60"/>
      <c r="FU89" s="60"/>
      <c r="FV89" s="60"/>
      <c r="FW89" s="60"/>
      <c r="FX89" s="60"/>
      <c r="FY89" s="60"/>
      <c r="FZ89" s="60"/>
      <c r="GA89" s="60"/>
      <c r="GB89" s="60"/>
      <c r="GC89" s="60"/>
      <c r="GD89" s="60"/>
      <c r="GE89" s="60"/>
      <c r="GF89" s="60"/>
      <c r="GG89" s="60"/>
      <c r="GH89" s="60"/>
      <c r="GI89" s="60"/>
      <c r="GJ89" s="60"/>
      <c r="GK89" s="60"/>
      <c r="GL89" s="60"/>
      <c r="GM89" s="60"/>
      <c r="GN89" s="60"/>
      <c r="GO89" s="60"/>
      <c r="GP89" s="60"/>
      <c r="GQ89" s="60"/>
      <c r="GR89" s="60"/>
      <c r="GS89" s="60"/>
      <c r="GT89" s="60"/>
      <c r="GU89" s="60"/>
      <c r="GV89" s="60"/>
      <c r="GW89" s="60"/>
      <c r="GX89" s="60"/>
      <c r="GY89" s="60"/>
      <c r="GZ89" s="60"/>
      <c r="HA89" s="60"/>
      <c r="HB89" s="60"/>
      <c r="HC89" s="60"/>
      <c r="HD89" s="60"/>
      <c r="HE89" s="60"/>
      <c r="HF89" s="60"/>
      <c r="HG89" s="60"/>
      <c r="HH89" s="60"/>
      <c r="HI89" s="60"/>
      <c r="HJ89" s="60"/>
      <c r="HK89" s="60"/>
      <c r="HL89" s="60"/>
      <c r="HM89" s="60"/>
      <c r="HN89" s="60"/>
      <c r="HO89" s="60"/>
      <c r="HP89" s="60"/>
      <c r="HQ89" s="60"/>
      <c r="HR89" s="60"/>
      <c r="HS89" s="60"/>
      <c r="HT89" s="60"/>
      <c r="HU89" s="60"/>
      <c r="HV89" s="60"/>
      <c r="HW89" s="60"/>
      <c r="HX89" s="60"/>
      <c r="HY89" s="60"/>
      <c r="HZ89" s="60"/>
      <c r="IA89" s="60"/>
      <c r="IB89" s="60"/>
      <c r="IC89" s="60"/>
      <c r="ID89" s="60"/>
      <c r="IE89" s="60"/>
      <c r="IF89" s="60"/>
      <c r="IG89" s="60"/>
      <c r="IH89" s="60"/>
      <c r="II89" s="60"/>
      <c r="IJ89" s="60"/>
      <c r="IK89" s="60"/>
      <c r="IL89" s="60"/>
      <c r="IM89" s="60"/>
      <c r="IN89" s="60"/>
      <c r="IO89" s="60"/>
      <c r="IP89" s="60"/>
      <c r="IQ89" s="60"/>
      <c r="IR89" s="60"/>
      <c r="IS89" s="60"/>
      <c r="IT89" s="60"/>
      <c r="IU89" s="60"/>
      <c r="IV89" s="60"/>
      <c r="IW89" s="60"/>
      <c r="IX89" s="60"/>
      <c r="IY89" s="60"/>
      <c r="IZ89" s="60"/>
      <c r="JA89" s="60"/>
      <c r="JB89" s="60"/>
      <c r="JC89" s="60"/>
      <c r="JD89" s="60"/>
      <c r="JE89" s="60"/>
      <c r="JF89" s="60"/>
      <c r="JG89" s="60"/>
      <c r="JH89" s="60"/>
      <c r="JI89" s="60"/>
      <c r="JJ89" s="60"/>
      <c r="JK89" s="60"/>
      <c r="JL89" s="60"/>
      <c r="JM89" s="60"/>
      <c r="JN89" s="60"/>
      <c r="JO89" s="60"/>
      <c r="JP89" s="60"/>
      <c r="JQ89" s="60"/>
      <c r="JR89" s="60"/>
      <c r="JS89" s="60"/>
      <c r="JT89" s="60"/>
      <c r="JU89" s="60"/>
      <c r="JV89" s="60"/>
      <c r="JW89" s="60"/>
      <c r="JX89" s="60"/>
      <c r="JY89" s="60"/>
      <c r="JZ89" s="60"/>
      <c r="KA89" s="60"/>
      <c r="KB89" s="60"/>
      <c r="KC89" s="60"/>
      <c r="KD89" s="60"/>
      <c r="KE89" s="60"/>
      <c r="KF89" s="60"/>
      <c r="KG89" s="60"/>
      <c r="KH89" s="60"/>
      <c r="KI89" s="60"/>
      <c r="KJ89" s="60"/>
      <c r="KK89" s="60"/>
      <c r="KL89" s="60"/>
      <c r="KM89" s="60"/>
      <c r="KN89" s="60"/>
      <c r="KO89" s="60"/>
      <c r="KP89" s="60"/>
      <c r="KQ89" s="60"/>
      <c r="KR89" s="60"/>
      <c r="KS89" s="60"/>
      <c r="KT89" s="60"/>
      <c r="KU89" s="60"/>
      <c r="KV89" s="60"/>
      <c r="KW89" s="60"/>
      <c r="KX89" s="60"/>
      <c r="KY89" s="60"/>
      <c r="KZ89" s="60"/>
      <c r="LA89" s="60"/>
      <c r="LB89" s="60"/>
      <c r="LC89" s="60"/>
      <c r="LD89" s="60"/>
      <c r="LE89" s="60"/>
      <c r="LF89" s="60"/>
      <c r="LG89" s="60"/>
      <c r="LH89" s="60"/>
    </row>
    <row r="90" spans="1:320" s="17" customFormat="1" x14ac:dyDescent="0.25">
      <c r="A90" s="147"/>
      <c r="E90" s="156"/>
      <c r="F90" s="156"/>
      <c r="G90" s="156"/>
      <c r="H90" s="156"/>
      <c r="I90" s="156"/>
      <c r="J90" s="156"/>
      <c r="K90" s="156"/>
      <c r="L90" s="156"/>
      <c r="M90" s="156"/>
      <c r="N90" s="156"/>
      <c r="O90" s="156"/>
      <c r="P90" s="156"/>
      <c r="Q90" s="156"/>
      <c r="R90" s="156"/>
      <c r="S90" s="156"/>
      <c r="AC90" s="60"/>
      <c r="AD90" s="60"/>
      <c r="AE90" s="60"/>
      <c r="AF90" s="60"/>
      <c r="AG90" s="60"/>
      <c r="AH90" s="60"/>
      <c r="AI90" s="60"/>
      <c r="AJ90" s="60"/>
      <c r="AK90" s="60"/>
      <c r="AL90" s="60"/>
      <c r="AM90" s="60"/>
      <c r="AN90" s="60"/>
      <c r="AO90" s="60"/>
      <c r="AP90" s="60"/>
      <c r="AQ90" s="60"/>
      <c r="AR90" s="60"/>
      <c r="AS90" s="60"/>
      <c r="AT90" s="60"/>
      <c r="AU90" s="60"/>
      <c r="AV90" s="60"/>
      <c r="AW90" s="60"/>
      <c r="AX90" s="60"/>
      <c r="AY90" s="60"/>
      <c r="AZ90" s="60"/>
      <c r="BA90" s="60"/>
      <c r="BB90" s="60"/>
      <c r="BC90" s="60"/>
      <c r="BD90" s="60"/>
      <c r="BE90" s="60"/>
      <c r="BF90" s="60"/>
      <c r="BG90" s="60"/>
      <c r="BH90" s="60"/>
      <c r="BI90" s="60"/>
      <c r="BJ90" s="60"/>
      <c r="BK90" s="60"/>
      <c r="BL90" s="60"/>
      <c r="BM90" s="60"/>
      <c r="BN90" s="60"/>
      <c r="BO90" s="60"/>
      <c r="BP90" s="60"/>
      <c r="BQ90" s="60"/>
      <c r="BR90" s="60"/>
      <c r="BS90" s="60"/>
      <c r="BT90" s="60"/>
      <c r="BU90" s="60"/>
      <c r="BV90" s="60"/>
      <c r="BW90" s="60"/>
      <c r="BX90" s="60"/>
      <c r="BY90" s="60"/>
      <c r="BZ90" s="60"/>
      <c r="CA90" s="60"/>
      <c r="CB90" s="60"/>
      <c r="CC90" s="60"/>
      <c r="CD90" s="60"/>
      <c r="CE90" s="60"/>
      <c r="CF90" s="60"/>
      <c r="CG90" s="60"/>
      <c r="CH90" s="60"/>
      <c r="CI90" s="60"/>
      <c r="CJ90" s="60"/>
      <c r="CK90" s="60"/>
      <c r="CL90" s="60"/>
      <c r="CM90" s="60"/>
      <c r="CN90" s="60"/>
      <c r="CO90" s="60"/>
      <c r="CP90" s="60"/>
      <c r="CQ90" s="60"/>
      <c r="CR90" s="60"/>
      <c r="CS90" s="60"/>
      <c r="CT90" s="60"/>
      <c r="CU90" s="60"/>
      <c r="CV90" s="60"/>
      <c r="CW90" s="60"/>
      <c r="CX90" s="60"/>
      <c r="CY90" s="60"/>
      <c r="CZ90" s="60"/>
      <c r="DA90" s="60"/>
      <c r="DB90" s="60"/>
      <c r="DC90" s="60"/>
      <c r="DD90" s="60"/>
      <c r="DE90" s="60"/>
      <c r="DF90" s="60"/>
      <c r="DG90" s="60"/>
      <c r="DH90" s="60"/>
      <c r="DI90" s="60"/>
      <c r="DJ90" s="60"/>
      <c r="DK90" s="60"/>
      <c r="DL90" s="60"/>
      <c r="DM90" s="60"/>
      <c r="DN90" s="60"/>
      <c r="DO90" s="60"/>
      <c r="DP90" s="60"/>
      <c r="DQ90" s="60"/>
      <c r="DR90" s="60"/>
      <c r="DS90" s="60"/>
      <c r="DT90" s="60"/>
      <c r="DU90" s="60"/>
      <c r="DV90" s="60"/>
      <c r="DW90" s="60"/>
      <c r="DX90" s="60"/>
      <c r="DY90" s="60"/>
      <c r="DZ90" s="60"/>
      <c r="EA90" s="60"/>
      <c r="EB90" s="60"/>
      <c r="EC90" s="60"/>
      <c r="ED90" s="60"/>
      <c r="EE90" s="60"/>
      <c r="EF90" s="60"/>
      <c r="EG90" s="60"/>
      <c r="EH90" s="60"/>
      <c r="EI90" s="60"/>
      <c r="EJ90" s="60"/>
      <c r="EK90" s="60"/>
      <c r="EL90" s="60"/>
      <c r="EM90" s="60"/>
      <c r="EN90" s="60"/>
      <c r="EO90" s="60"/>
      <c r="EP90" s="60"/>
      <c r="EQ90" s="60"/>
      <c r="ER90" s="60"/>
      <c r="ES90" s="60"/>
      <c r="ET90" s="60"/>
      <c r="EU90" s="60"/>
      <c r="EV90" s="60"/>
      <c r="EW90" s="60"/>
      <c r="EX90" s="60"/>
      <c r="EY90" s="60"/>
      <c r="EZ90" s="60"/>
      <c r="FA90" s="60"/>
      <c r="FB90" s="60"/>
      <c r="FC90" s="60"/>
      <c r="FD90" s="60"/>
      <c r="FE90" s="60"/>
      <c r="FF90" s="60"/>
      <c r="FG90" s="60"/>
      <c r="FH90" s="60"/>
      <c r="FI90" s="60"/>
      <c r="FJ90" s="60"/>
      <c r="FK90" s="60"/>
      <c r="FL90" s="60"/>
      <c r="FM90" s="60"/>
      <c r="FN90" s="60"/>
      <c r="FO90" s="60"/>
      <c r="FP90" s="60"/>
      <c r="FQ90" s="60"/>
      <c r="FR90" s="60"/>
      <c r="FS90" s="60"/>
      <c r="FT90" s="60"/>
      <c r="FU90" s="60"/>
      <c r="FV90" s="60"/>
      <c r="FW90" s="60"/>
      <c r="FX90" s="60"/>
      <c r="FY90" s="60"/>
      <c r="FZ90" s="60"/>
      <c r="GA90" s="60"/>
      <c r="GB90" s="60"/>
      <c r="GC90" s="60"/>
      <c r="GD90" s="60"/>
      <c r="GE90" s="60"/>
      <c r="GF90" s="60"/>
      <c r="GG90" s="60"/>
      <c r="GH90" s="60"/>
      <c r="GI90" s="60"/>
      <c r="GJ90" s="60"/>
      <c r="GK90" s="60"/>
      <c r="GL90" s="60"/>
      <c r="GM90" s="60"/>
      <c r="GN90" s="60"/>
      <c r="GO90" s="60"/>
      <c r="GP90" s="60"/>
      <c r="GQ90" s="60"/>
      <c r="GR90" s="60"/>
      <c r="GS90" s="60"/>
      <c r="GT90" s="60"/>
      <c r="GU90" s="60"/>
      <c r="GV90" s="60"/>
      <c r="GW90" s="60"/>
      <c r="GX90" s="60"/>
      <c r="GY90" s="60"/>
      <c r="GZ90" s="60"/>
      <c r="HA90" s="60"/>
      <c r="HB90" s="60"/>
      <c r="HC90" s="60"/>
      <c r="HD90" s="60"/>
      <c r="HE90" s="60"/>
      <c r="HF90" s="60"/>
      <c r="HG90" s="60"/>
      <c r="HH90" s="60"/>
      <c r="HI90" s="60"/>
      <c r="HJ90" s="60"/>
      <c r="HK90" s="60"/>
      <c r="HL90" s="60"/>
      <c r="HM90" s="60"/>
      <c r="HN90" s="60"/>
      <c r="HO90" s="60"/>
      <c r="HP90" s="60"/>
      <c r="HQ90" s="60"/>
      <c r="HR90" s="60"/>
      <c r="HS90" s="60"/>
      <c r="HT90" s="60"/>
      <c r="HU90" s="60"/>
      <c r="HV90" s="60"/>
      <c r="HW90" s="60"/>
      <c r="HX90" s="60"/>
      <c r="HY90" s="60"/>
      <c r="HZ90" s="60"/>
      <c r="IA90" s="60"/>
      <c r="IB90" s="60"/>
      <c r="IC90" s="60"/>
      <c r="ID90" s="60"/>
      <c r="IE90" s="60"/>
      <c r="IF90" s="60"/>
      <c r="IG90" s="60"/>
      <c r="IH90" s="60"/>
      <c r="II90" s="60"/>
      <c r="IJ90" s="60"/>
      <c r="IK90" s="60"/>
      <c r="IL90" s="60"/>
      <c r="IM90" s="60"/>
      <c r="IN90" s="60"/>
      <c r="IO90" s="60"/>
      <c r="IP90" s="60"/>
      <c r="IQ90" s="60"/>
      <c r="IR90" s="60"/>
      <c r="IS90" s="60"/>
      <c r="IT90" s="60"/>
      <c r="IU90" s="60"/>
      <c r="IV90" s="60"/>
      <c r="IW90" s="60"/>
      <c r="IX90" s="60"/>
      <c r="IY90" s="60"/>
      <c r="IZ90" s="60"/>
      <c r="JA90" s="60"/>
      <c r="JB90" s="60"/>
      <c r="JC90" s="60"/>
      <c r="JD90" s="60"/>
      <c r="JE90" s="60"/>
      <c r="JF90" s="60"/>
      <c r="JG90" s="60"/>
      <c r="JH90" s="60"/>
      <c r="JI90" s="60"/>
      <c r="JJ90" s="60"/>
      <c r="JK90" s="60"/>
      <c r="JL90" s="60"/>
      <c r="JM90" s="60"/>
      <c r="JN90" s="60"/>
      <c r="JO90" s="60"/>
      <c r="JP90" s="60"/>
      <c r="JQ90" s="60"/>
      <c r="JR90" s="60"/>
      <c r="JS90" s="60"/>
      <c r="JT90" s="60"/>
      <c r="JU90" s="60"/>
      <c r="JV90" s="60"/>
      <c r="JW90" s="60"/>
      <c r="JX90" s="60"/>
      <c r="JY90" s="60"/>
      <c r="JZ90" s="60"/>
      <c r="KA90" s="60"/>
      <c r="KB90" s="60"/>
      <c r="KC90" s="60"/>
      <c r="KD90" s="60"/>
      <c r="KE90" s="60"/>
      <c r="KF90" s="60"/>
      <c r="KG90" s="60"/>
      <c r="KH90" s="60"/>
      <c r="KI90" s="60"/>
      <c r="KJ90" s="60"/>
      <c r="KK90" s="60"/>
      <c r="KL90" s="60"/>
      <c r="KM90" s="60"/>
      <c r="KN90" s="60"/>
      <c r="KO90" s="60"/>
      <c r="KP90" s="60"/>
      <c r="KQ90" s="60"/>
      <c r="KR90" s="60"/>
      <c r="KS90" s="60"/>
      <c r="KT90" s="60"/>
      <c r="KU90" s="60"/>
      <c r="KV90" s="60"/>
      <c r="KW90" s="60"/>
      <c r="KX90" s="60"/>
      <c r="KY90" s="60"/>
      <c r="KZ90" s="60"/>
      <c r="LA90" s="60"/>
      <c r="LB90" s="60"/>
      <c r="LC90" s="60"/>
      <c r="LD90" s="60"/>
      <c r="LE90" s="60"/>
      <c r="LF90" s="60"/>
      <c r="LG90" s="60"/>
      <c r="LH90" s="60"/>
    </row>
    <row r="91" spans="1:320" s="17" customFormat="1" x14ac:dyDescent="0.25">
      <c r="A91" s="147"/>
      <c r="E91" s="156"/>
      <c r="F91" s="156"/>
      <c r="G91" s="156"/>
      <c r="H91" s="156"/>
      <c r="I91" s="156"/>
      <c r="J91" s="156"/>
      <c r="K91" s="156"/>
      <c r="L91" s="156"/>
      <c r="M91" s="156"/>
      <c r="N91" s="156"/>
      <c r="O91" s="156"/>
      <c r="P91" s="156"/>
      <c r="Q91" s="156"/>
      <c r="R91" s="156"/>
      <c r="S91" s="156"/>
      <c r="AC91" s="60"/>
      <c r="AD91" s="60"/>
      <c r="AE91" s="60"/>
      <c r="AF91" s="60"/>
      <c r="AG91" s="60"/>
      <c r="AH91" s="60"/>
      <c r="AI91" s="60"/>
      <c r="AJ91" s="60"/>
      <c r="AK91" s="60"/>
      <c r="AL91" s="60"/>
      <c r="AM91" s="60"/>
      <c r="AN91" s="60"/>
      <c r="AO91" s="60"/>
      <c r="AP91" s="60"/>
      <c r="AQ91" s="60"/>
      <c r="AR91" s="60"/>
      <c r="AS91" s="60"/>
      <c r="AT91" s="60"/>
      <c r="AU91" s="60"/>
      <c r="AV91" s="60"/>
      <c r="AW91" s="60"/>
      <c r="AX91" s="60"/>
      <c r="AY91" s="60"/>
      <c r="AZ91" s="60"/>
      <c r="BA91" s="60"/>
      <c r="BB91" s="60"/>
      <c r="BC91" s="60"/>
      <c r="BD91" s="60"/>
      <c r="BE91" s="60"/>
      <c r="BF91" s="60"/>
      <c r="BG91" s="60"/>
      <c r="BH91" s="60"/>
      <c r="BI91" s="60"/>
      <c r="BJ91" s="60"/>
      <c r="BK91" s="60"/>
      <c r="BL91" s="60"/>
      <c r="BM91" s="60"/>
      <c r="BN91" s="60"/>
      <c r="BO91" s="60"/>
      <c r="BP91" s="60"/>
      <c r="BQ91" s="60"/>
      <c r="BR91" s="60"/>
      <c r="BS91" s="60"/>
      <c r="BT91" s="60"/>
      <c r="BU91" s="60"/>
      <c r="BV91" s="60"/>
      <c r="BW91" s="60"/>
      <c r="BX91" s="60"/>
      <c r="BY91" s="60"/>
      <c r="BZ91" s="60"/>
      <c r="CA91" s="60"/>
      <c r="CB91" s="60"/>
      <c r="CC91" s="60"/>
      <c r="CD91" s="60"/>
      <c r="CE91" s="60"/>
      <c r="CF91" s="60"/>
      <c r="CG91" s="60"/>
      <c r="CH91" s="60"/>
      <c r="CI91" s="60"/>
      <c r="CJ91" s="60"/>
      <c r="CK91" s="60"/>
      <c r="CL91" s="60"/>
      <c r="CM91" s="60"/>
      <c r="CN91" s="60"/>
      <c r="CO91" s="60"/>
      <c r="CP91" s="60"/>
      <c r="CQ91" s="60"/>
      <c r="CR91" s="60"/>
      <c r="CS91" s="60"/>
      <c r="CT91" s="60"/>
      <c r="CU91" s="60"/>
      <c r="CV91" s="60"/>
      <c r="CW91" s="60"/>
      <c r="CX91" s="60"/>
      <c r="CY91" s="60"/>
      <c r="CZ91" s="60"/>
      <c r="DA91" s="60"/>
      <c r="DB91" s="60"/>
      <c r="DC91" s="60"/>
      <c r="DD91" s="60"/>
      <c r="DE91" s="60"/>
      <c r="DF91" s="60"/>
      <c r="DG91" s="60"/>
      <c r="DH91" s="60"/>
      <c r="DI91" s="60"/>
      <c r="DJ91" s="60"/>
      <c r="DK91" s="60"/>
      <c r="DL91" s="60"/>
      <c r="DM91" s="60"/>
      <c r="DN91" s="60"/>
      <c r="DO91" s="60"/>
      <c r="DP91" s="60"/>
      <c r="DQ91" s="60"/>
      <c r="DR91" s="60"/>
      <c r="DS91" s="60"/>
      <c r="DT91" s="60"/>
      <c r="DU91" s="60"/>
      <c r="DV91" s="60"/>
      <c r="DW91" s="60"/>
      <c r="DX91" s="60"/>
      <c r="DY91" s="60"/>
      <c r="DZ91" s="60"/>
      <c r="EA91" s="60"/>
      <c r="EB91" s="60"/>
      <c r="EC91" s="60"/>
      <c r="ED91" s="60"/>
      <c r="EE91" s="60"/>
      <c r="EF91" s="60"/>
      <c r="EG91" s="60"/>
      <c r="EH91" s="60"/>
      <c r="EI91" s="60"/>
      <c r="EJ91" s="60"/>
      <c r="EK91" s="60"/>
      <c r="EL91" s="60"/>
      <c r="EM91" s="60"/>
      <c r="EN91" s="60"/>
      <c r="EO91" s="60"/>
      <c r="EP91" s="60"/>
      <c r="EQ91" s="60"/>
      <c r="ER91" s="60"/>
      <c r="ES91" s="60"/>
      <c r="ET91" s="60"/>
      <c r="EU91" s="60"/>
      <c r="EV91" s="60"/>
      <c r="EW91" s="60"/>
      <c r="EX91" s="60"/>
      <c r="EY91" s="60"/>
      <c r="EZ91" s="60"/>
      <c r="FA91" s="60"/>
      <c r="FB91" s="60"/>
      <c r="FC91" s="60"/>
      <c r="FD91" s="60"/>
      <c r="FE91" s="60"/>
      <c r="FF91" s="60"/>
      <c r="FG91" s="60"/>
      <c r="FH91" s="60"/>
      <c r="FI91" s="60"/>
      <c r="FJ91" s="60"/>
      <c r="FK91" s="60"/>
      <c r="FL91" s="60"/>
      <c r="FM91" s="60"/>
      <c r="FN91" s="60"/>
      <c r="FO91" s="60"/>
      <c r="FP91" s="60"/>
      <c r="FQ91" s="60"/>
      <c r="FR91" s="60"/>
      <c r="FS91" s="60"/>
      <c r="FT91" s="60"/>
      <c r="FU91" s="60"/>
      <c r="FV91" s="60"/>
      <c r="FW91" s="60"/>
      <c r="FX91" s="60"/>
      <c r="FY91" s="60"/>
      <c r="FZ91" s="60"/>
      <c r="GA91" s="60"/>
      <c r="GB91" s="60"/>
      <c r="GC91" s="60"/>
      <c r="GD91" s="60"/>
      <c r="GE91" s="60"/>
      <c r="GF91" s="60"/>
      <c r="GG91" s="60"/>
      <c r="GH91" s="60"/>
      <c r="GI91" s="60"/>
      <c r="GJ91" s="60"/>
      <c r="GK91" s="60"/>
      <c r="GL91" s="60"/>
      <c r="GM91" s="60"/>
      <c r="GN91" s="60"/>
      <c r="GO91" s="60"/>
      <c r="GP91" s="60"/>
      <c r="GQ91" s="60"/>
      <c r="GR91" s="60"/>
      <c r="GS91" s="60"/>
      <c r="GT91" s="60"/>
      <c r="GU91" s="60"/>
      <c r="GV91" s="60"/>
      <c r="GW91" s="60"/>
      <c r="GX91" s="60"/>
      <c r="GY91" s="60"/>
      <c r="GZ91" s="60"/>
      <c r="HA91" s="60"/>
      <c r="HB91" s="60"/>
      <c r="HC91" s="60"/>
      <c r="HD91" s="60"/>
      <c r="HE91" s="60"/>
      <c r="HF91" s="60"/>
      <c r="HG91" s="60"/>
      <c r="HH91" s="60"/>
      <c r="HI91" s="60"/>
      <c r="HJ91" s="60"/>
      <c r="HK91" s="60"/>
      <c r="HL91" s="60"/>
      <c r="HM91" s="60"/>
      <c r="HN91" s="60"/>
      <c r="HO91" s="60"/>
      <c r="HP91" s="60"/>
      <c r="HQ91" s="60"/>
      <c r="HR91" s="60"/>
      <c r="HS91" s="60"/>
      <c r="HT91" s="60"/>
      <c r="HU91" s="60"/>
      <c r="HV91" s="60"/>
      <c r="HW91" s="60"/>
      <c r="HX91" s="60"/>
      <c r="HY91" s="60"/>
      <c r="HZ91" s="60"/>
      <c r="IA91" s="60"/>
      <c r="IB91" s="60"/>
      <c r="IC91" s="60"/>
      <c r="ID91" s="60"/>
      <c r="IE91" s="60"/>
      <c r="IF91" s="60"/>
      <c r="IG91" s="60"/>
      <c r="IH91" s="60"/>
      <c r="II91" s="60"/>
      <c r="IJ91" s="60"/>
      <c r="IK91" s="60"/>
      <c r="IL91" s="60"/>
      <c r="IM91" s="60"/>
      <c r="IN91" s="60"/>
      <c r="IO91" s="60"/>
      <c r="IP91" s="60"/>
      <c r="IQ91" s="60"/>
      <c r="IR91" s="60"/>
      <c r="IS91" s="60"/>
      <c r="IT91" s="60"/>
      <c r="IU91" s="60"/>
      <c r="IV91" s="60"/>
      <c r="IW91" s="60"/>
      <c r="IX91" s="60"/>
      <c r="IY91" s="60"/>
      <c r="IZ91" s="60"/>
      <c r="JA91" s="60"/>
      <c r="JB91" s="60"/>
      <c r="JC91" s="60"/>
      <c r="JD91" s="60"/>
      <c r="JE91" s="60"/>
      <c r="JF91" s="60"/>
      <c r="JG91" s="60"/>
      <c r="JH91" s="60"/>
      <c r="JI91" s="60"/>
      <c r="JJ91" s="60"/>
      <c r="JK91" s="60"/>
      <c r="JL91" s="60"/>
      <c r="JM91" s="60"/>
      <c r="JN91" s="60"/>
      <c r="JO91" s="60"/>
      <c r="JP91" s="60"/>
      <c r="JQ91" s="60"/>
      <c r="JR91" s="60"/>
      <c r="JS91" s="60"/>
      <c r="JT91" s="60"/>
      <c r="JU91" s="60"/>
      <c r="JV91" s="60"/>
      <c r="JW91" s="60"/>
      <c r="JX91" s="60"/>
      <c r="JY91" s="60"/>
      <c r="JZ91" s="60"/>
      <c r="KA91" s="60"/>
      <c r="KB91" s="60"/>
      <c r="KC91" s="60"/>
      <c r="KD91" s="60"/>
      <c r="KE91" s="60"/>
      <c r="KF91" s="60"/>
      <c r="KG91" s="60"/>
      <c r="KH91" s="60"/>
      <c r="KI91" s="60"/>
      <c r="KJ91" s="60"/>
      <c r="KK91" s="60"/>
      <c r="KL91" s="60"/>
      <c r="KM91" s="60"/>
      <c r="KN91" s="60"/>
      <c r="KO91" s="60"/>
      <c r="KP91" s="60"/>
      <c r="KQ91" s="60"/>
      <c r="KR91" s="60"/>
      <c r="KS91" s="60"/>
      <c r="KT91" s="60"/>
      <c r="KU91" s="60"/>
      <c r="KV91" s="60"/>
      <c r="KW91" s="60"/>
      <c r="KX91" s="60"/>
      <c r="KY91" s="60"/>
      <c r="KZ91" s="60"/>
      <c r="LA91" s="60"/>
      <c r="LB91" s="60"/>
      <c r="LC91" s="60"/>
      <c r="LD91" s="60"/>
      <c r="LE91" s="60"/>
      <c r="LF91" s="60"/>
      <c r="LG91" s="60"/>
      <c r="LH91" s="60"/>
    </row>
    <row r="92" spans="1:320" s="17" customFormat="1" x14ac:dyDescent="0.25">
      <c r="A92" s="147"/>
      <c r="E92" s="156"/>
      <c r="F92" s="156"/>
      <c r="G92" s="156"/>
      <c r="H92" s="156"/>
      <c r="I92" s="156"/>
      <c r="J92" s="156"/>
      <c r="K92" s="156"/>
      <c r="L92" s="156"/>
      <c r="M92" s="156"/>
      <c r="N92" s="156"/>
      <c r="O92" s="156"/>
      <c r="P92" s="156"/>
      <c r="Q92" s="156"/>
      <c r="R92" s="156"/>
      <c r="S92" s="156"/>
      <c r="AC92" s="60"/>
      <c r="AD92" s="60"/>
      <c r="AE92" s="60"/>
      <c r="AF92" s="60"/>
      <c r="AG92" s="60"/>
      <c r="AH92" s="60"/>
      <c r="AI92" s="60"/>
      <c r="AJ92" s="60"/>
      <c r="AK92" s="60"/>
      <c r="AL92" s="60"/>
      <c r="AM92" s="60"/>
      <c r="AN92" s="60"/>
      <c r="AO92" s="60"/>
      <c r="AP92" s="60"/>
      <c r="AQ92" s="60"/>
      <c r="AR92" s="60"/>
      <c r="AS92" s="60"/>
      <c r="AT92" s="60"/>
      <c r="AU92" s="60"/>
      <c r="AV92" s="60"/>
      <c r="AW92" s="60"/>
      <c r="AX92" s="60"/>
      <c r="AY92" s="60"/>
      <c r="AZ92" s="60"/>
      <c r="BA92" s="60"/>
      <c r="BB92" s="60"/>
      <c r="BC92" s="60"/>
      <c r="BD92" s="60"/>
      <c r="BE92" s="60"/>
      <c r="BF92" s="60"/>
      <c r="BG92" s="60"/>
      <c r="BH92" s="60"/>
      <c r="BI92" s="60"/>
      <c r="BJ92" s="60"/>
      <c r="BK92" s="60"/>
      <c r="BL92" s="60"/>
      <c r="BM92" s="60"/>
      <c r="BN92" s="60"/>
      <c r="BO92" s="60"/>
      <c r="BP92" s="60"/>
      <c r="BQ92" s="60"/>
      <c r="BR92" s="60"/>
      <c r="BS92" s="60"/>
      <c r="BT92" s="60"/>
      <c r="BU92" s="60"/>
      <c r="BV92" s="60"/>
      <c r="BW92" s="60"/>
      <c r="BX92" s="60"/>
      <c r="BY92" s="60"/>
      <c r="BZ92" s="60"/>
      <c r="CA92" s="60"/>
      <c r="CB92" s="60"/>
      <c r="CC92" s="60"/>
      <c r="CD92" s="60"/>
      <c r="CE92" s="60"/>
      <c r="CF92" s="60"/>
      <c r="CG92" s="60"/>
      <c r="CH92" s="60"/>
      <c r="CI92" s="60"/>
      <c r="CJ92" s="60"/>
      <c r="CK92" s="60"/>
      <c r="CL92" s="60"/>
      <c r="CM92" s="60"/>
      <c r="CN92" s="60"/>
      <c r="CO92" s="60"/>
      <c r="CP92" s="60"/>
      <c r="CQ92" s="60"/>
      <c r="CR92" s="60"/>
      <c r="CS92" s="60"/>
      <c r="CT92" s="60"/>
      <c r="CU92" s="60"/>
      <c r="CV92" s="60"/>
      <c r="CW92" s="60"/>
      <c r="CX92" s="60"/>
      <c r="CY92" s="60"/>
      <c r="CZ92" s="60"/>
      <c r="DA92" s="60"/>
      <c r="DB92" s="60"/>
      <c r="DC92" s="60"/>
      <c r="DD92" s="60"/>
      <c r="DE92" s="60"/>
      <c r="DF92" s="60"/>
      <c r="DG92" s="60"/>
      <c r="DH92" s="60"/>
      <c r="DI92" s="60"/>
      <c r="DJ92" s="60"/>
      <c r="DK92" s="60"/>
      <c r="DL92" s="60"/>
      <c r="DM92" s="60"/>
      <c r="DN92" s="60"/>
      <c r="DO92" s="60"/>
      <c r="DP92" s="60"/>
      <c r="DQ92" s="60"/>
      <c r="DR92" s="60"/>
      <c r="DS92" s="60"/>
      <c r="DT92" s="60"/>
      <c r="DU92" s="60"/>
      <c r="DV92" s="60"/>
      <c r="DW92" s="60"/>
      <c r="DX92" s="60"/>
      <c r="DY92" s="60"/>
      <c r="DZ92" s="60"/>
      <c r="EA92" s="60"/>
      <c r="EB92" s="60"/>
      <c r="EC92" s="60"/>
      <c r="ED92" s="60"/>
      <c r="EE92" s="60"/>
      <c r="EF92" s="60"/>
      <c r="EG92" s="60"/>
      <c r="EH92" s="60"/>
      <c r="EI92" s="60"/>
      <c r="EJ92" s="60"/>
      <c r="EK92" s="60"/>
      <c r="EL92" s="60"/>
      <c r="EM92" s="60"/>
      <c r="EN92" s="60"/>
      <c r="EO92" s="60"/>
      <c r="EP92" s="60"/>
      <c r="EQ92" s="60"/>
      <c r="ER92" s="60"/>
      <c r="ES92" s="60"/>
      <c r="ET92" s="60"/>
      <c r="EU92" s="60"/>
      <c r="EV92" s="60"/>
      <c r="EW92" s="60"/>
      <c r="EX92" s="60"/>
      <c r="EY92" s="60"/>
      <c r="EZ92" s="60"/>
      <c r="FA92" s="60"/>
      <c r="FB92" s="60"/>
      <c r="FC92" s="60"/>
      <c r="FD92" s="60"/>
      <c r="FE92" s="60"/>
      <c r="FF92" s="60"/>
      <c r="FG92" s="60"/>
      <c r="FH92" s="60"/>
      <c r="FI92" s="60"/>
      <c r="FJ92" s="60"/>
      <c r="FK92" s="60"/>
      <c r="FL92" s="60"/>
      <c r="FM92" s="60"/>
      <c r="FN92" s="60"/>
      <c r="FO92" s="60"/>
      <c r="FP92" s="60"/>
      <c r="FQ92" s="60"/>
      <c r="FR92" s="60"/>
      <c r="FS92" s="60"/>
      <c r="FT92" s="60"/>
      <c r="FU92" s="60"/>
      <c r="FV92" s="60"/>
      <c r="FW92" s="60"/>
      <c r="FX92" s="60"/>
      <c r="FY92" s="60"/>
      <c r="FZ92" s="60"/>
      <c r="GA92" s="60"/>
      <c r="GB92" s="60"/>
      <c r="GC92" s="60"/>
      <c r="GD92" s="60"/>
      <c r="GE92" s="60"/>
      <c r="GF92" s="60"/>
      <c r="GG92" s="60"/>
      <c r="GH92" s="60"/>
      <c r="GI92" s="60"/>
      <c r="GJ92" s="60"/>
      <c r="GK92" s="60"/>
      <c r="GL92" s="60"/>
      <c r="GM92" s="60"/>
      <c r="GN92" s="60"/>
      <c r="GO92" s="60"/>
      <c r="GP92" s="60"/>
      <c r="GQ92" s="60"/>
      <c r="GR92" s="60"/>
      <c r="GS92" s="60"/>
      <c r="GT92" s="60"/>
      <c r="GU92" s="60"/>
      <c r="GV92" s="60"/>
      <c r="GW92" s="60"/>
      <c r="GX92" s="60"/>
      <c r="GY92" s="60"/>
      <c r="GZ92" s="60"/>
      <c r="HA92" s="60"/>
      <c r="HB92" s="60"/>
      <c r="HC92" s="60"/>
      <c r="HD92" s="60"/>
      <c r="HE92" s="60"/>
      <c r="HF92" s="60"/>
      <c r="HG92" s="60"/>
      <c r="HH92" s="60"/>
      <c r="HI92" s="60"/>
      <c r="HJ92" s="60"/>
      <c r="HK92" s="60"/>
      <c r="HL92" s="60"/>
      <c r="HM92" s="60"/>
      <c r="HN92" s="60"/>
      <c r="HO92" s="60"/>
      <c r="HP92" s="60"/>
      <c r="HQ92" s="60"/>
      <c r="HR92" s="60"/>
      <c r="HS92" s="60"/>
      <c r="HT92" s="60"/>
      <c r="HU92" s="60"/>
      <c r="HV92" s="60"/>
      <c r="HW92" s="60"/>
      <c r="HX92" s="60"/>
      <c r="HY92" s="60"/>
      <c r="HZ92" s="60"/>
      <c r="IA92" s="60"/>
      <c r="IB92" s="60"/>
      <c r="IC92" s="60"/>
      <c r="ID92" s="60"/>
      <c r="IE92" s="60"/>
      <c r="IF92" s="60"/>
      <c r="IG92" s="60"/>
      <c r="IH92" s="60"/>
      <c r="II92" s="60"/>
      <c r="IJ92" s="60"/>
      <c r="IK92" s="60"/>
      <c r="IL92" s="60"/>
      <c r="IM92" s="60"/>
      <c r="IN92" s="60"/>
      <c r="IO92" s="60"/>
      <c r="IP92" s="60"/>
      <c r="IQ92" s="60"/>
      <c r="IR92" s="60"/>
      <c r="IS92" s="60"/>
      <c r="IT92" s="60"/>
      <c r="IU92" s="60"/>
      <c r="IV92" s="60"/>
      <c r="IW92" s="60"/>
      <c r="IX92" s="60"/>
      <c r="IY92" s="60"/>
      <c r="IZ92" s="60"/>
      <c r="JA92" s="60"/>
      <c r="JB92" s="60"/>
      <c r="JC92" s="60"/>
      <c r="JD92" s="60"/>
      <c r="JE92" s="60"/>
      <c r="JF92" s="60"/>
      <c r="JG92" s="60"/>
      <c r="JH92" s="60"/>
      <c r="JI92" s="60"/>
      <c r="JJ92" s="60"/>
      <c r="JK92" s="60"/>
      <c r="JL92" s="60"/>
      <c r="JM92" s="60"/>
      <c r="JN92" s="60"/>
      <c r="JO92" s="60"/>
      <c r="JP92" s="60"/>
      <c r="JQ92" s="60"/>
      <c r="JR92" s="60"/>
      <c r="JS92" s="60"/>
      <c r="JT92" s="60"/>
      <c r="JU92" s="60"/>
      <c r="JV92" s="60"/>
      <c r="JW92" s="60"/>
      <c r="JX92" s="60"/>
      <c r="JY92" s="60"/>
      <c r="JZ92" s="60"/>
      <c r="KA92" s="60"/>
      <c r="KB92" s="60"/>
      <c r="KC92" s="60"/>
      <c r="KD92" s="60"/>
      <c r="KE92" s="60"/>
      <c r="KF92" s="60"/>
      <c r="KG92" s="60"/>
      <c r="KH92" s="60"/>
      <c r="KI92" s="60"/>
      <c r="KJ92" s="60"/>
      <c r="KK92" s="60"/>
      <c r="KL92" s="60"/>
      <c r="KM92" s="60"/>
      <c r="KN92" s="60"/>
      <c r="KO92" s="60"/>
      <c r="KP92" s="60"/>
      <c r="KQ92" s="60"/>
      <c r="KR92" s="60"/>
      <c r="KS92" s="60"/>
      <c r="KT92" s="60"/>
      <c r="KU92" s="60"/>
      <c r="KV92" s="60"/>
      <c r="KW92" s="60"/>
      <c r="KX92" s="60"/>
      <c r="KY92" s="60"/>
      <c r="KZ92" s="60"/>
      <c r="LA92" s="60"/>
      <c r="LB92" s="60"/>
      <c r="LC92" s="60"/>
      <c r="LD92" s="60"/>
      <c r="LE92" s="60"/>
      <c r="LF92" s="60"/>
      <c r="LG92" s="60"/>
      <c r="LH92" s="60"/>
    </row>
    <row r="93" spans="1:320" s="17" customFormat="1" x14ac:dyDescent="0.25">
      <c r="A93" s="147"/>
      <c r="E93" s="156"/>
      <c r="F93" s="156"/>
      <c r="G93" s="156"/>
      <c r="H93" s="156"/>
      <c r="I93" s="156"/>
      <c r="J93" s="156"/>
      <c r="K93" s="156"/>
      <c r="L93" s="156"/>
      <c r="M93" s="156"/>
      <c r="N93" s="156"/>
      <c r="O93" s="156"/>
      <c r="P93" s="156"/>
      <c r="Q93" s="156"/>
      <c r="R93" s="156"/>
      <c r="S93" s="156"/>
      <c r="AC93" s="60"/>
      <c r="AD93" s="60"/>
      <c r="AE93" s="60"/>
      <c r="AF93" s="60"/>
      <c r="AG93" s="60"/>
      <c r="AH93" s="60"/>
      <c r="AI93" s="60"/>
      <c r="AJ93" s="60"/>
      <c r="AK93" s="60"/>
      <c r="AL93" s="60"/>
      <c r="AM93" s="60"/>
      <c r="AN93" s="60"/>
      <c r="AO93" s="60"/>
      <c r="AP93" s="60"/>
      <c r="AQ93" s="60"/>
      <c r="AR93" s="60"/>
      <c r="AS93" s="60"/>
      <c r="AT93" s="60"/>
      <c r="AU93" s="60"/>
      <c r="AV93" s="60"/>
      <c r="AW93" s="60"/>
      <c r="AX93" s="60"/>
      <c r="AY93" s="60"/>
      <c r="AZ93" s="60"/>
      <c r="BA93" s="60"/>
      <c r="BB93" s="60"/>
      <c r="BC93" s="60"/>
      <c r="BD93" s="60"/>
      <c r="BE93" s="60"/>
      <c r="BF93" s="60"/>
      <c r="BG93" s="60"/>
      <c r="BH93" s="60"/>
      <c r="BI93" s="60"/>
      <c r="BJ93" s="60"/>
      <c r="BK93" s="60"/>
      <c r="BL93" s="60"/>
      <c r="BM93" s="60"/>
      <c r="BN93" s="60"/>
      <c r="BO93" s="60"/>
      <c r="BP93" s="60"/>
      <c r="BQ93" s="60"/>
      <c r="BR93" s="60"/>
      <c r="BS93" s="60"/>
      <c r="BT93" s="60"/>
      <c r="BU93" s="60"/>
      <c r="BV93" s="60"/>
      <c r="BW93" s="60"/>
      <c r="BX93" s="60"/>
      <c r="BY93" s="60"/>
      <c r="BZ93" s="60"/>
      <c r="CA93" s="60"/>
      <c r="CB93" s="60"/>
      <c r="CC93" s="60"/>
      <c r="CD93" s="60"/>
      <c r="CE93" s="60"/>
      <c r="CF93" s="60"/>
      <c r="CG93" s="60"/>
      <c r="CH93" s="60"/>
      <c r="CI93" s="60"/>
      <c r="CJ93" s="60"/>
      <c r="CK93" s="60"/>
      <c r="CL93" s="60"/>
      <c r="CM93" s="60"/>
      <c r="CN93" s="60"/>
      <c r="CO93" s="60"/>
      <c r="CP93" s="60"/>
      <c r="CQ93" s="60"/>
      <c r="CR93" s="60"/>
      <c r="CS93" s="60"/>
      <c r="CT93" s="60"/>
      <c r="CU93" s="60"/>
      <c r="CV93" s="60"/>
      <c r="CW93" s="60"/>
      <c r="CX93" s="60"/>
      <c r="CY93" s="60"/>
      <c r="CZ93" s="60"/>
      <c r="DA93" s="60"/>
      <c r="DB93" s="60"/>
      <c r="DC93" s="60"/>
      <c r="DD93" s="60"/>
      <c r="DE93" s="60"/>
      <c r="DF93" s="60"/>
      <c r="DG93" s="60"/>
      <c r="DH93" s="60"/>
      <c r="DI93" s="60"/>
      <c r="DJ93" s="60"/>
      <c r="DK93" s="60"/>
      <c r="DL93" s="60"/>
      <c r="DM93" s="60"/>
      <c r="DN93" s="60"/>
      <c r="DO93" s="60"/>
      <c r="DP93" s="60"/>
      <c r="DQ93" s="60"/>
      <c r="DR93" s="60"/>
      <c r="DS93" s="60"/>
      <c r="DT93" s="60"/>
      <c r="DU93" s="60"/>
      <c r="DV93" s="60"/>
      <c r="DW93" s="60"/>
      <c r="DX93" s="60"/>
      <c r="DY93" s="60"/>
      <c r="DZ93" s="60"/>
      <c r="EA93" s="60"/>
      <c r="EB93" s="60"/>
      <c r="EC93" s="60"/>
      <c r="ED93" s="60"/>
      <c r="EE93" s="60"/>
      <c r="EF93" s="60"/>
      <c r="EG93" s="60"/>
      <c r="EH93" s="60"/>
      <c r="EI93" s="60"/>
      <c r="EJ93" s="60"/>
      <c r="EK93" s="60"/>
      <c r="EL93" s="60"/>
      <c r="EM93" s="60"/>
      <c r="EN93" s="60"/>
      <c r="EO93" s="60"/>
      <c r="EP93" s="60"/>
      <c r="EQ93" s="60"/>
      <c r="ER93" s="60"/>
      <c r="ES93" s="60"/>
      <c r="ET93" s="60"/>
      <c r="EU93" s="60"/>
      <c r="EV93" s="60"/>
      <c r="EW93" s="60"/>
      <c r="EX93" s="60"/>
      <c r="EY93" s="60"/>
      <c r="EZ93" s="60"/>
      <c r="FA93" s="60"/>
      <c r="FB93" s="60"/>
      <c r="FC93" s="60"/>
      <c r="FD93" s="60"/>
      <c r="FE93" s="60"/>
      <c r="FF93" s="60"/>
      <c r="FG93" s="60"/>
      <c r="FH93" s="60"/>
      <c r="FI93" s="60"/>
      <c r="FJ93" s="60"/>
      <c r="FK93" s="60"/>
      <c r="FL93" s="60"/>
      <c r="FM93" s="60"/>
      <c r="FN93" s="60"/>
      <c r="FO93" s="60"/>
      <c r="FP93" s="60"/>
      <c r="FQ93" s="60"/>
      <c r="FR93" s="60"/>
      <c r="FS93" s="60"/>
      <c r="FT93" s="60"/>
      <c r="FU93" s="60"/>
      <c r="FV93" s="60"/>
      <c r="FW93" s="60"/>
      <c r="FX93" s="60"/>
      <c r="FY93" s="60"/>
      <c r="FZ93" s="60"/>
      <c r="GA93" s="60"/>
      <c r="GB93" s="60"/>
      <c r="GC93" s="60"/>
      <c r="GD93" s="60"/>
      <c r="GE93" s="60"/>
      <c r="GF93" s="60"/>
      <c r="GG93" s="60"/>
      <c r="GH93" s="60"/>
      <c r="GI93" s="60"/>
      <c r="GJ93" s="60"/>
      <c r="GK93" s="60"/>
      <c r="GL93" s="60"/>
      <c r="GM93" s="60"/>
      <c r="GN93" s="60"/>
      <c r="GO93" s="60"/>
      <c r="GP93" s="60"/>
      <c r="GQ93" s="60"/>
      <c r="GR93" s="60"/>
      <c r="GS93" s="60"/>
      <c r="GT93" s="60"/>
      <c r="GU93" s="60"/>
      <c r="GV93" s="60"/>
      <c r="GW93" s="60"/>
      <c r="GX93" s="60"/>
      <c r="GY93" s="60"/>
      <c r="GZ93" s="60"/>
      <c r="HA93" s="60"/>
      <c r="HB93" s="60"/>
      <c r="HC93" s="60"/>
      <c r="HD93" s="60"/>
      <c r="HE93" s="60"/>
      <c r="HF93" s="60"/>
      <c r="HG93" s="60"/>
      <c r="HH93" s="60"/>
      <c r="HI93" s="60"/>
      <c r="HJ93" s="60"/>
      <c r="HK93" s="60"/>
      <c r="HL93" s="60"/>
      <c r="HM93" s="60"/>
      <c r="HN93" s="60"/>
      <c r="HO93" s="60"/>
      <c r="HP93" s="60"/>
      <c r="HQ93" s="60"/>
      <c r="HR93" s="60"/>
      <c r="HS93" s="60"/>
      <c r="HT93" s="60"/>
      <c r="HU93" s="60"/>
      <c r="HV93" s="60"/>
      <c r="HW93" s="60"/>
      <c r="HX93" s="60"/>
      <c r="HY93" s="60"/>
      <c r="HZ93" s="60"/>
      <c r="IA93" s="60"/>
      <c r="IB93" s="60"/>
      <c r="IC93" s="60"/>
      <c r="ID93" s="60"/>
      <c r="IE93" s="60"/>
      <c r="IF93" s="60"/>
      <c r="IG93" s="60"/>
      <c r="IH93" s="60"/>
      <c r="II93" s="60"/>
      <c r="IJ93" s="60"/>
      <c r="IK93" s="60"/>
      <c r="IL93" s="60"/>
      <c r="IM93" s="60"/>
      <c r="IN93" s="60"/>
      <c r="IO93" s="60"/>
      <c r="IP93" s="60"/>
      <c r="IQ93" s="60"/>
      <c r="IR93" s="60"/>
      <c r="IS93" s="60"/>
      <c r="IT93" s="60"/>
      <c r="IU93" s="60"/>
      <c r="IV93" s="60"/>
      <c r="IW93" s="60"/>
      <c r="IX93" s="60"/>
      <c r="IY93" s="60"/>
      <c r="IZ93" s="60"/>
      <c r="JA93" s="60"/>
      <c r="JB93" s="60"/>
      <c r="JC93" s="60"/>
      <c r="JD93" s="60"/>
      <c r="JE93" s="60"/>
      <c r="JF93" s="60"/>
      <c r="JG93" s="60"/>
      <c r="JH93" s="60"/>
      <c r="JI93" s="60"/>
      <c r="JJ93" s="60"/>
      <c r="JK93" s="60"/>
      <c r="JL93" s="60"/>
      <c r="JM93" s="60"/>
      <c r="JN93" s="60"/>
      <c r="JO93" s="60"/>
      <c r="JP93" s="60"/>
      <c r="JQ93" s="60"/>
      <c r="JR93" s="60"/>
      <c r="JS93" s="60"/>
      <c r="JT93" s="60"/>
      <c r="JU93" s="60"/>
      <c r="JV93" s="60"/>
      <c r="JW93" s="60"/>
      <c r="JX93" s="60"/>
      <c r="JY93" s="60"/>
      <c r="JZ93" s="60"/>
      <c r="KA93" s="60"/>
      <c r="KB93" s="60"/>
      <c r="KC93" s="60"/>
      <c r="KD93" s="60"/>
      <c r="KE93" s="60"/>
      <c r="KF93" s="60"/>
      <c r="KG93" s="60"/>
      <c r="KH93" s="60"/>
      <c r="KI93" s="60"/>
      <c r="KJ93" s="60"/>
      <c r="KK93" s="60"/>
      <c r="KL93" s="60"/>
      <c r="KM93" s="60"/>
      <c r="KN93" s="60"/>
      <c r="KO93" s="60"/>
      <c r="KP93" s="60"/>
      <c r="KQ93" s="60"/>
      <c r="KR93" s="60"/>
      <c r="KS93" s="60"/>
      <c r="KT93" s="60"/>
      <c r="KU93" s="60"/>
      <c r="KV93" s="60"/>
      <c r="KW93" s="60"/>
      <c r="KX93" s="60"/>
      <c r="KY93" s="60"/>
      <c r="KZ93" s="60"/>
      <c r="LA93" s="60"/>
      <c r="LB93" s="60"/>
      <c r="LC93" s="60"/>
      <c r="LD93" s="60"/>
      <c r="LE93" s="60"/>
      <c r="LF93" s="60"/>
      <c r="LG93" s="60"/>
      <c r="LH93" s="60"/>
    </row>
    <row r="94" spans="1:320" s="17" customFormat="1" x14ac:dyDescent="0.25">
      <c r="A94" s="147"/>
      <c r="E94" s="156"/>
      <c r="F94" s="156"/>
      <c r="G94" s="156"/>
      <c r="H94" s="156"/>
      <c r="I94" s="156"/>
      <c r="J94" s="156"/>
      <c r="K94" s="156"/>
      <c r="L94" s="156"/>
      <c r="M94" s="156"/>
      <c r="N94" s="156"/>
      <c r="O94" s="156"/>
      <c r="P94" s="156"/>
      <c r="Q94" s="156"/>
      <c r="R94" s="156"/>
      <c r="S94" s="156"/>
      <c r="AC94" s="60"/>
      <c r="AD94" s="60"/>
      <c r="AE94" s="60"/>
      <c r="AF94" s="60"/>
      <c r="AG94" s="60"/>
      <c r="AH94" s="60"/>
      <c r="AI94" s="60"/>
      <c r="AJ94" s="60"/>
      <c r="AK94" s="60"/>
      <c r="AL94" s="60"/>
      <c r="AM94" s="60"/>
      <c r="AN94" s="60"/>
      <c r="AO94" s="60"/>
      <c r="AP94" s="60"/>
      <c r="AQ94" s="60"/>
      <c r="AR94" s="60"/>
      <c r="AS94" s="60"/>
      <c r="AT94" s="60"/>
      <c r="AU94" s="60"/>
      <c r="AV94" s="60"/>
      <c r="AW94" s="60"/>
      <c r="AX94" s="60"/>
      <c r="AY94" s="60"/>
      <c r="AZ94" s="60"/>
      <c r="BA94" s="60"/>
      <c r="BB94" s="60"/>
      <c r="BC94" s="60"/>
      <c r="BD94" s="60"/>
      <c r="BE94" s="60"/>
      <c r="BF94" s="60"/>
      <c r="BG94" s="60"/>
      <c r="BH94" s="60"/>
      <c r="BI94" s="60"/>
      <c r="BJ94" s="60"/>
      <c r="BK94" s="60"/>
      <c r="BL94" s="60"/>
      <c r="BM94" s="60"/>
      <c r="BN94" s="60"/>
      <c r="BO94" s="60"/>
      <c r="BP94" s="60"/>
      <c r="BQ94" s="60"/>
      <c r="BR94" s="60"/>
      <c r="BS94" s="60"/>
      <c r="BT94" s="60"/>
      <c r="BU94" s="60"/>
      <c r="BV94" s="60"/>
      <c r="BW94" s="60"/>
      <c r="BX94" s="60"/>
      <c r="BY94" s="60"/>
      <c r="BZ94" s="60"/>
      <c r="CA94" s="60"/>
      <c r="CB94" s="60"/>
      <c r="CC94" s="60"/>
      <c r="CD94" s="60"/>
      <c r="CE94" s="60"/>
      <c r="CF94" s="60"/>
      <c r="CG94" s="60"/>
      <c r="CH94" s="60"/>
      <c r="CI94" s="60"/>
      <c r="CJ94" s="60"/>
      <c r="CK94" s="60"/>
      <c r="CL94" s="60"/>
      <c r="CM94" s="60"/>
      <c r="CN94" s="60"/>
      <c r="CO94" s="60"/>
      <c r="CP94" s="60"/>
      <c r="CQ94" s="60"/>
      <c r="CR94" s="60"/>
      <c r="CS94" s="60"/>
      <c r="CT94" s="60"/>
      <c r="CU94" s="60"/>
      <c r="CV94" s="60"/>
      <c r="CW94" s="60"/>
      <c r="CX94" s="60"/>
      <c r="CY94" s="60"/>
      <c r="CZ94" s="60"/>
      <c r="DA94" s="60"/>
      <c r="DB94" s="60"/>
      <c r="DC94" s="60"/>
      <c r="DD94" s="60"/>
      <c r="DE94" s="60"/>
      <c r="DF94" s="60"/>
      <c r="DG94" s="60"/>
      <c r="DH94" s="60"/>
      <c r="DI94" s="60"/>
      <c r="DJ94" s="60"/>
      <c r="DK94" s="60"/>
      <c r="DL94" s="60"/>
      <c r="DM94" s="60"/>
      <c r="DN94" s="60"/>
      <c r="DO94" s="60"/>
      <c r="DP94" s="60"/>
      <c r="DQ94" s="60"/>
      <c r="DR94" s="60"/>
      <c r="DS94" s="60"/>
      <c r="DT94" s="60"/>
      <c r="DU94" s="60"/>
      <c r="DV94" s="60"/>
      <c r="DW94" s="60"/>
      <c r="DX94" s="60"/>
      <c r="DY94" s="60"/>
      <c r="DZ94" s="60"/>
      <c r="EA94" s="60"/>
      <c r="EB94" s="60"/>
      <c r="EC94" s="60"/>
      <c r="ED94" s="60"/>
      <c r="EE94" s="60"/>
      <c r="EF94" s="60"/>
      <c r="EG94" s="60"/>
      <c r="EH94" s="60"/>
      <c r="EI94" s="60"/>
      <c r="EJ94" s="60"/>
      <c r="EK94" s="60"/>
      <c r="EL94" s="60"/>
      <c r="EM94" s="60"/>
      <c r="EN94" s="60"/>
      <c r="EO94" s="60"/>
      <c r="EP94" s="60"/>
      <c r="EQ94" s="60"/>
      <c r="ER94" s="60"/>
      <c r="ES94" s="60"/>
      <c r="ET94" s="60"/>
      <c r="EU94" s="60"/>
      <c r="EV94" s="60"/>
      <c r="EW94" s="60"/>
      <c r="EX94" s="60"/>
      <c r="EY94" s="60"/>
      <c r="EZ94" s="60"/>
      <c r="FA94" s="60"/>
      <c r="FB94" s="60"/>
      <c r="FC94" s="60"/>
      <c r="FD94" s="60"/>
      <c r="FE94" s="60"/>
      <c r="FF94" s="60"/>
      <c r="FG94" s="60"/>
      <c r="FH94" s="60"/>
      <c r="FI94" s="60"/>
      <c r="FJ94" s="60"/>
      <c r="FK94" s="60"/>
      <c r="FL94" s="60"/>
      <c r="FM94" s="60"/>
      <c r="FN94" s="60"/>
      <c r="FO94" s="60"/>
      <c r="FP94" s="60"/>
      <c r="FQ94" s="60"/>
      <c r="FR94" s="60"/>
      <c r="FS94" s="60"/>
      <c r="FT94" s="60"/>
      <c r="FU94" s="60"/>
      <c r="FV94" s="60"/>
      <c r="FW94" s="60"/>
      <c r="FX94" s="60"/>
      <c r="FY94" s="60"/>
      <c r="FZ94" s="60"/>
      <c r="GA94" s="60"/>
      <c r="GB94" s="60"/>
      <c r="GC94" s="60"/>
      <c r="GD94" s="60"/>
      <c r="GE94" s="60"/>
      <c r="GF94" s="60"/>
      <c r="GG94" s="60"/>
      <c r="GH94" s="60"/>
      <c r="GI94" s="60"/>
      <c r="GJ94" s="60"/>
      <c r="GK94" s="60"/>
      <c r="GL94" s="60"/>
      <c r="GM94" s="60"/>
      <c r="GN94" s="60"/>
      <c r="GO94" s="60"/>
      <c r="GP94" s="60"/>
      <c r="GQ94" s="60"/>
      <c r="GR94" s="60"/>
      <c r="GS94" s="60"/>
      <c r="GT94" s="60"/>
      <c r="GU94" s="60"/>
      <c r="GV94" s="60"/>
      <c r="GW94" s="60"/>
      <c r="GX94" s="60"/>
      <c r="GY94" s="60"/>
      <c r="GZ94" s="60"/>
      <c r="HA94" s="60"/>
      <c r="HB94" s="60"/>
      <c r="HC94" s="60"/>
      <c r="HD94" s="60"/>
      <c r="HE94" s="60"/>
      <c r="HF94" s="60"/>
      <c r="HG94" s="60"/>
      <c r="HH94" s="60"/>
      <c r="HI94" s="60"/>
      <c r="HJ94" s="60"/>
      <c r="HK94" s="60"/>
      <c r="HL94" s="60"/>
      <c r="HM94" s="60"/>
      <c r="HN94" s="60"/>
      <c r="HO94" s="60"/>
      <c r="HP94" s="60"/>
      <c r="HQ94" s="60"/>
      <c r="HR94" s="60"/>
      <c r="HS94" s="60"/>
      <c r="HT94" s="60"/>
      <c r="HU94" s="60"/>
      <c r="HV94" s="60"/>
      <c r="HW94" s="60"/>
      <c r="HX94" s="60"/>
      <c r="HY94" s="60"/>
      <c r="HZ94" s="60"/>
      <c r="IA94" s="60"/>
      <c r="IB94" s="60"/>
      <c r="IC94" s="60"/>
      <c r="ID94" s="60"/>
      <c r="IE94" s="60"/>
      <c r="IF94" s="60"/>
      <c r="IG94" s="60"/>
      <c r="IH94" s="60"/>
      <c r="II94" s="60"/>
      <c r="IJ94" s="60"/>
      <c r="IK94" s="60"/>
      <c r="IL94" s="60"/>
      <c r="IM94" s="60"/>
      <c r="IN94" s="60"/>
      <c r="IO94" s="60"/>
      <c r="IP94" s="60"/>
      <c r="IQ94" s="60"/>
      <c r="IR94" s="60"/>
      <c r="IS94" s="60"/>
      <c r="IT94" s="60"/>
      <c r="IU94" s="60"/>
      <c r="IV94" s="60"/>
      <c r="IW94" s="60"/>
      <c r="IX94" s="60"/>
      <c r="IY94" s="60"/>
      <c r="IZ94" s="60"/>
      <c r="JA94" s="60"/>
      <c r="JB94" s="60"/>
      <c r="JC94" s="60"/>
      <c r="JD94" s="60"/>
      <c r="JE94" s="60"/>
      <c r="JF94" s="60"/>
      <c r="JG94" s="60"/>
      <c r="JH94" s="60"/>
      <c r="JI94" s="60"/>
      <c r="JJ94" s="60"/>
      <c r="JK94" s="60"/>
      <c r="JL94" s="60"/>
      <c r="JM94" s="60"/>
      <c r="JN94" s="60"/>
      <c r="JO94" s="60"/>
      <c r="JP94" s="60"/>
      <c r="JQ94" s="60"/>
      <c r="JR94" s="60"/>
      <c r="JS94" s="60"/>
      <c r="JT94" s="60"/>
      <c r="JU94" s="60"/>
      <c r="JV94" s="60"/>
      <c r="JW94" s="60"/>
      <c r="JX94" s="60"/>
      <c r="JY94" s="60"/>
      <c r="JZ94" s="60"/>
      <c r="KA94" s="60"/>
      <c r="KB94" s="60"/>
      <c r="KC94" s="60"/>
      <c r="KD94" s="60"/>
      <c r="KE94" s="60"/>
      <c r="KF94" s="60"/>
      <c r="KG94" s="60"/>
      <c r="KH94" s="60"/>
      <c r="KI94" s="60"/>
      <c r="KJ94" s="60"/>
      <c r="KK94" s="60"/>
      <c r="KL94" s="60"/>
      <c r="KM94" s="60"/>
      <c r="KN94" s="60"/>
      <c r="KO94" s="60"/>
      <c r="KP94" s="60"/>
      <c r="KQ94" s="60"/>
      <c r="KR94" s="60"/>
      <c r="KS94" s="60"/>
      <c r="KT94" s="60"/>
      <c r="KU94" s="60"/>
      <c r="KV94" s="60"/>
      <c r="KW94" s="60"/>
      <c r="KX94" s="60"/>
      <c r="KY94" s="60"/>
      <c r="KZ94" s="60"/>
      <c r="LA94" s="60"/>
      <c r="LB94" s="60"/>
      <c r="LC94" s="60"/>
      <c r="LD94" s="60"/>
      <c r="LE94" s="60"/>
      <c r="LF94" s="60"/>
      <c r="LG94" s="60"/>
      <c r="LH94" s="60"/>
    </row>
    <row r="95" spans="1:320" s="17" customFormat="1" x14ac:dyDescent="0.25">
      <c r="A95" s="147"/>
      <c r="E95" s="156"/>
      <c r="F95" s="156"/>
      <c r="G95" s="156"/>
      <c r="H95" s="156"/>
      <c r="I95" s="156"/>
      <c r="J95" s="156"/>
      <c r="K95" s="156"/>
      <c r="L95" s="156"/>
      <c r="M95" s="156"/>
      <c r="N95" s="156"/>
      <c r="O95" s="156"/>
      <c r="P95" s="156"/>
      <c r="Q95" s="156"/>
      <c r="R95" s="156"/>
      <c r="S95" s="156"/>
      <c r="AC95" s="60"/>
      <c r="AD95" s="60"/>
      <c r="AE95" s="60"/>
      <c r="AF95" s="60"/>
      <c r="AG95" s="60"/>
      <c r="AH95" s="60"/>
      <c r="AI95" s="60"/>
      <c r="AJ95" s="60"/>
      <c r="AK95" s="60"/>
      <c r="AL95" s="60"/>
      <c r="AM95" s="60"/>
      <c r="AN95" s="60"/>
      <c r="AO95" s="60"/>
      <c r="AP95" s="60"/>
      <c r="AQ95" s="60"/>
      <c r="AR95" s="60"/>
      <c r="AS95" s="60"/>
      <c r="AT95" s="60"/>
      <c r="AU95" s="60"/>
      <c r="AV95" s="60"/>
      <c r="AW95" s="60"/>
      <c r="AX95" s="60"/>
      <c r="AY95" s="60"/>
      <c r="AZ95" s="60"/>
      <c r="BA95" s="60"/>
      <c r="BB95" s="60"/>
      <c r="BC95" s="60"/>
      <c r="BD95" s="60"/>
      <c r="BE95" s="60"/>
      <c r="BF95" s="60"/>
      <c r="BG95" s="60"/>
      <c r="BH95" s="60"/>
      <c r="BI95" s="60"/>
      <c r="BJ95" s="60"/>
      <c r="BK95" s="60"/>
      <c r="BL95" s="60"/>
      <c r="BM95" s="60"/>
      <c r="BN95" s="60"/>
      <c r="BO95" s="60"/>
      <c r="BP95" s="60"/>
      <c r="BQ95" s="60"/>
      <c r="BR95" s="60"/>
      <c r="BS95" s="60"/>
      <c r="BT95" s="60"/>
      <c r="BU95" s="60"/>
      <c r="BV95" s="60"/>
      <c r="BW95" s="60"/>
      <c r="BX95" s="60"/>
      <c r="BY95" s="60"/>
      <c r="BZ95" s="60"/>
      <c r="CA95" s="60"/>
      <c r="CB95" s="60"/>
      <c r="CC95" s="60"/>
      <c r="CD95" s="60"/>
      <c r="CE95" s="60"/>
      <c r="CF95" s="60"/>
      <c r="CG95" s="60"/>
      <c r="CH95" s="60"/>
      <c r="CI95" s="60"/>
      <c r="CJ95" s="60"/>
      <c r="CK95" s="60"/>
      <c r="CL95" s="60"/>
      <c r="CM95" s="60"/>
      <c r="CN95" s="60"/>
      <c r="CO95" s="60"/>
      <c r="CP95" s="60"/>
      <c r="CQ95" s="60"/>
      <c r="CR95" s="60"/>
      <c r="CS95" s="60"/>
      <c r="CT95" s="60"/>
      <c r="CU95" s="60"/>
      <c r="CV95" s="60"/>
      <c r="CW95" s="60"/>
      <c r="CX95" s="60"/>
      <c r="CY95" s="60"/>
      <c r="CZ95" s="60"/>
      <c r="DA95" s="60"/>
      <c r="DB95" s="60"/>
      <c r="DC95" s="60"/>
      <c r="DD95" s="60"/>
      <c r="DE95" s="60"/>
      <c r="DF95" s="60"/>
      <c r="DG95" s="60"/>
      <c r="DH95" s="60"/>
      <c r="DI95" s="60"/>
      <c r="DJ95" s="60"/>
      <c r="DK95" s="60"/>
      <c r="DL95" s="60"/>
      <c r="DM95" s="60"/>
      <c r="DN95" s="60"/>
      <c r="DO95" s="60"/>
      <c r="DP95" s="60"/>
      <c r="DQ95" s="60"/>
      <c r="DR95" s="60"/>
      <c r="DS95" s="60"/>
      <c r="DT95" s="60"/>
      <c r="DU95" s="60"/>
      <c r="DV95" s="60"/>
      <c r="DW95" s="60"/>
      <c r="DX95" s="60"/>
      <c r="DY95" s="60"/>
      <c r="DZ95" s="60"/>
      <c r="EA95" s="60"/>
      <c r="EB95" s="60"/>
      <c r="EC95" s="60"/>
      <c r="ED95" s="60"/>
      <c r="EE95" s="60"/>
      <c r="EF95" s="60"/>
      <c r="EG95" s="60"/>
      <c r="EH95" s="60"/>
      <c r="EI95" s="60"/>
      <c r="EJ95" s="60"/>
      <c r="EK95" s="60"/>
      <c r="EL95" s="60"/>
      <c r="EM95" s="60"/>
      <c r="EN95" s="60"/>
      <c r="EO95" s="60"/>
      <c r="EP95" s="60"/>
      <c r="EQ95" s="60"/>
      <c r="ER95" s="60"/>
      <c r="ES95" s="60"/>
      <c r="ET95" s="60"/>
      <c r="EU95" s="60"/>
      <c r="EV95" s="60"/>
      <c r="EW95" s="60"/>
      <c r="EX95" s="60"/>
      <c r="EY95" s="60"/>
      <c r="EZ95" s="60"/>
      <c r="FA95" s="60"/>
      <c r="FB95" s="60"/>
      <c r="FC95" s="60"/>
      <c r="FD95" s="60"/>
      <c r="FE95" s="60"/>
      <c r="FF95" s="60"/>
      <c r="FG95" s="60"/>
      <c r="FH95" s="60"/>
      <c r="FI95" s="60"/>
      <c r="FJ95" s="60"/>
      <c r="FK95" s="60"/>
      <c r="FL95" s="60"/>
      <c r="FM95" s="60"/>
      <c r="FN95" s="60"/>
      <c r="FO95" s="60"/>
      <c r="FP95" s="60"/>
      <c r="FQ95" s="60"/>
      <c r="FR95" s="60"/>
      <c r="FS95" s="60"/>
      <c r="FT95" s="60"/>
      <c r="FU95" s="60"/>
      <c r="FV95" s="60"/>
      <c r="FW95" s="60"/>
      <c r="FX95" s="60"/>
      <c r="FY95" s="60"/>
      <c r="FZ95" s="60"/>
      <c r="GA95" s="60"/>
      <c r="GB95" s="60"/>
      <c r="GC95" s="60"/>
      <c r="GD95" s="60"/>
      <c r="GE95" s="60"/>
      <c r="GF95" s="60"/>
      <c r="GG95" s="60"/>
      <c r="GH95" s="60"/>
      <c r="GI95" s="60"/>
      <c r="GJ95" s="60"/>
      <c r="GK95" s="60"/>
      <c r="GL95" s="60"/>
      <c r="GM95" s="60"/>
      <c r="GN95" s="60"/>
      <c r="GO95" s="60"/>
      <c r="GP95" s="60"/>
      <c r="GQ95" s="60"/>
      <c r="GR95" s="60"/>
      <c r="GS95" s="60"/>
      <c r="GT95" s="60"/>
      <c r="GU95" s="60"/>
      <c r="GV95" s="60"/>
      <c r="GW95" s="60"/>
      <c r="GX95" s="60"/>
      <c r="GY95" s="60"/>
      <c r="GZ95" s="60"/>
      <c r="HA95" s="60"/>
      <c r="HB95" s="60"/>
      <c r="HC95" s="60"/>
      <c r="HD95" s="60"/>
      <c r="HE95" s="60"/>
      <c r="HF95" s="60"/>
      <c r="HG95" s="60"/>
      <c r="HH95" s="60"/>
      <c r="HI95" s="60"/>
      <c r="HJ95" s="60"/>
      <c r="HK95" s="60"/>
      <c r="HL95" s="60"/>
      <c r="HM95" s="60"/>
      <c r="HN95" s="60"/>
      <c r="HO95" s="60"/>
      <c r="HP95" s="60"/>
      <c r="HQ95" s="60"/>
      <c r="HR95" s="60"/>
      <c r="HS95" s="60"/>
      <c r="HT95" s="60"/>
      <c r="HU95" s="60"/>
      <c r="HV95" s="60"/>
      <c r="HW95" s="60"/>
      <c r="HX95" s="60"/>
      <c r="HY95" s="60"/>
      <c r="HZ95" s="60"/>
      <c r="IA95" s="60"/>
      <c r="IB95" s="60"/>
      <c r="IC95" s="60"/>
      <c r="ID95" s="60"/>
      <c r="IE95" s="60"/>
      <c r="IF95" s="60"/>
      <c r="IG95" s="60"/>
      <c r="IH95" s="60"/>
      <c r="II95" s="60"/>
      <c r="IJ95" s="60"/>
      <c r="IK95" s="60"/>
      <c r="IL95" s="60"/>
      <c r="IM95" s="60"/>
      <c r="IN95" s="60"/>
      <c r="IO95" s="60"/>
      <c r="IP95" s="60"/>
      <c r="IQ95" s="60"/>
      <c r="IR95" s="60"/>
      <c r="IS95" s="60"/>
      <c r="IT95" s="60"/>
      <c r="IU95" s="60"/>
      <c r="IV95" s="60"/>
      <c r="IW95" s="60"/>
      <c r="IX95" s="60"/>
      <c r="IY95" s="60"/>
      <c r="IZ95" s="60"/>
      <c r="JA95" s="60"/>
      <c r="JB95" s="60"/>
      <c r="JC95" s="60"/>
      <c r="JD95" s="60"/>
      <c r="JE95" s="60"/>
      <c r="JF95" s="60"/>
      <c r="JG95" s="60"/>
      <c r="JH95" s="60"/>
      <c r="JI95" s="60"/>
      <c r="JJ95" s="60"/>
      <c r="JK95" s="60"/>
      <c r="JL95" s="60"/>
      <c r="JM95" s="60"/>
      <c r="JN95" s="60"/>
      <c r="JO95" s="60"/>
      <c r="JP95" s="60"/>
      <c r="JQ95" s="60"/>
      <c r="JR95" s="60"/>
      <c r="JS95" s="60"/>
      <c r="JT95" s="60"/>
      <c r="JU95" s="60"/>
      <c r="JV95" s="60"/>
      <c r="JW95" s="60"/>
      <c r="JX95" s="60"/>
      <c r="JY95" s="60"/>
      <c r="JZ95" s="60"/>
      <c r="KA95" s="60"/>
      <c r="KB95" s="60"/>
      <c r="KC95" s="60"/>
      <c r="KD95" s="60"/>
      <c r="KE95" s="60"/>
      <c r="KF95" s="60"/>
      <c r="KG95" s="60"/>
      <c r="KH95" s="60"/>
      <c r="KI95" s="60"/>
      <c r="KJ95" s="60"/>
      <c r="KK95" s="60"/>
      <c r="KL95" s="60"/>
      <c r="KM95" s="60"/>
      <c r="KN95" s="60"/>
      <c r="KO95" s="60"/>
      <c r="KP95" s="60"/>
      <c r="KQ95" s="60"/>
      <c r="KR95" s="60"/>
      <c r="KS95" s="60"/>
      <c r="KT95" s="60"/>
      <c r="KU95" s="60"/>
      <c r="KV95" s="60"/>
      <c r="KW95" s="60"/>
      <c r="KX95" s="60"/>
      <c r="KY95" s="60"/>
      <c r="KZ95" s="60"/>
      <c r="LA95" s="60"/>
      <c r="LB95" s="60"/>
      <c r="LC95" s="60"/>
      <c r="LD95" s="60"/>
      <c r="LE95" s="60"/>
      <c r="LF95" s="60"/>
      <c r="LG95" s="60"/>
      <c r="LH95" s="60"/>
    </row>
    <row r="96" spans="1:320" s="17" customFormat="1" x14ac:dyDescent="0.25">
      <c r="A96" s="147"/>
      <c r="E96" s="156"/>
      <c r="F96" s="156"/>
      <c r="G96" s="156"/>
      <c r="H96" s="156"/>
      <c r="I96" s="156"/>
      <c r="J96" s="156"/>
      <c r="K96" s="156"/>
      <c r="L96" s="156"/>
      <c r="M96" s="156"/>
      <c r="N96" s="156"/>
      <c r="O96" s="156"/>
      <c r="P96" s="156"/>
      <c r="Q96" s="156"/>
      <c r="R96" s="156"/>
      <c r="S96" s="156"/>
      <c r="AC96" s="60"/>
      <c r="AD96" s="60"/>
      <c r="AE96" s="60"/>
      <c r="AF96" s="60"/>
      <c r="AG96" s="60"/>
      <c r="AH96" s="60"/>
      <c r="AI96" s="60"/>
      <c r="AJ96" s="60"/>
      <c r="AK96" s="60"/>
      <c r="AL96" s="60"/>
      <c r="AM96" s="60"/>
      <c r="AN96" s="60"/>
      <c r="AO96" s="60"/>
      <c r="AP96" s="60"/>
      <c r="AQ96" s="60"/>
      <c r="AR96" s="60"/>
      <c r="AS96" s="60"/>
      <c r="AT96" s="60"/>
      <c r="AU96" s="60"/>
      <c r="AV96" s="60"/>
      <c r="AW96" s="60"/>
      <c r="AX96" s="60"/>
      <c r="AY96" s="60"/>
      <c r="AZ96" s="60"/>
      <c r="BA96" s="60"/>
      <c r="BB96" s="60"/>
      <c r="BC96" s="60"/>
      <c r="BD96" s="60"/>
      <c r="BE96" s="60"/>
      <c r="BF96" s="60"/>
      <c r="BG96" s="60"/>
      <c r="BH96" s="60"/>
      <c r="BI96" s="60"/>
      <c r="BJ96" s="60"/>
      <c r="BK96" s="60"/>
      <c r="BL96" s="60"/>
      <c r="BM96" s="60"/>
      <c r="BN96" s="60"/>
      <c r="BO96" s="60"/>
      <c r="BP96" s="60"/>
      <c r="BQ96" s="60"/>
      <c r="BR96" s="60"/>
      <c r="BS96" s="60"/>
      <c r="BT96" s="60"/>
      <c r="BU96" s="60"/>
      <c r="BV96" s="60"/>
      <c r="BW96" s="60"/>
      <c r="BX96" s="60"/>
      <c r="BY96" s="60"/>
      <c r="BZ96" s="60"/>
      <c r="CA96" s="60"/>
      <c r="CB96" s="60"/>
      <c r="CC96" s="60"/>
      <c r="CD96" s="60"/>
      <c r="CE96" s="60"/>
      <c r="CF96" s="60"/>
      <c r="CG96" s="60"/>
      <c r="CH96" s="60"/>
      <c r="CI96" s="60"/>
      <c r="CJ96" s="60"/>
      <c r="CK96" s="60"/>
      <c r="CL96" s="60"/>
      <c r="CM96" s="60"/>
      <c r="CN96" s="60"/>
      <c r="CO96" s="60"/>
      <c r="CP96" s="60"/>
      <c r="CQ96" s="60"/>
      <c r="CR96" s="60"/>
      <c r="CS96" s="60"/>
      <c r="CT96" s="60"/>
      <c r="CU96" s="60"/>
      <c r="CV96" s="60"/>
      <c r="CW96" s="60"/>
      <c r="CX96" s="60"/>
      <c r="CY96" s="60"/>
      <c r="CZ96" s="60"/>
      <c r="DA96" s="60"/>
      <c r="DB96" s="60"/>
      <c r="DC96" s="60"/>
      <c r="DD96" s="60"/>
      <c r="DE96" s="60"/>
      <c r="DF96" s="60"/>
      <c r="DG96" s="60"/>
      <c r="DH96" s="60"/>
      <c r="DI96" s="60"/>
      <c r="DJ96" s="60"/>
      <c r="DK96" s="60"/>
      <c r="DL96" s="60"/>
      <c r="DM96" s="60"/>
      <c r="DN96" s="60"/>
      <c r="DO96" s="60"/>
      <c r="DP96" s="60"/>
      <c r="DQ96" s="60"/>
      <c r="DR96" s="60"/>
      <c r="DS96" s="60"/>
      <c r="DT96" s="60"/>
      <c r="DU96" s="60"/>
      <c r="DV96" s="60"/>
      <c r="DW96" s="60"/>
      <c r="DX96" s="60"/>
      <c r="DY96" s="60"/>
      <c r="DZ96" s="60"/>
      <c r="EA96" s="60"/>
      <c r="EB96" s="60"/>
      <c r="EC96" s="60"/>
      <c r="ED96" s="60"/>
      <c r="EE96" s="60"/>
      <c r="EF96" s="60"/>
      <c r="EG96" s="60"/>
      <c r="EH96" s="60"/>
      <c r="EI96" s="60"/>
      <c r="EJ96" s="60"/>
      <c r="EK96" s="60"/>
      <c r="EL96" s="60"/>
      <c r="EM96" s="60"/>
      <c r="EN96" s="60"/>
      <c r="EO96" s="60"/>
      <c r="EP96" s="60"/>
      <c r="EQ96" s="60"/>
      <c r="ER96" s="60"/>
      <c r="ES96" s="60"/>
      <c r="ET96" s="60"/>
      <c r="EU96" s="60"/>
      <c r="EV96" s="60"/>
      <c r="EW96" s="60"/>
      <c r="EX96" s="60"/>
      <c r="EY96" s="60"/>
      <c r="EZ96" s="60"/>
      <c r="FA96" s="60"/>
      <c r="FB96" s="60"/>
      <c r="FC96" s="60"/>
      <c r="FD96" s="60"/>
      <c r="FE96" s="60"/>
      <c r="FF96" s="60"/>
      <c r="FG96" s="60"/>
      <c r="FH96" s="60"/>
      <c r="FI96" s="60"/>
      <c r="FJ96" s="60"/>
      <c r="FK96" s="60"/>
      <c r="FL96" s="60"/>
      <c r="FM96" s="60"/>
      <c r="FN96" s="60"/>
      <c r="FO96" s="60"/>
      <c r="FP96" s="60"/>
      <c r="FQ96" s="60"/>
      <c r="FR96" s="60"/>
      <c r="FS96" s="60"/>
      <c r="FT96" s="60"/>
      <c r="FU96" s="60"/>
      <c r="FV96" s="60"/>
      <c r="FW96" s="60"/>
      <c r="FX96" s="60"/>
      <c r="FY96" s="60"/>
      <c r="FZ96" s="60"/>
      <c r="GA96" s="60"/>
      <c r="GB96" s="60"/>
      <c r="GC96" s="60"/>
      <c r="GD96" s="60"/>
      <c r="GE96" s="60"/>
      <c r="GF96" s="60"/>
      <c r="GG96" s="60"/>
      <c r="GH96" s="60"/>
      <c r="GI96" s="60"/>
      <c r="GJ96" s="60"/>
      <c r="GK96" s="60"/>
      <c r="GL96" s="60"/>
      <c r="GM96" s="60"/>
      <c r="GN96" s="60"/>
      <c r="GO96" s="60"/>
      <c r="GP96" s="60"/>
      <c r="GQ96" s="60"/>
      <c r="GR96" s="60"/>
      <c r="GS96" s="60"/>
      <c r="GT96" s="60"/>
      <c r="GU96" s="60"/>
      <c r="GV96" s="60"/>
      <c r="GW96" s="60"/>
      <c r="GX96" s="60"/>
      <c r="GY96" s="60"/>
      <c r="GZ96" s="60"/>
      <c r="HA96" s="60"/>
      <c r="HB96" s="60"/>
      <c r="HC96" s="60"/>
      <c r="HD96" s="60"/>
      <c r="HE96" s="60"/>
      <c r="HF96" s="60"/>
      <c r="HG96" s="60"/>
      <c r="HH96" s="60"/>
      <c r="HI96" s="60"/>
      <c r="HJ96" s="60"/>
      <c r="HK96" s="60"/>
      <c r="HL96" s="60"/>
      <c r="HM96" s="60"/>
      <c r="HN96" s="60"/>
      <c r="HO96" s="60"/>
      <c r="HP96" s="60"/>
      <c r="HQ96" s="60"/>
      <c r="HR96" s="60"/>
      <c r="HS96" s="60"/>
      <c r="HT96" s="60"/>
      <c r="HU96" s="60"/>
      <c r="HV96" s="60"/>
      <c r="HW96" s="60"/>
      <c r="HX96" s="60"/>
      <c r="HY96" s="60"/>
      <c r="HZ96" s="60"/>
      <c r="IA96" s="60"/>
      <c r="IB96" s="60"/>
      <c r="IC96" s="60"/>
      <c r="ID96" s="60"/>
      <c r="IE96" s="60"/>
      <c r="IF96" s="60"/>
      <c r="IG96" s="60"/>
      <c r="IH96" s="60"/>
      <c r="II96" s="60"/>
      <c r="IJ96" s="60"/>
      <c r="IK96" s="60"/>
      <c r="IL96" s="60"/>
      <c r="IM96" s="60"/>
      <c r="IN96" s="60"/>
      <c r="IO96" s="60"/>
      <c r="IP96" s="60"/>
      <c r="IQ96" s="60"/>
      <c r="IR96" s="60"/>
      <c r="IS96" s="60"/>
      <c r="IT96" s="60"/>
      <c r="IU96" s="60"/>
      <c r="IV96" s="60"/>
      <c r="IW96" s="60"/>
      <c r="IX96" s="60"/>
      <c r="IY96" s="60"/>
      <c r="IZ96" s="60"/>
      <c r="JA96" s="60"/>
      <c r="JB96" s="60"/>
      <c r="JC96" s="60"/>
      <c r="JD96" s="60"/>
      <c r="JE96" s="60"/>
      <c r="JF96" s="60"/>
      <c r="JG96" s="60"/>
      <c r="JH96" s="60"/>
      <c r="JI96" s="60"/>
      <c r="JJ96" s="60"/>
      <c r="JK96" s="60"/>
      <c r="JL96" s="60"/>
      <c r="JM96" s="60"/>
      <c r="JN96" s="60"/>
      <c r="JO96" s="60"/>
      <c r="JP96" s="60"/>
      <c r="JQ96" s="60"/>
      <c r="JR96" s="60"/>
      <c r="JS96" s="60"/>
      <c r="JT96" s="60"/>
      <c r="JU96" s="60"/>
      <c r="JV96" s="60"/>
      <c r="JW96" s="60"/>
      <c r="JX96" s="60"/>
      <c r="JY96" s="60"/>
      <c r="JZ96" s="60"/>
      <c r="KA96" s="60"/>
      <c r="KB96" s="60"/>
      <c r="KC96" s="60"/>
      <c r="KD96" s="60"/>
      <c r="KE96" s="60"/>
      <c r="KF96" s="60"/>
      <c r="KG96" s="60"/>
      <c r="KH96" s="60"/>
      <c r="KI96" s="60"/>
      <c r="KJ96" s="60"/>
      <c r="KK96" s="60"/>
      <c r="KL96" s="60"/>
      <c r="KM96" s="60"/>
      <c r="KN96" s="60"/>
      <c r="KO96" s="60"/>
      <c r="KP96" s="60"/>
      <c r="KQ96" s="60"/>
      <c r="KR96" s="60"/>
      <c r="KS96" s="60"/>
      <c r="KT96" s="60"/>
      <c r="KU96" s="60"/>
      <c r="KV96" s="60"/>
      <c r="KW96" s="60"/>
      <c r="KX96" s="60"/>
      <c r="KY96" s="60"/>
      <c r="KZ96" s="60"/>
      <c r="LA96" s="60"/>
      <c r="LB96" s="60"/>
      <c r="LC96" s="60"/>
      <c r="LD96" s="60"/>
      <c r="LE96" s="60"/>
      <c r="LF96" s="60"/>
      <c r="LG96" s="60"/>
      <c r="LH96" s="60"/>
    </row>
    <row r="97" spans="1:320" s="17" customFormat="1" x14ac:dyDescent="0.25">
      <c r="A97" s="147"/>
      <c r="E97" s="156"/>
      <c r="F97" s="156"/>
      <c r="G97" s="156"/>
      <c r="H97" s="156"/>
      <c r="I97" s="156"/>
      <c r="J97" s="156"/>
      <c r="K97" s="156"/>
      <c r="L97" s="156"/>
      <c r="M97" s="156"/>
      <c r="N97" s="156"/>
      <c r="O97" s="156"/>
      <c r="P97" s="156"/>
      <c r="Q97" s="156"/>
      <c r="R97" s="156"/>
      <c r="S97" s="156"/>
      <c r="AC97" s="60"/>
      <c r="AD97" s="60"/>
      <c r="AE97" s="60"/>
      <c r="AF97" s="60"/>
      <c r="AG97" s="60"/>
      <c r="AH97" s="60"/>
      <c r="AI97" s="60"/>
      <c r="AJ97" s="60"/>
      <c r="AK97" s="60"/>
      <c r="AL97" s="60"/>
      <c r="AM97" s="60"/>
      <c r="AN97" s="60"/>
      <c r="AO97" s="60"/>
      <c r="AP97" s="60"/>
      <c r="AQ97" s="60"/>
      <c r="AR97" s="60"/>
      <c r="AS97" s="60"/>
      <c r="AT97" s="60"/>
      <c r="AU97" s="60"/>
      <c r="AV97" s="60"/>
      <c r="AW97" s="60"/>
      <c r="AX97" s="60"/>
      <c r="AY97" s="60"/>
      <c r="AZ97" s="60"/>
      <c r="BA97" s="60"/>
      <c r="BB97" s="60"/>
      <c r="BC97" s="60"/>
      <c r="BD97" s="60"/>
      <c r="BE97" s="60"/>
      <c r="BF97" s="60"/>
      <c r="BG97" s="60"/>
      <c r="BH97" s="60"/>
      <c r="BI97" s="60"/>
      <c r="BJ97" s="60"/>
      <c r="BK97" s="60"/>
      <c r="BL97" s="60"/>
      <c r="BM97" s="60"/>
      <c r="BN97" s="60"/>
      <c r="BO97" s="60"/>
      <c r="BP97" s="60"/>
      <c r="BQ97" s="60"/>
      <c r="BR97" s="60"/>
      <c r="BS97" s="60"/>
      <c r="BT97" s="60"/>
      <c r="BU97" s="60"/>
      <c r="BV97" s="60"/>
      <c r="BW97" s="60"/>
      <c r="BX97" s="60"/>
      <c r="BY97" s="60"/>
      <c r="BZ97" s="60"/>
      <c r="CA97" s="60"/>
      <c r="CB97" s="60"/>
      <c r="CC97" s="60"/>
      <c r="CD97" s="60"/>
      <c r="CE97" s="60"/>
      <c r="CF97" s="60"/>
      <c r="CG97" s="60"/>
      <c r="CH97" s="60"/>
      <c r="CI97" s="60"/>
      <c r="CJ97" s="60"/>
      <c r="CK97" s="60"/>
      <c r="CL97" s="60"/>
      <c r="CM97" s="60"/>
      <c r="CN97" s="60"/>
      <c r="CO97" s="60"/>
      <c r="CP97" s="60"/>
      <c r="CQ97" s="60"/>
      <c r="CR97" s="60"/>
      <c r="CS97" s="60"/>
      <c r="CT97" s="60"/>
      <c r="CU97" s="60"/>
      <c r="CV97" s="60"/>
      <c r="CW97" s="60"/>
      <c r="CX97" s="60"/>
      <c r="CY97" s="60"/>
      <c r="CZ97" s="60"/>
      <c r="DA97" s="60"/>
      <c r="DB97" s="60"/>
      <c r="DC97" s="60"/>
      <c r="DD97" s="60"/>
      <c r="DE97" s="60"/>
      <c r="DF97" s="60"/>
      <c r="DG97" s="60"/>
      <c r="DH97" s="60"/>
      <c r="DI97" s="60"/>
      <c r="DJ97" s="60"/>
      <c r="DK97" s="60"/>
      <c r="DL97" s="60"/>
      <c r="DM97" s="60"/>
      <c r="DN97" s="60"/>
      <c r="DO97" s="60"/>
      <c r="DP97" s="60"/>
      <c r="DQ97" s="60"/>
      <c r="DR97" s="60"/>
      <c r="DS97" s="60"/>
      <c r="DT97" s="60"/>
      <c r="DU97" s="60"/>
      <c r="DV97" s="60"/>
      <c r="DW97" s="60"/>
      <c r="DX97" s="60"/>
      <c r="DY97" s="60"/>
      <c r="DZ97" s="60"/>
      <c r="EA97" s="60"/>
      <c r="EB97" s="60"/>
      <c r="EC97" s="60"/>
      <c r="ED97" s="60"/>
      <c r="EE97" s="60"/>
      <c r="EF97" s="60"/>
      <c r="EG97" s="60"/>
      <c r="EH97" s="60"/>
      <c r="EI97" s="60"/>
      <c r="EJ97" s="60"/>
      <c r="EK97" s="60"/>
      <c r="EL97" s="60"/>
      <c r="EM97" s="60"/>
      <c r="EN97" s="60"/>
      <c r="EO97" s="60"/>
      <c r="EP97" s="60"/>
      <c r="EQ97" s="60"/>
      <c r="ER97" s="60"/>
      <c r="ES97" s="60"/>
      <c r="ET97" s="60"/>
      <c r="EU97" s="60"/>
      <c r="EV97" s="60"/>
      <c r="EW97" s="60"/>
      <c r="EX97" s="60"/>
      <c r="EY97" s="60"/>
      <c r="EZ97" s="60"/>
      <c r="FA97" s="60"/>
      <c r="FB97" s="60"/>
      <c r="FC97" s="60"/>
      <c r="FD97" s="60"/>
      <c r="FE97" s="60"/>
      <c r="FF97" s="60"/>
      <c r="FG97" s="60"/>
      <c r="FH97" s="60"/>
      <c r="FI97" s="60"/>
      <c r="FJ97" s="60"/>
      <c r="FK97" s="60"/>
      <c r="FL97" s="60"/>
      <c r="FM97" s="60"/>
      <c r="FN97" s="60"/>
      <c r="FO97" s="60"/>
      <c r="FP97" s="60"/>
      <c r="FQ97" s="60"/>
      <c r="FR97" s="60"/>
      <c r="FS97" s="60"/>
      <c r="FT97" s="60"/>
      <c r="FU97" s="60"/>
      <c r="FV97" s="60"/>
      <c r="FW97" s="60"/>
      <c r="FX97" s="60"/>
      <c r="FY97" s="60"/>
      <c r="FZ97" s="60"/>
      <c r="GA97" s="60"/>
      <c r="GB97" s="60"/>
      <c r="GC97" s="60"/>
      <c r="GD97" s="60"/>
      <c r="GE97" s="60"/>
      <c r="GF97" s="60"/>
      <c r="GG97" s="60"/>
      <c r="GH97" s="60"/>
      <c r="GI97" s="60"/>
      <c r="GJ97" s="60"/>
      <c r="GK97" s="60"/>
      <c r="GL97" s="60"/>
      <c r="GM97" s="60"/>
      <c r="GN97" s="60"/>
      <c r="GO97" s="60"/>
      <c r="GP97" s="60"/>
      <c r="GQ97" s="60"/>
      <c r="GR97" s="60"/>
      <c r="GS97" s="60"/>
      <c r="GT97" s="60"/>
      <c r="GU97" s="60"/>
      <c r="GV97" s="60"/>
      <c r="GW97" s="60"/>
      <c r="GX97" s="60"/>
      <c r="GY97" s="60"/>
      <c r="GZ97" s="60"/>
      <c r="HA97" s="60"/>
      <c r="HB97" s="60"/>
      <c r="HC97" s="60"/>
      <c r="HD97" s="60"/>
      <c r="HE97" s="60"/>
      <c r="HF97" s="60"/>
      <c r="HG97" s="60"/>
      <c r="HH97" s="60"/>
      <c r="HI97" s="60"/>
      <c r="HJ97" s="60"/>
      <c r="HK97" s="60"/>
      <c r="HL97" s="60"/>
      <c r="HM97" s="60"/>
      <c r="HN97" s="60"/>
      <c r="HO97" s="60"/>
      <c r="HP97" s="60"/>
      <c r="HQ97" s="60"/>
      <c r="HR97" s="60"/>
      <c r="HS97" s="60"/>
      <c r="HT97" s="60"/>
      <c r="HU97" s="60"/>
      <c r="HV97" s="60"/>
      <c r="HW97" s="60"/>
      <c r="HX97" s="60"/>
      <c r="HY97" s="60"/>
      <c r="HZ97" s="60"/>
      <c r="IA97" s="60"/>
      <c r="IB97" s="60"/>
      <c r="IC97" s="60"/>
      <c r="ID97" s="60"/>
      <c r="IE97" s="60"/>
      <c r="IF97" s="60"/>
      <c r="IG97" s="60"/>
      <c r="IH97" s="60"/>
      <c r="II97" s="60"/>
      <c r="IJ97" s="60"/>
      <c r="IK97" s="60"/>
      <c r="IL97" s="60"/>
      <c r="IM97" s="60"/>
      <c r="IN97" s="60"/>
      <c r="IO97" s="60"/>
      <c r="IP97" s="60"/>
      <c r="IQ97" s="60"/>
      <c r="IR97" s="60"/>
      <c r="IS97" s="60"/>
      <c r="IT97" s="60"/>
      <c r="IU97" s="60"/>
      <c r="IV97" s="60"/>
      <c r="IW97" s="60"/>
      <c r="IX97" s="60"/>
      <c r="IY97" s="60"/>
      <c r="IZ97" s="60"/>
      <c r="JA97" s="60"/>
      <c r="JB97" s="60"/>
      <c r="JC97" s="60"/>
      <c r="JD97" s="60"/>
      <c r="JE97" s="60"/>
      <c r="JF97" s="60"/>
      <c r="JG97" s="60"/>
      <c r="JH97" s="60"/>
      <c r="JI97" s="60"/>
      <c r="JJ97" s="60"/>
      <c r="JK97" s="60"/>
      <c r="JL97" s="60"/>
      <c r="JM97" s="60"/>
      <c r="JN97" s="60"/>
      <c r="JO97" s="60"/>
      <c r="JP97" s="60"/>
      <c r="JQ97" s="60"/>
      <c r="JR97" s="60"/>
      <c r="JS97" s="60"/>
      <c r="JT97" s="60"/>
      <c r="JU97" s="60"/>
      <c r="JV97" s="60"/>
      <c r="JW97" s="60"/>
      <c r="JX97" s="60"/>
      <c r="JY97" s="60"/>
      <c r="JZ97" s="60"/>
      <c r="KA97" s="60"/>
      <c r="KB97" s="60"/>
      <c r="KC97" s="60"/>
      <c r="KD97" s="60"/>
      <c r="KE97" s="60"/>
      <c r="KF97" s="60"/>
      <c r="KG97" s="60"/>
      <c r="KH97" s="60"/>
      <c r="KI97" s="60"/>
      <c r="KJ97" s="60"/>
      <c r="KK97" s="60"/>
      <c r="KL97" s="60"/>
      <c r="KM97" s="60"/>
      <c r="KN97" s="60"/>
      <c r="KO97" s="60"/>
      <c r="KP97" s="60"/>
      <c r="KQ97" s="60"/>
      <c r="KR97" s="60"/>
      <c r="KS97" s="60"/>
      <c r="KT97" s="60"/>
      <c r="KU97" s="60"/>
      <c r="KV97" s="60"/>
      <c r="KW97" s="60"/>
      <c r="KX97" s="60"/>
      <c r="KY97" s="60"/>
      <c r="KZ97" s="60"/>
      <c r="LA97" s="60"/>
      <c r="LB97" s="60"/>
      <c r="LC97" s="60"/>
      <c r="LD97" s="60"/>
      <c r="LE97" s="60"/>
      <c r="LF97" s="60"/>
      <c r="LG97" s="60"/>
      <c r="LH97" s="60"/>
    </row>
    <row r="98" spans="1:320" s="17" customFormat="1" x14ac:dyDescent="0.25">
      <c r="A98" s="147"/>
      <c r="E98" s="156"/>
      <c r="F98" s="156"/>
      <c r="G98" s="156"/>
      <c r="H98" s="156"/>
      <c r="I98" s="156"/>
      <c r="J98" s="156"/>
      <c r="K98" s="156"/>
      <c r="L98" s="156"/>
      <c r="M98" s="156"/>
      <c r="N98" s="156"/>
      <c r="O98" s="156"/>
      <c r="P98" s="156"/>
      <c r="Q98" s="156"/>
      <c r="R98" s="156"/>
      <c r="S98" s="156"/>
      <c r="AC98" s="60"/>
      <c r="AD98" s="60"/>
      <c r="AE98" s="60"/>
      <c r="AF98" s="60"/>
      <c r="AG98" s="60"/>
      <c r="AH98" s="60"/>
      <c r="AI98" s="60"/>
      <c r="AJ98" s="60"/>
      <c r="AK98" s="60"/>
      <c r="AL98" s="60"/>
      <c r="AM98" s="60"/>
      <c r="AN98" s="60"/>
      <c r="AO98" s="60"/>
      <c r="AP98" s="60"/>
      <c r="AQ98" s="60"/>
      <c r="AR98" s="60"/>
      <c r="AS98" s="60"/>
      <c r="AT98" s="60"/>
      <c r="AU98" s="60"/>
      <c r="AV98" s="60"/>
      <c r="AW98" s="60"/>
      <c r="AX98" s="60"/>
      <c r="AY98" s="60"/>
      <c r="AZ98" s="60"/>
      <c r="BA98" s="60"/>
      <c r="BB98" s="60"/>
      <c r="BC98" s="60"/>
      <c r="BD98" s="60"/>
      <c r="BE98" s="60"/>
      <c r="BF98" s="60"/>
      <c r="BG98" s="60"/>
      <c r="BH98" s="60"/>
      <c r="BI98" s="60"/>
      <c r="BJ98" s="60"/>
      <c r="BK98" s="60"/>
      <c r="BL98" s="60"/>
      <c r="BM98" s="60"/>
      <c r="BN98" s="60"/>
      <c r="BO98" s="60"/>
      <c r="BP98" s="60"/>
      <c r="BQ98" s="60"/>
      <c r="BR98" s="60"/>
      <c r="BS98" s="60"/>
      <c r="BT98" s="60"/>
      <c r="BU98" s="60"/>
      <c r="BV98" s="60"/>
      <c r="BW98" s="60"/>
      <c r="BX98" s="60"/>
      <c r="BY98" s="60"/>
      <c r="BZ98" s="60"/>
      <c r="CA98" s="60"/>
      <c r="CB98" s="60"/>
      <c r="CC98" s="60"/>
      <c r="CD98" s="60"/>
      <c r="CE98" s="60"/>
      <c r="CF98" s="60"/>
      <c r="CG98" s="60"/>
      <c r="CH98" s="60"/>
      <c r="CI98" s="60"/>
      <c r="CJ98" s="60"/>
      <c r="CK98" s="60"/>
      <c r="CL98" s="60"/>
      <c r="CM98" s="60"/>
      <c r="CN98" s="60"/>
      <c r="CO98" s="60"/>
      <c r="CP98" s="60"/>
      <c r="CQ98" s="60"/>
      <c r="CR98" s="60"/>
      <c r="CS98" s="60"/>
      <c r="CT98" s="60"/>
      <c r="CU98" s="60"/>
      <c r="CV98" s="60"/>
      <c r="CW98" s="60"/>
      <c r="CX98" s="60"/>
      <c r="CY98" s="60"/>
      <c r="CZ98" s="60"/>
      <c r="DA98" s="60"/>
      <c r="DB98" s="60"/>
      <c r="DC98" s="60"/>
      <c r="DD98" s="60"/>
      <c r="DE98" s="60"/>
      <c r="DF98" s="60"/>
      <c r="DG98" s="60"/>
      <c r="DH98" s="60"/>
      <c r="DI98" s="60"/>
      <c r="DJ98" s="60"/>
      <c r="DK98" s="60"/>
      <c r="DL98" s="60"/>
      <c r="DM98" s="60"/>
      <c r="DN98" s="60"/>
      <c r="DO98" s="60"/>
      <c r="DP98" s="60"/>
      <c r="DQ98" s="60"/>
      <c r="DR98" s="60"/>
      <c r="DS98" s="60"/>
      <c r="DT98" s="60"/>
      <c r="DU98" s="60"/>
      <c r="DV98" s="60"/>
      <c r="DW98" s="60"/>
      <c r="DX98" s="60"/>
      <c r="DY98" s="60"/>
      <c r="DZ98" s="60"/>
      <c r="EA98" s="60"/>
      <c r="EB98" s="60"/>
      <c r="EC98" s="60"/>
      <c r="ED98" s="60"/>
      <c r="EE98" s="60"/>
      <c r="EF98" s="60"/>
      <c r="EG98" s="60"/>
      <c r="EH98" s="60"/>
      <c r="EI98" s="60"/>
      <c r="EJ98" s="60"/>
      <c r="EK98" s="60"/>
      <c r="EL98" s="60"/>
      <c r="EM98" s="60"/>
      <c r="EN98" s="60"/>
      <c r="EO98" s="60"/>
      <c r="EP98" s="60"/>
      <c r="EQ98" s="60"/>
      <c r="ER98" s="60"/>
      <c r="ES98" s="60"/>
      <c r="ET98" s="60"/>
      <c r="EU98" s="60"/>
      <c r="EV98" s="60"/>
      <c r="EW98" s="60"/>
      <c r="EX98" s="60"/>
      <c r="EY98" s="60"/>
      <c r="EZ98" s="60"/>
      <c r="FA98" s="60"/>
      <c r="FB98" s="60"/>
      <c r="FC98" s="60"/>
      <c r="FD98" s="60"/>
      <c r="FE98" s="60"/>
      <c r="FF98" s="60"/>
      <c r="FG98" s="60"/>
      <c r="FH98" s="60"/>
      <c r="FI98" s="60"/>
      <c r="FJ98" s="60"/>
      <c r="FK98" s="60"/>
      <c r="FL98" s="60"/>
      <c r="FM98" s="60"/>
      <c r="FN98" s="60"/>
      <c r="FO98" s="60"/>
      <c r="FP98" s="60"/>
      <c r="FQ98" s="60"/>
      <c r="FR98" s="60"/>
      <c r="FS98" s="60"/>
      <c r="FT98" s="60"/>
      <c r="FU98" s="60"/>
      <c r="FV98" s="60"/>
      <c r="FW98" s="60"/>
      <c r="FX98" s="60"/>
      <c r="FY98" s="60"/>
      <c r="FZ98" s="60"/>
      <c r="GA98" s="60"/>
      <c r="GB98" s="60"/>
      <c r="GC98" s="60"/>
      <c r="GD98" s="60"/>
      <c r="GE98" s="60"/>
      <c r="GF98" s="60"/>
      <c r="GG98" s="60"/>
      <c r="GH98" s="60"/>
      <c r="GI98" s="60"/>
      <c r="GJ98" s="60"/>
      <c r="GK98" s="60"/>
      <c r="GL98" s="60"/>
      <c r="GM98" s="60"/>
      <c r="GN98" s="60"/>
      <c r="GO98" s="60"/>
      <c r="GP98" s="60"/>
      <c r="GQ98" s="60"/>
      <c r="GR98" s="60"/>
      <c r="GS98" s="60"/>
      <c r="GT98" s="60"/>
      <c r="GU98" s="60"/>
      <c r="GV98" s="60"/>
      <c r="GW98" s="60"/>
      <c r="GX98" s="60"/>
      <c r="GY98" s="60"/>
      <c r="GZ98" s="60"/>
      <c r="HA98" s="60"/>
      <c r="HB98" s="60"/>
      <c r="HC98" s="60"/>
      <c r="HD98" s="60"/>
      <c r="HE98" s="60"/>
      <c r="HF98" s="60"/>
      <c r="HG98" s="60"/>
      <c r="HH98" s="60"/>
      <c r="HI98" s="60"/>
      <c r="HJ98" s="60"/>
      <c r="HK98" s="60"/>
      <c r="HL98" s="60"/>
      <c r="HM98" s="60"/>
      <c r="HN98" s="60"/>
      <c r="HO98" s="60"/>
      <c r="HP98" s="60"/>
      <c r="HQ98" s="60"/>
      <c r="HR98" s="60"/>
      <c r="HS98" s="60"/>
      <c r="HT98" s="60"/>
      <c r="HU98" s="60"/>
      <c r="HV98" s="60"/>
      <c r="HW98" s="60"/>
      <c r="HX98" s="60"/>
      <c r="HY98" s="60"/>
      <c r="HZ98" s="60"/>
      <c r="IA98" s="60"/>
      <c r="IB98" s="60"/>
      <c r="IC98" s="60"/>
      <c r="ID98" s="60"/>
      <c r="IE98" s="60"/>
      <c r="IF98" s="60"/>
      <c r="IG98" s="60"/>
      <c r="IH98" s="60"/>
      <c r="II98" s="60"/>
      <c r="IJ98" s="60"/>
      <c r="IK98" s="60"/>
      <c r="IL98" s="60"/>
      <c r="IM98" s="60"/>
      <c r="IN98" s="60"/>
      <c r="IO98" s="60"/>
      <c r="IP98" s="60"/>
      <c r="IQ98" s="60"/>
      <c r="IR98" s="60"/>
      <c r="IS98" s="60"/>
      <c r="IT98" s="60"/>
      <c r="IU98" s="60"/>
      <c r="IV98" s="60"/>
      <c r="IW98" s="60"/>
      <c r="IX98" s="60"/>
      <c r="IY98" s="60"/>
      <c r="IZ98" s="60"/>
      <c r="JA98" s="60"/>
      <c r="JB98" s="60"/>
      <c r="JC98" s="60"/>
      <c r="JD98" s="60"/>
      <c r="JE98" s="60"/>
      <c r="JF98" s="60"/>
      <c r="JG98" s="60"/>
      <c r="JH98" s="60"/>
      <c r="JI98" s="60"/>
      <c r="JJ98" s="60"/>
      <c r="JK98" s="60"/>
      <c r="JL98" s="60"/>
      <c r="JM98" s="60"/>
      <c r="JN98" s="60"/>
      <c r="JO98" s="60"/>
      <c r="JP98" s="60"/>
      <c r="JQ98" s="60"/>
      <c r="JR98" s="60"/>
      <c r="JS98" s="60"/>
      <c r="JT98" s="60"/>
      <c r="JU98" s="60"/>
      <c r="JV98" s="60"/>
      <c r="JW98" s="60"/>
      <c r="JX98" s="60"/>
      <c r="JY98" s="60"/>
      <c r="JZ98" s="60"/>
      <c r="KA98" s="60"/>
      <c r="KB98" s="60"/>
      <c r="KC98" s="60"/>
      <c r="KD98" s="60"/>
      <c r="KE98" s="60"/>
      <c r="KF98" s="60"/>
      <c r="KG98" s="60"/>
      <c r="KH98" s="60"/>
      <c r="KI98" s="60"/>
      <c r="KJ98" s="60"/>
      <c r="KK98" s="60"/>
      <c r="KL98" s="60"/>
      <c r="KM98" s="60"/>
      <c r="KN98" s="60"/>
      <c r="KO98" s="60"/>
      <c r="KP98" s="60"/>
      <c r="KQ98" s="60"/>
      <c r="KR98" s="60"/>
      <c r="KS98" s="60"/>
      <c r="KT98" s="60"/>
      <c r="KU98" s="60"/>
      <c r="KV98" s="60"/>
      <c r="KW98" s="60"/>
      <c r="KX98" s="60"/>
      <c r="KY98" s="60"/>
      <c r="KZ98" s="60"/>
      <c r="LA98" s="60"/>
      <c r="LB98" s="60"/>
      <c r="LC98" s="60"/>
      <c r="LD98" s="60"/>
      <c r="LE98" s="60"/>
      <c r="LF98" s="60"/>
      <c r="LG98" s="60"/>
      <c r="LH98" s="60"/>
    </row>
    <row r="99" spans="1:320" s="17" customFormat="1" x14ac:dyDescent="0.25">
      <c r="A99" s="147"/>
      <c r="E99" s="156"/>
      <c r="F99" s="156"/>
      <c r="G99" s="156"/>
      <c r="H99" s="156"/>
      <c r="I99" s="156"/>
      <c r="J99" s="156"/>
      <c r="K99" s="156"/>
      <c r="L99" s="156"/>
      <c r="M99" s="156"/>
      <c r="N99" s="156"/>
      <c r="O99" s="156"/>
      <c r="P99" s="156"/>
      <c r="Q99" s="156"/>
      <c r="R99" s="156"/>
      <c r="S99" s="156"/>
      <c r="AC99" s="60"/>
      <c r="AD99" s="60"/>
      <c r="AE99" s="60"/>
      <c r="AF99" s="60"/>
      <c r="AG99" s="60"/>
      <c r="AH99" s="60"/>
      <c r="AI99" s="60"/>
      <c r="AJ99" s="60"/>
      <c r="AK99" s="60"/>
      <c r="AL99" s="60"/>
      <c r="AM99" s="60"/>
      <c r="AN99" s="60"/>
      <c r="AO99" s="60"/>
      <c r="AP99" s="60"/>
      <c r="AQ99" s="60"/>
      <c r="AR99" s="60"/>
      <c r="AS99" s="60"/>
      <c r="AT99" s="60"/>
      <c r="AU99" s="60"/>
      <c r="AV99" s="60"/>
      <c r="AW99" s="60"/>
      <c r="AX99" s="60"/>
      <c r="AY99" s="60"/>
      <c r="AZ99" s="60"/>
      <c r="BA99" s="60"/>
      <c r="BB99" s="60"/>
      <c r="BC99" s="60"/>
      <c r="BD99" s="60"/>
      <c r="BE99" s="60"/>
      <c r="BF99" s="60"/>
      <c r="BG99" s="60"/>
      <c r="BH99" s="60"/>
      <c r="BI99" s="60"/>
      <c r="BJ99" s="60"/>
      <c r="BK99" s="60"/>
      <c r="BL99" s="60"/>
      <c r="BM99" s="60"/>
      <c r="BN99" s="60"/>
      <c r="BO99" s="60"/>
      <c r="BP99" s="60"/>
      <c r="BQ99" s="60"/>
      <c r="BR99" s="60"/>
      <c r="BS99" s="60"/>
      <c r="BT99" s="60"/>
      <c r="BU99" s="60"/>
      <c r="BV99" s="60"/>
      <c r="BW99" s="60"/>
      <c r="BX99" s="60"/>
      <c r="BY99" s="60"/>
      <c r="BZ99" s="60"/>
      <c r="CA99" s="60"/>
      <c r="CB99" s="60"/>
      <c r="CC99" s="60"/>
      <c r="CD99" s="60"/>
      <c r="CE99" s="60"/>
      <c r="CF99" s="60"/>
      <c r="CG99" s="60"/>
      <c r="CH99" s="60"/>
      <c r="CI99" s="60"/>
      <c r="CJ99" s="60"/>
      <c r="CK99" s="60"/>
      <c r="CL99" s="60"/>
      <c r="CM99" s="60"/>
      <c r="CN99" s="60"/>
      <c r="CO99" s="60"/>
      <c r="CP99" s="60"/>
      <c r="CQ99" s="60"/>
      <c r="CR99" s="60"/>
      <c r="CS99" s="60"/>
      <c r="CT99" s="60"/>
      <c r="CU99" s="60"/>
      <c r="CV99" s="60"/>
      <c r="CW99" s="60"/>
      <c r="CX99" s="60"/>
      <c r="CY99" s="60"/>
      <c r="CZ99" s="60"/>
      <c r="DA99" s="60"/>
      <c r="DB99" s="60"/>
      <c r="DC99" s="60"/>
      <c r="DD99" s="60"/>
      <c r="DE99" s="60"/>
      <c r="DF99" s="60"/>
      <c r="DG99" s="60"/>
      <c r="DH99" s="60"/>
      <c r="DI99" s="60"/>
      <c r="DJ99" s="60"/>
      <c r="DK99" s="60"/>
      <c r="DL99" s="60"/>
      <c r="DM99" s="60"/>
      <c r="DN99" s="60"/>
      <c r="DO99" s="60"/>
      <c r="DP99" s="60"/>
      <c r="DQ99" s="60"/>
      <c r="DR99" s="60"/>
      <c r="DS99" s="60"/>
      <c r="DT99" s="60"/>
      <c r="DU99" s="60"/>
      <c r="DV99" s="60"/>
      <c r="DW99" s="60"/>
      <c r="DX99" s="60"/>
      <c r="DY99" s="60"/>
      <c r="DZ99" s="60"/>
      <c r="EA99" s="60"/>
      <c r="EB99" s="60"/>
      <c r="EC99" s="60"/>
      <c r="ED99" s="60"/>
      <c r="EE99" s="60"/>
      <c r="EF99" s="60"/>
      <c r="EG99" s="60"/>
      <c r="EH99" s="60"/>
      <c r="EI99" s="60"/>
      <c r="EJ99" s="60"/>
      <c r="EK99" s="60"/>
      <c r="EL99" s="60"/>
      <c r="EM99" s="60"/>
      <c r="EN99" s="60"/>
      <c r="EO99" s="60"/>
      <c r="EP99" s="60"/>
      <c r="EQ99" s="60"/>
      <c r="ER99" s="60"/>
      <c r="ES99" s="60"/>
      <c r="ET99" s="60"/>
      <c r="EU99" s="60"/>
      <c r="EV99" s="60"/>
      <c r="EW99" s="60"/>
      <c r="EX99" s="60"/>
      <c r="EY99" s="60"/>
      <c r="EZ99" s="60"/>
      <c r="FA99" s="60"/>
      <c r="FB99" s="60"/>
      <c r="FC99" s="60"/>
      <c r="FD99" s="60"/>
      <c r="FE99" s="60"/>
      <c r="FF99" s="60"/>
      <c r="FG99" s="60"/>
      <c r="FH99" s="60"/>
      <c r="FI99" s="60"/>
      <c r="FJ99" s="60"/>
      <c r="FK99" s="60"/>
      <c r="FL99" s="60"/>
      <c r="FM99" s="60"/>
      <c r="FN99" s="60"/>
      <c r="FO99" s="60"/>
      <c r="FP99" s="60"/>
      <c r="FQ99" s="60"/>
      <c r="FR99" s="60"/>
      <c r="FS99" s="60"/>
      <c r="FT99" s="60"/>
      <c r="FU99" s="60"/>
      <c r="FV99" s="60"/>
      <c r="FW99" s="60"/>
      <c r="FX99" s="60"/>
      <c r="FY99" s="60"/>
      <c r="FZ99" s="60"/>
      <c r="GA99" s="60"/>
      <c r="GB99" s="60"/>
      <c r="GC99" s="60"/>
      <c r="GD99" s="60"/>
      <c r="GE99" s="60"/>
      <c r="GF99" s="60"/>
      <c r="GG99" s="60"/>
      <c r="GH99" s="60"/>
      <c r="GI99" s="60"/>
      <c r="GJ99" s="60"/>
      <c r="GK99" s="60"/>
      <c r="GL99" s="60"/>
      <c r="GM99" s="60"/>
      <c r="GN99" s="60"/>
      <c r="GO99" s="60"/>
      <c r="GP99" s="60"/>
      <c r="GQ99" s="60"/>
      <c r="GR99" s="60"/>
      <c r="GS99" s="60"/>
      <c r="GT99" s="60"/>
      <c r="GU99" s="60"/>
      <c r="GV99" s="60"/>
      <c r="GW99" s="60"/>
      <c r="GX99" s="60"/>
      <c r="GY99" s="60"/>
      <c r="GZ99" s="60"/>
      <c r="HA99" s="60"/>
      <c r="HB99" s="60"/>
      <c r="HC99" s="60"/>
      <c r="HD99" s="60"/>
      <c r="HE99" s="60"/>
      <c r="HF99" s="60"/>
      <c r="HG99" s="60"/>
      <c r="HH99" s="60"/>
      <c r="HI99" s="60"/>
      <c r="HJ99" s="60"/>
      <c r="HK99" s="60"/>
      <c r="HL99" s="60"/>
      <c r="HM99" s="60"/>
      <c r="HN99" s="60"/>
      <c r="HO99" s="60"/>
      <c r="HP99" s="60"/>
      <c r="HQ99" s="60"/>
      <c r="HR99" s="60"/>
      <c r="HS99" s="60"/>
      <c r="HT99" s="60"/>
      <c r="HU99" s="60"/>
      <c r="HV99" s="60"/>
      <c r="HW99" s="60"/>
      <c r="HX99" s="60"/>
      <c r="HY99" s="60"/>
      <c r="HZ99" s="60"/>
      <c r="IA99" s="60"/>
      <c r="IB99" s="60"/>
      <c r="IC99" s="60"/>
      <c r="ID99" s="60"/>
      <c r="IE99" s="60"/>
      <c r="IF99" s="60"/>
      <c r="IG99" s="60"/>
      <c r="IH99" s="60"/>
      <c r="II99" s="60"/>
      <c r="IJ99" s="60"/>
      <c r="IK99" s="60"/>
      <c r="IL99" s="60"/>
      <c r="IM99" s="60"/>
      <c r="IN99" s="60"/>
      <c r="IO99" s="60"/>
      <c r="IP99" s="60"/>
      <c r="IQ99" s="60"/>
      <c r="IR99" s="60"/>
      <c r="IS99" s="60"/>
      <c r="IT99" s="60"/>
      <c r="IU99" s="60"/>
      <c r="IV99" s="60"/>
      <c r="IW99" s="60"/>
      <c r="IX99" s="60"/>
      <c r="IY99" s="60"/>
      <c r="IZ99" s="60"/>
      <c r="JA99" s="60"/>
      <c r="JB99" s="60"/>
      <c r="JC99" s="60"/>
      <c r="JD99" s="60"/>
      <c r="JE99" s="60"/>
      <c r="JF99" s="60"/>
      <c r="JG99" s="60"/>
      <c r="JH99" s="60"/>
      <c r="JI99" s="60"/>
      <c r="JJ99" s="60"/>
      <c r="JK99" s="60"/>
      <c r="JL99" s="60"/>
      <c r="JM99" s="60"/>
      <c r="JN99" s="60"/>
      <c r="JO99" s="60"/>
      <c r="JP99" s="60"/>
      <c r="JQ99" s="60"/>
      <c r="JR99" s="60"/>
      <c r="JS99" s="60"/>
      <c r="JT99" s="60"/>
      <c r="JU99" s="60"/>
      <c r="JV99" s="60"/>
      <c r="JW99" s="60"/>
      <c r="JX99" s="60"/>
      <c r="JY99" s="60"/>
      <c r="JZ99" s="60"/>
      <c r="KA99" s="60"/>
      <c r="KB99" s="60"/>
      <c r="KC99" s="60"/>
      <c r="KD99" s="60"/>
      <c r="KE99" s="60"/>
      <c r="KF99" s="60"/>
      <c r="KG99" s="60"/>
      <c r="KH99" s="60"/>
      <c r="KI99" s="60"/>
      <c r="KJ99" s="60"/>
      <c r="KK99" s="60"/>
      <c r="KL99" s="60"/>
      <c r="KM99" s="60"/>
      <c r="KN99" s="60"/>
      <c r="KO99" s="60"/>
      <c r="KP99" s="60"/>
      <c r="KQ99" s="60"/>
      <c r="KR99" s="60"/>
      <c r="KS99" s="60"/>
      <c r="KT99" s="60"/>
      <c r="KU99" s="60"/>
      <c r="KV99" s="60"/>
      <c r="KW99" s="60"/>
      <c r="KX99" s="60"/>
      <c r="KY99" s="60"/>
      <c r="KZ99" s="60"/>
      <c r="LA99" s="60"/>
      <c r="LB99" s="60"/>
      <c r="LC99" s="60"/>
      <c r="LD99" s="60"/>
      <c r="LE99" s="60"/>
      <c r="LF99" s="60"/>
      <c r="LG99" s="60"/>
      <c r="LH99" s="60"/>
    </row>
    <row r="100" spans="1:320" s="17" customFormat="1" x14ac:dyDescent="0.25">
      <c r="A100" s="147"/>
      <c r="E100" s="156"/>
      <c r="F100" s="156"/>
      <c r="G100" s="156"/>
      <c r="H100" s="156"/>
      <c r="I100" s="156"/>
      <c r="J100" s="156"/>
      <c r="K100" s="156"/>
      <c r="L100" s="156"/>
      <c r="M100" s="156"/>
      <c r="N100" s="156"/>
      <c r="O100" s="156"/>
      <c r="P100" s="156"/>
      <c r="Q100" s="156"/>
      <c r="R100" s="156"/>
      <c r="S100" s="156"/>
      <c r="AC100" s="60"/>
      <c r="AD100" s="60"/>
      <c r="AE100" s="60"/>
      <c r="AF100" s="60"/>
      <c r="AG100" s="60"/>
      <c r="AH100" s="60"/>
      <c r="AI100" s="60"/>
      <c r="AJ100" s="60"/>
      <c r="AK100" s="60"/>
      <c r="AL100" s="60"/>
      <c r="AM100" s="60"/>
      <c r="AN100" s="60"/>
      <c r="AO100" s="60"/>
      <c r="AP100" s="60"/>
      <c r="AQ100" s="60"/>
      <c r="AR100" s="60"/>
      <c r="AS100" s="60"/>
      <c r="AT100" s="60"/>
      <c r="AU100" s="60"/>
      <c r="AV100" s="60"/>
      <c r="AW100" s="60"/>
      <c r="AX100" s="60"/>
      <c r="AY100" s="60"/>
      <c r="AZ100" s="60"/>
      <c r="BA100" s="60"/>
      <c r="BB100" s="60"/>
      <c r="BC100" s="60"/>
      <c r="BD100" s="60"/>
      <c r="BE100" s="60"/>
      <c r="BF100" s="60"/>
      <c r="BG100" s="60"/>
      <c r="BH100" s="60"/>
      <c r="BI100" s="60"/>
      <c r="BJ100" s="60"/>
      <c r="BK100" s="60"/>
      <c r="BL100" s="60"/>
      <c r="BM100" s="60"/>
      <c r="BN100" s="60"/>
      <c r="BO100" s="60"/>
      <c r="BP100" s="60"/>
      <c r="BQ100" s="60"/>
      <c r="BR100" s="60"/>
      <c r="BS100" s="60"/>
      <c r="BT100" s="60"/>
      <c r="BU100" s="60"/>
      <c r="BV100" s="60"/>
      <c r="BW100" s="60"/>
      <c r="BX100" s="60"/>
      <c r="BY100" s="60"/>
      <c r="BZ100" s="60"/>
      <c r="CA100" s="60"/>
      <c r="CB100" s="60"/>
      <c r="CC100" s="60"/>
      <c r="CD100" s="60"/>
      <c r="CE100" s="60"/>
      <c r="CF100" s="60"/>
      <c r="CG100" s="60"/>
      <c r="CH100" s="60"/>
      <c r="CI100" s="60"/>
      <c r="CJ100" s="60"/>
      <c r="CK100" s="60"/>
      <c r="CL100" s="60"/>
      <c r="CM100" s="60"/>
      <c r="CN100" s="60"/>
      <c r="CO100" s="60"/>
      <c r="CP100" s="60"/>
      <c r="CQ100" s="60"/>
      <c r="CR100" s="60"/>
      <c r="CS100" s="60"/>
      <c r="CT100" s="60"/>
      <c r="CU100" s="60"/>
      <c r="CV100" s="60"/>
      <c r="CW100" s="60"/>
      <c r="CX100" s="60"/>
      <c r="CY100" s="60"/>
      <c r="CZ100" s="60"/>
      <c r="DA100" s="60"/>
      <c r="DB100" s="60"/>
      <c r="DC100" s="60"/>
      <c r="DD100" s="60"/>
      <c r="DE100" s="60"/>
      <c r="DF100" s="60"/>
      <c r="DG100" s="60"/>
      <c r="DH100" s="60"/>
      <c r="DI100" s="60"/>
      <c r="DJ100" s="60"/>
      <c r="DK100" s="60"/>
      <c r="DL100" s="60"/>
      <c r="DM100" s="60"/>
      <c r="DN100" s="60"/>
      <c r="DO100" s="60"/>
      <c r="DP100" s="60"/>
      <c r="DQ100" s="60"/>
      <c r="DR100" s="60"/>
      <c r="DS100" s="60"/>
      <c r="DT100" s="60"/>
      <c r="DU100" s="60"/>
      <c r="DV100" s="60"/>
      <c r="DW100" s="60"/>
      <c r="DX100" s="60"/>
      <c r="DY100" s="60"/>
      <c r="DZ100" s="60"/>
      <c r="EA100" s="60"/>
      <c r="EB100" s="60"/>
      <c r="EC100" s="60"/>
      <c r="ED100" s="60"/>
      <c r="EE100" s="60"/>
      <c r="EF100" s="60"/>
      <c r="EG100" s="60"/>
      <c r="EH100" s="60"/>
      <c r="EI100" s="60"/>
      <c r="EJ100" s="60"/>
      <c r="EK100" s="60"/>
      <c r="EL100" s="60"/>
      <c r="EM100" s="60"/>
      <c r="EN100" s="60"/>
      <c r="EO100" s="60"/>
      <c r="EP100" s="60"/>
      <c r="EQ100" s="60"/>
      <c r="ER100" s="60"/>
      <c r="ES100" s="60"/>
      <c r="ET100" s="60"/>
      <c r="EU100" s="60"/>
      <c r="EV100" s="60"/>
      <c r="EW100" s="60"/>
      <c r="EX100" s="60"/>
      <c r="EY100" s="60"/>
      <c r="EZ100" s="60"/>
      <c r="FA100" s="60"/>
      <c r="FB100" s="60"/>
      <c r="FC100" s="60"/>
      <c r="FD100" s="60"/>
      <c r="FE100" s="60"/>
      <c r="FF100" s="60"/>
      <c r="FG100" s="60"/>
      <c r="FH100" s="60"/>
      <c r="FI100" s="60"/>
      <c r="FJ100" s="60"/>
      <c r="FK100" s="60"/>
      <c r="FL100" s="60"/>
      <c r="FM100" s="60"/>
      <c r="FN100" s="60"/>
      <c r="FO100" s="60"/>
      <c r="FP100" s="60"/>
      <c r="FQ100" s="60"/>
      <c r="FR100" s="60"/>
      <c r="FS100" s="60"/>
      <c r="FT100" s="60"/>
      <c r="FU100" s="60"/>
      <c r="FV100" s="60"/>
      <c r="FW100" s="60"/>
      <c r="FX100" s="60"/>
      <c r="FY100" s="60"/>
      <c r="FZ100" s="60"/>
      <c r="GA100" s="60"/>
      <c r="GB100" s="60"/>
      <c r="GC100" s="60"/>
      <c r="GD100" s="60"/>
      <c r="GE100" s="60"/>
      <c r="GF100" s="60"/>
      <c r="GG100" s="60"/>
      <c r="GH100" s="60"/>
      <c r="GI100" s="60"/>
      <c r="GJ100" s="60"/>
      <c r="GK100" s="60"/>
      <c r="GL100" s="60"/>
      <c r="GM100" s="60"/>
      <c r="GN100" s="60"/>
      <c r="GO100" s="60"/>
      <c r="GP100" s="60"/>
      <c r="GQ100" s="60"/>
      <c r="GR100" s="60"/>
      <c r="GS100" s="60"/>
      <c r="GT100" s="60"/>
      <c r="GU100" s="60"/>
      <c r="GV100" s="60"/>
      <c r="GW100" s="60"/>
      <c r="GX100" s="60"/>
      <c r="GY100" s="60"/>
      <c r="GZ100" s="60"/>
      <c r="HA100" s="60"/>
      <c r="HB100" s="60"/>
      <c r="HC100" s="60"/>
      <c r="HD100" s="60"/>
      <c r="HE100" s="60"/>
      <c r="HF100" s="60"/>
      <c r="HG100" s="60"/>
      <c r="HH100" s="60"/>
      <c r="HI100" s="60"/>
      <c r="HJ100" s="60"/>
      <c r="HK100" s="60"/>
      <c r="HL100" s="60"/>
      <c r="HM100" s="60"/>
      <c r="HN100" s="60"/>
      <c r="HO100" s="60"/>
      <c r="HP100" s="60"/>
      <c r="HQ100" s="60"/>
      <c r="HR100" s="60"/>
      <c r="HS100" s="60"/>
      <c r="HT100" s="60"/>
      <c r="HU100" s="60"/>
      <c r="HV100" s="60"/>
      <c r="HW100" s="60"/>
      <c r="HX100" s="60"/>
      <c r="HY100" s="60"/>
      <c r="HZ100" s="60"/>
      <c r="IA100" s="60"/>
      <c r="IB100" s="60"/>
      <c r="IC100" s="60"/>
      <c r="ID100" s="60"/>
      <c r="IE100" s="60"/>
      <c r="IF100" s="60"/>
      <c r="IG100" s="60"/>
      <c r="IH100" s="60"/>
      <c r="II100" s="60"/>
      <c r="IJ100" s="60"/>
      <c r="IK100" s="60"/>
      <c r="IL100" s="60"/>
      <c r="IM100" s="60"/>
      <c r="IN100" s="60"/>
      <c r="IO100" s="60"/>
      <c r="IP100" s="60"/>
      <c r="IQ100" s="60"/>
      <c r="IR100" s="60"/>
      <c r="IS100" s="60"/>
      <c r="IT100" s="60"/>
      <c r="IU100" s="60"/>
      <c r="IV100" s="60"/>
      <c r="IW100" s="60"/>
      <c r="IX100" s="60"/>
      <c r="IY100" s="60"/>
      <c r="IZ100" s="60"/>
      <c r="JA100" s="60"/>
      <c r="JB100" s="60"/>
      <c r="JC100" s="60"/>
      <c r="JD100" s="60"/>
      <c r="JE100" s="60"/>
      <c r="JF100" s="60"/>
      <c r="JG100" s="60"/>
      <c r="JH100" s="60"/>
      <c r="JI100" s="60"/>
      <c r="JJ100" s="60"/>
      <c r="JK100" s="60"/>
      <c r="JL100" s="60"/>
      <c r="JM100" s="60"/>
      <c r="JN100" s="60"/>
      <c r="JO100" s="60"/>
      <c r="JP100" s="60"/>
      <c r="JQ100" s="60"/>
      <c r="JR100" s="60"/>
      <c r="JS100" s="60"/>
      <c r="JT100" s="60"/>
      <c r="JU100" s="60"/>
      <c r="JV100" s="60"/>
      <c r="JW100" s="60"/>
      <c r="JX100" s="60"/>
      <c r="JY100" s="60"/>
      <c r="JZ100" s="60"/>
      <c r="KA100" s="60"/>
      <c r="KB100" s="60"/>
      <c r="KC100" s="60"/>
      <c r="KD100" s="60"/>
      <c r="KE100" s="60"/>
      <c r="KF100" s="60"/>
      <c r="KG100" s="60"/>
      <c r="KH100" s="60"/>
      <c r="KI100" s="60"/>
      <c r="KJ100" s="60"/>
      <c r="KK100" s="60"/>
      <c r="KL100" s="60"/>
      <c r="KM100" s="60"/>
      <c r="KN100" s="60"/>
      <c r="KO100" s="60"/>
      <c r="KP100" s="60"/>
      <c r="KQ100" s="60"/>
      <c r="KR100" s="60"/>
      <c r="KS100" s="60"/>
      <c r="KT100" s="60"/>
      <c r="KU100" s="60"/>
      <c r="KV100" s="60"/>
      <c r="KW100" s="60"/>
      <c r="KX100" s="60"/>
      <c r="KY100" s="60"/>
      <c r="KZ100" s="60"/>
      <c r="LA100" s="60"/>
      <c r="LB100" s="60"/>
      <c r="LC100" s="60"/>
      <c r="LD100" s="60"/>
      <c r="LE100" s="60"/>
      <c r="LF100" s="60"/>
      <c r="LG100" s="60"/>
      <c r="LH100" s="60"/>
    </row>
    <row r="101" spans="1:320" s="17" customFormat="1" x14ac:dyDescent="0.25">
      <c r="A101" s="147"/>
      <c r="E101" s="156"/>
      <c r="F101" s="156"/>
      <c r="G101" s="156"/>
      <c r="H101" s="156"/>
      <c r="I101" s="156"/>
      <c r="J101" s="156"/>
      <c r="K101" s="156"/>
      <c r="L101" s="156"/>
      <c r="M101" s="156"/>
      <c r="N101" s="156"/>
      <c r="O101" s="156"/>
      <c r="P101" s="156"/>
      <c r="Q101" s="156"/>
      <c r="R101" s="156"/>
      <c r="S101" s="156"/>
      <c r="AC101" s="60"/>
      <c r="AD101" s="60"/>
      <c r="AE101" s="60"/>
      <c r="AF101" s="60"/>
      <c r="AG101" s="60"/>
      <c r="AH101" s="60"/>
      <c r="AI101" s="60"/>
      <c r="AJ101" s="60"/>
      <c r="AK101" s="60"/>
      <c r="AL101" s="60"/>
      <c r="AM101" s="60"/>
      <c r="AN101" s="60"/>
      <c r="AO101" s="60"/>
      <c r="AP101" s="60"/>
      <c r="AQ101" s="60"/>
      <c r="AR101" s="60"/>
      <c r="AS101" s="60"/>
      <c r="AT101" s="60"/>
      <c r="AU101" s="60"/>
      <c r="AV101" s="60"/>
      <c r="AW101" s="60"/>
      <c r="AX101" s="60"/>
      <c r="AY101" s="60"/>
      <c r="AZ101" s="60"/>
      <c r="BA101" s="60"/>
      <c r="BB101" s="60"/>
      <c r="BC101" s="60"/>
      <c r="BD101" s="60"/>
      <c r="BE101" s="60"/>
      <c r="BF101" s="60"/>
      <c r="BG101" s="60"/>
      <c r="BH101" s="60"/>
      <c r="BI101" s="60"/>
      <c r="BJ101" s="60"/>
      <c r="BK101" s="60"/>
      <c r="BL101" s="60"/>
      <c r="BM101" s="60"/>
      <c r="BN101" s="60"/>
      <c r="BO101" s="60"/>
      <c r="BP101" s="60"/>
      <c r="BQ101" s="60"/>
      <c r="BR101" s="60"/>
      <c r="BS101" s="60"/>
      <c r="BT101" s="60"/>
      <c r="BU101" s="60"/>
      <c r="BV101" s="60"/>
      <c r="BW101" s="60"/>
      <c r="BX101" s="60"/>
      <c r="BY101" s="60"/>
      <c r="BZ101" s="60"/>
      <c r="CA101" s="60"/>
      <c r="CB101" s="60"/>
      <c r="CC101" s="60"/>
      <c r="CD101" s="60"/>
      <c r="CE101" s="60"/>
      <c r="CF101" s="60"/>
      <c r="CG101" s="60"/>
      <c r="CH101" s="60"/>
      <c r="CI101" s="60"/>
      <c r="CJ101" s="60"/>
      <c r="CK101" s="60"/>
      <c r="CL101" s="60"/>
      <c r="CM101" s="60"/>
      <c r="CN101" s="60"/>
      <c r="CO101" s="60"/>
      <c r="CP101" s="60"/>
      <c r="CQ101" s="60"/>
      <c r="CR101" s="60"/>
      <c r="CS101" s="60"/>
      <c r="CT101" s="60"/>
      <c r="CU101" s="60"/>
      <c r="CV101" s="60"/>
      <c r="CW101" s="60"/>
      <c r="CX101" s="60"/>
      <c r="CY101" s="60"/>
      <c r="CZ101" s="60"/>
      <c r="DA101" s="60"/>
      <c r="DB101" s="60"/>
      <c r="DC101" s="60"/>
      <c r="DD101" s="60"/>
      <c r="DE101" s="60"/>
      <c r="DF101" s="60"/>
      <c r="DG101" s="60"/>
      <c r="DH101" s="60"/>
      <c r="DI101" s="60"/>
      <c r="DJ101" s="60"/>
      <c r="DK101" s="60"/>
      <c r="DL101" s="60"/>
      <c r="DM101" s="60"/>
      <c r="DN101" s="60"/>
      <c r="DO101" s="60"/>
      <c r="DP101" s="60"/>
      <c r="DQ101" s="60"/>
      <c r="DR101" s="60"/>
      <c r="DS101" s="60"/>
      <c r="DT101" s="60"/>
      <c r="DU101" s="60"/>
      <c r="DV101" s="60"/>
      <c r="DW101" s="60"/>
      <c r="DX101" s="60"/>
      <c r="DY101" s="60"/>
      <c r="DZ101" s="60"/>
      <c r="EA101" s="60"/>
      <c r="EB101" s="60"/>
      <c r="EC101" s="60"/>
      <c r="ED101" s="60"/>
      <c r="EE101" s="60"/>
      <c r="EF101" s="60"/>
      <c r="EG101" s="60"/>
      <c r="EH101" s="60"/>
      <c r="EI101" s="60"/>
      <c r="EJ101" s="60"/>
      <c r="EK101" s="60"/>
      <c r="EL101" s="60"/>
      <c r="EM101" s="60"/>
      <c r="EN101" s="60"/>
      <c r="EO101" s="60"/>
      <c r="EP101" s="60"/>
      <c r="EQ101" s="60"/>
      <c r="ER101" s="60"/>
      <c r="ES101" s="60"/>
      <c r="ET101" s="60"/>
      <c r="EU101" s="60"/>
      <c r="EV101" s="60"/>
      <c r="EW101" s="60"/>
      <c r="EX101" s="60"/>
      <c r="EY101" s="60"/>
      <c r="EZ101" s="60"/>
      <c r="FA101" s="60"/>
      <c r="FB101" s="60"/>
      <c r="FC101" s="60"/>
      <c r="FD101" s="60"/>
      <c r="FE101" s="60"/>
      <c r="FF101" s="60"/>
      <c r="FG101" s="60"/>
      <c r="FH101" s="60"/>
      <c r="FI101" s="60"/>
      <c r="FJ101" s="60"/>
      <c r="FK101" s="60"/>
      <c r="FL101" s="60"/>
      <c r="FM101" s="60"/>
      <c r="FN101" s="60"/>
      <c r="FO101" s="60"/>
      <c r="FP101" s="60"/>
      <c r="FQ101" s="60"/>
      <c r="FR101" s="60"/>
      <c r="FS101" s="60"/>
      <c r="FT101" s="60"/>
      <c r="FU101" s="60"/>
      <c r="FV101" s="60"/>
      <c r="FW101" s="60"/>
      <c r="FX101" s="60"/>
      <c r="FY101" s="60"/>
      <c r="FZ101" s="60"/>
      <c r="GA101" s="60"/>
      <c r="GB101" s="60"/>
      <c r="GC101" s="60"/>
      <c r="GD101" s="60"/>
      <c r="GE101" s="60"/>
      <c r="GF101" s="60"/>
      <c r="GG101" s="60"/>
      <c r="GH101" s="60"/>
      <c r="GI101" s="60"/>
      <c r="GJ101" s="60"/>
      <c r="GK101" s="60"/>
      <c r="GL101" s="60"/>
      <c r="GM101" s="60"/>
      <c r="GN101" s="60"/>
      <c r="GO101" s="60"/>
      <c r="GP101" s="60"/>
      <c r="GQ101" s="60"/>
      <c r="GR101" s="60"/>
      <c r="GS101" s="60"/>
      <c r="GT101" s="60"/>
      <c r="GU101" s="60"/>
      <c r="GV101" s="60"/>
      <c r="GW101" s="60"/>
      <c r="GX101" s="60"/>
      <c r="GY101" s="60"/>
      <c r="GZ101" s="60"/>
      <c r="HA101" s="60"/>
      <c r="HB101" s="60"/>
      <c r="HC101" s="60"/>
      <c r="HD101" s="60"/>
      <c r="HE101" s="60"/>
      <c r="HF101" s="60"/>
      <c r="HG101" s="60"/>
      <c r="HH101" s="60"/>
      <c r="HI101" s="60"/>
      <c r="HJ101" s="60"/>
      <c r="HK101" s="60"/>
      <c r="HL101" s="60"/>
      <c r="HM101" s="60"/>
      <c r="HN101" s="60"/>
      <c r="HO101" s="60"/>
      <c r="HP101" s="60"/>
      <c r="HQ101" s="60"/>
      <c r="HR101" s="60"/>
      <c r="HS101" s="60"/>
      <c r="HT101" s="60"/>
      <c r="HU101" s="60"/>
      <c r="HV101" s="60"/>
      <c r="HW101" s="60"/>
      <c r="HX101" s="60"/>
      <c r="HY101" s="60"/>
      <c r="HZ101" s="60"/>
      <c r="IA101" s="60"/>
      <c r="IB101" s="60"/>
      <c r="IC101" s="60"/>
      <c r="ID101" s="60"/>
      <c r="IE101" s="60"/>
      <c r="IF101" s="60"/>
      <c r="IG101" s="60"/>
      <c r="IH101" s="60"/>
      <c r="II101" s="60"/>
      <c r="IJ101" s="60"/>
      <c r="IK101" s="60"/>
      <c r="IL101" s="60"/>
      <c r="IM101" s="60"/>
      <c r="IN101" s="60"/>
      <c r="IO101" s="60"/>
      <c r="IP101" s="60"/>
      <c r="IQ101" s="60"/>
      <c r="IR101" s="60"/>
      <c r="IS101" s="60"/>
      <c r="IT101" s="60"/>
      <c r="IU101" s="60"/>
      <c r="IV101" s="60"/>
      <c r="IW101" s="60"/>
      <c r="IX101" s="60"/>
      <c r="IY101" s="60"/>
      <c r="IZ101" s="60"/>
      <c r="JA101" s="60"/>
      <c r="JB101" s="60"/>
      <c r="JC101" s="60"/>
      <c r="JD101" s="60"/>
      <c r="JE101" s="60"/>
      <c r="JF101" s="60"/>
      <c r="JG101" s="60"/>
      <c r="JH101" s="60"/>
      <c r="JI101" s="60"/>
      <c r="JJ101" s="60"/>
      <c r="JK101" s="60"/>
      <c r="JL101" s="60"/>
      <c r="JM101" s="60"/>
      <c r="JN101" s="60"/>
      <c r="JO101" s="60"/>
      <c r="JP101" s="60"/>
      <c r="JQ101" s="60"/>
      <c r="JR101" s="60"/>
      <c r="JS101" s="60"/>
      <c r="JT101" s="60"/>
      <c r="JU101" s="60"/>
      <c r="JV101" s="60"/>
      <c r="JW101" s="60"/>
      <c r="JX101" s="60"/>
      <c r="JY101" s="60"/>
      <c r="JZ101" s="60"/>
      <c r="KA101" s="60"/>
      <c r="KB101" s="60"/>
      <c r="KC101" s="60"/>
      <c r="KD101" s="60"/>
      <c r="KE101" s="60"/>
      <c r="KF101" s="60"/>
      <c r="KG101" s="60"/>
      <c r="KH101" s="60"/>
      <c r="KI101" s="60"/>
      <c r="KJ101" s="60"/>
      <c r="KK101" s="60"/>
      <c r="KL101" s="60"/>
      <c r="KM101" s="60"/>
      <c r="KN101" s="60"/>
      <c r="KO101" s="60"/>
      <c r="KP101" s="60"/>
      <c r="KQ101" s="60"/>
      <c r="KR101" s="60"/>
      <c r="KS101" s="60"/>
      <c r="KT101" s="60"/>
      <c r="KU101" s="60"/>
      <c r="KV101" s="60"/>
      <c r="KW101" s="60"/>
      <c r="KX101" s="60"/>
      <c r="KY101" s="60"/>
      <c r="KZ101" s="60"/>
      <c r="LA101" s="60"/>
      <c r="LB101" s="60"/>
      <c r="LC101" s="60"/>
      <c r="LD101" s="60"/>
      <c r="LE101" s="60"/>
      <c r="LF101" s="60"/>
      <c r="LG101" s="60"/>
      <c r="LH101" s="60"/>
    </row>
    <row r="102" spans="1:320" s="17" customFormat="1" x14ac:dyDescent="0.25">
      <c r="A102" s="147"/>
      <c r="E102" s="156"/>
      <c r="F102" s="156"/>
      <c r="G102" s="156"/>
      <c r="H102" s="156"/>
      <c r="I102" s="156"/>
      <c r="J102" s="156"/>
      <c r="K102" s="156"/>
      <c r="L102" s="156"/>
      <c r="M102" s="156"/>
      <c r="N102" s="156"/>
      <c r="O102" s="156"/>
      <c r="P102" s="156"/>
      <c r="Q102" s="156"/>
      <c r="R102" s="156"/>
      <c r="S102" s="156"/>
      <c r="AC102" s="60"/>
      <c r="AD102" s="60"/>
      <c r="AE102" s="60"/>
      <c r="AF102" s="60"/>
      <c r="AG102" s="60"/>
      <c r="AH102" s="60"/>
      <c r="AI102" s="60"/>
      <c r="AJ102" s="60"/>
      <c r="AK102" s="60"/>
      <c r="AL102" s="60"/>
      <c r="AM102" s="60"/>
      <c r="AN102" s="60"/>
      <c r="AO102" s="60"/>
      <c r="AP102" s="60"/>
      <c r="AQ102" s="60"/>
      <c r="AR102" s="60"/>
      <c r="AS102" s="60"/>
      <c r="AT102" s="60"/>
      <c r="AU102" s="60"/>
      <c r="AV102" s="60"/>
      <c r="AW102" s="60"/>
      <c r="AX102" s="60"/>
      <c r="AY102" s="60"/>
      <c r="AZ102" s="60"/>
      <c r="BA102" s="60"/>
      <c r="BB102" s="60"/>
      <c r="BC102" s="60"/>
      <c r="BD102" s="60"/>
      <c r="BE102" s="60"/>
      <c r="BF102" s="60"/>
      <c r="BG102" s="60"/>
      <c r="BH102" s="60"/>
      <c r="BI102" s="60"/>
      <c r="BJ102" s="60"/>
      <c r="BK102" s="60"/>
      <c r="BL102" s="60"/>
      <c r="BM102" s="60"/>
      <c r="BN102" s="60"/>
      <c r="BO102" s="60"/>
      <c r="BP102" s="60"/>
      <c r="BQ102" s="60"/>
      <c r="BR102" s="60"/>
      <c r="BS102" s="60"/>
      <c r="BT102" s="60"/>
      <c r="BU102" s="60"/>
      <c r="BV102" s="60"/>
      <c r="BW102" s="60"/>
      <c r="BX102" s="60"/>
      <c r="BY102" s="60"/>
      <c r="BZ102" s="60"/>
      <c r="CA102" s="60"/>
      <c r="CB102" s="60"/>
      <c r="CC102" s="60"/>
      <c r="CD102" s="60"/>
      <c r="CE102" s="60"/>
      <c r="CF102" s="60"/>
      <c r="CG102" s="60"/>
      <c r="CH102" s="60"/>
      <c r="CI102" s="60"/>
      <c r="CJ102" s="60"/>
      <c r="CK102" s="60"/>
      <c r="CL102" s="60"/>
      <c r="CM102" s="60"/>
      <c r="CN102" s="60"/>
      <c r="CO102" s="60"/>
      <c r="CP102" s="60"/>
      <c r="CQ102" s="60"/>
      <c r="CR102" s="60"/>
      <c r="CS102" s="60"/>
      <c r="CT102" s="60"/>
      <c r="CU102" s="60"/>
      <c r="CV102" s="60"/>
      <c r="CW102" s="60"/>
      <c r="CX102" s="60"/>
      <c r="CY102" s="60"/>
      <c r="CZ102" s="60"/>
      <c r="DA102" s="60"/>
      <c r="DB102" s="60"/>
      <c r="DC102" s="60"/>
      <c r="DD102" s="60"/>
      <c r="DE102" s="60"/>
      <c r="DF102" s="60"/>
      <c r="DG102" s="60"/>
      <c r="DH102" s="60"/>
      <c r="DI102" s="60"/>
      <c r="DJ102" s="60"/>
      <c r="DK102" s="60"/>
      <c r="DL102" s="60"/>
      <c r="DM102" s="60"/>
      <c r="DN102" s="60"/>
      <c r="DO102" s="60"/>
      <c r="DP102" s="60"/>
      <c r="DQ102" s="60"/>
      <c r="DR102" s="60"/>
      <c r="DS102" s="60"/>
      <c r="DT102" s="60"/>
      <c r="DU102" s="60"/>
      <c r="DV102" s="60"/>
      <c r="DW102" s="60"/>
      <c r="DX102" s="60"/>
      <c r="DY102" s="60"/>
      <c r="DZ102" s="60"/>
      <c r="EA102" s="60"/>
      <c r="EB102" s="60"/>
      <c r="EC102" s="60"/>
      <c r="ED102" s="60"/>
      <c r="EE102" s="60"/>
      <c r="EF102" s="60"/>
      <c r="EG102" s="60"/>
      <c r="EH102" s="60"/>
      <c r="EI102" s="60"/>
      <c r="EJ102" s="60"/>
      <c r="EK102" s="60"/>
      <c r="EL102" s="60"/>
      <c r="EM102" s="60"/>
      <c r="EN102" s="60"/>
      <c r="EO102" s="60"/>
      <c r="EP102" s="60"/>
      <c r="EQ102" s="60"/>
      <c r="ER102" s="60"/>
      <c r="ES102" s="60"/>
      <c r="ET102" s="60"/>
      <c r="EU102" s="60"/>
      <c r="EV102" s="60"/>
      <c r="EW102" s="60"/>
      <c r="EX102" s="60"/>
      <c r="EY102" s="60"/>
      <c r="EZ102" s="60"/>
      <c r="FA102" s="60"/>
      <c r="FB102" s="60"/>
      <c r="FC102" s="60"/>
      <c r="FD102" s="60"/>
      <c r="FE102" s="60"/>
      <c r="FF102" s="60"/>
      <c r="FG102" s="60"/>
      <c r="FH102" s="60"/>
      <c r="FI102" s="60"/>
      <c r="FJ102" s="60"/>
      <c r="FK102" s="60"/>
      <c r="FL102" s="60"/>
      <c r="FM102" s="60"/>
      <c r="FN102" s="60"/>
      <c r="FO102" s="60"/>
      <c r="FP102" s="60"/>
      <c r="FQ102" s="60"/>
      <c r="FR102" s="60"/>
      <c r="FS102" s="60"/>
      <c r="FT102" s="60"/>
      <c r="FU102" s="60"/>
      <c r="FV102" s="60"/>
      <c r="FW102" s="60"/>
      <c r="FX102" s="60"/>
      <c r="FY102" s="60"/>
      <c r="FZ102" s="60"/>
      <c r="GA102" s="60"/>
      <c r="GB102" s="60"/>
      <c r="GC102" s="60"/>
      <c r="GD102" s="60"/>
      <c r="GE102" s="60"/>
      <c r="GF102" s="60"/>
      <c r="GG102" s="60"/>
      <c r="GH102" s="60"/>
      <c r="GI102" s="60"/>
      <c r="GJ102" s="60"/>
      <c r="GK102" s="60"/>
      <c r="GL102" s="60"/>
      <c r="GM102" s="60"/>
      <c r="GN102" s="60"/>
      <c r="GO102" s="60"/>
      <c r="GP102" s="60"/>
      <c r="GQ102" s="60"/>
      <c r="GR102" s="60"/>
      <c r="GS102" s="60"/>
      <c r="GT102" s="60"/>
      <c r="GU102" s="60"/>
      <c r="GV102" s="60"/>
      <c r="GW102" s="60"/>
      <c r="GX102" s="60"/>
      <c r="GY102" s="60"/>
      <c r="GZ102" s="60"/>
      <c r="HA102" s="60"/>
      <c r="HB102" s="60"/>
      <c r="HC102" s="60"/>
      <c r="HD102" s="60"/>
      <c r="HE102" s="60"/>
      <c r="HF102" s="60"/>
      <c r="HG102" s="60"/>
      <c r="HH102" s="60"/>
      <c r="HI102" s="60"/>
      <c r="HJ102" s="60"/>
      <c r="HK102" s="60"/>
      <c r="HL102" s="60"/>
      <c r="HM102" s="60"/>
      <c r="HN102" s="60"/>
      <c r="HO102" s="60"/>
      <c r="HP102" s="60"/>
      <c r="HQ102" s="60"/>
      <c r="HR102" s="60"/>
      <c r="HS102" s="60"/>
      <c r="HT102" s="60"/>
      <c r="HU102" s="60"/>
      <c r="HV102" s="60"/>
      <c r="HW102" s="60"/>
      <c r="HX102" s="60"/>
      <c r="HY102" s="60"/>
      <c r="HZ102" s="60"/>
      <c r="IA102" s="60"/>
      <c r="IB102" s="60"/>
      <c r="IC102" s="60"/>
      <c r="ID102" s="60"/>
      <c r="IE102" s="60"/>
      <c r="IF102" s="60"/>
      <c r="IG102" s="60"/>
      <c r="IH102" s="60"/>
      <c r="II102" s="60"/>
      <c r="IJ102" s="60"/>
      <c r="IK102" s="60"/>
      <c r="IL102" s="60"/>
      <c r="IM102" s="60"/>
      <c r="IN102" s="60"/>
      <c r="IO102" s="60"/>
      <c r="IP102" s="60"/>
      <c r="IQ102" s="60"/>
      <c r="IR102" s="60"/>
      <c r="IS102" s="60"/>
      <c r="IT102" s="60"/>
      <c r="IU102" s="60"/>
      <c r="IV102" s="60"/>
      <c r="IW102" s="60"/>
      <c r="IX102" s="60"/>
      <c r="IY102" s="60"/>
      <c r="IZ102" s="60"/>
      <c r="JA102" s="60"/>
      <c r="JB102" s="60"/>
      <c r="JC102" s="60"/>
      <c r="JD102" s="60"/>
      <c r="JE102" s="60"/>
      <c r="JF102" s="60"/>
      <c r="JG102" s="60"/>
      <c r="JH102" s="60"/>
      <c r="JI102" s="60"/>
      <c r="JJ102" s="60"/>
      <c r="JK102" s="60"/>
      <c r="JL102" s="60"/>
      <c r="JM102" s="60"/>
      <c r="JN102" s="60"/>
      <c r="JO102" s="60"/>
      <c r="JP102" s="60"/>
      <c r="JQ102" s="60"/>
      <c r="JR102" s="60"/>
      <c r="JS102" s="60"/>
      <c r="JT102" s="60"/>
      <c r="JU102" s="60"/>
      <c r="JV102" s="60"/>
      <c r="JW102" s="60"/>
      <c r="JX102" s="60"/>
      <c r="JY102" s="60"/>
      <c r="JZ102" s="60"/>
      <c r="KA102" s="60"/>
      <c r="KB102" s="60"/>
      <c r="KC102" s="60"/>
      <c r="KD102" s="60"/>
      <c r="KE102" s="60"/>
      <c r="KF102" s="60"/>
      <c r="KG102" s="60"/>
      <c r="KH102" s="60"/>
      <c r="KI102" s="60"/>
      <c r="KJ102" s="60"/>
      <c r="KK102" s="60"/>
      <c r="KL102" s="60"/>
      <c r="KM102" s="60"/>
      <c r="KN102" s="60"/>
      <c r="KO102" s="60"/>
      <c r="KP102" s="60"/>
      <c r="KQ102" s="60"/>
      <c r="KR102" s="60"/>
      <c r="KS102" s="60"/>
      <c r="KT102" s="60"/>
      <c r="KU102" s="60"/>
      <c r="KV102" s="60"/>
      <c r="KW102" s="60"/>
      <c r="KX102" s="60"/>
      <c r="KY102" s="60"/>
      <c r="KZ102" s="60"/>
      <c r="LA102" s="60"/>
      <c r="LB102" s="60"/>
      <c r="LC102" s="60"/>
      <c r="LD102" s="60"/>
      <c r="LE102" s="60"/>
      <c r="LF102" s="60"/>
      <c r="LG102" s="60"/>
      <c r="LH102" s="60"/>
    </row>
    <row r="103" spans="1:320" s="17" customFormat="1" x14ac:dyDescent="0.25">
      <c r="A103" s="147"/>
      <c r="E103" s="156"/>
      <c r="F103" s="156"/>
      <c r="G103" s="156"/>
      <c r="H103" s="156"/>
      <c r="I103" s="156"/>
      <c r="J103" s="156"/>
      <c r="K103" s="156"/>
      <c r="L103" s="156"/>
      <c r="M103" s="156"/>
      <c r="N103" s="156"/>
      <c r="O103" s="156"/>
      <c r="P103" s="156"/>
      <c r="Q103" s="156"/>
      <c r="R103" s="156"/>
      <c r="S103" s="156"/>
      <c r="AC103" s="60"/>
      <c r="AD103" s="60"/>
      <c r="AE103" s="60"/>
      <c r="AF103" s="60"/>
      <c r="AG103" s="60"/>
      <c r="AH103" s="60"/>
      <c r="AI103" s="60"/>
      <c r="AJ103" s="60"/>
      <c r="AK103" s="60"/>
      <c r="AL103" s="60"/>
      <c r="AM103" s="60"/>
      <c r="AN103" s="60"/>
      <c r="AO103" s="60"/>
      <c r="AP103" s="60"/>
      <c r="AQ103" s="60"/>
      <c r="AR103" s="60"/>
      <c r="AS103" s="60"/>
      <c r="AT103" s="60"/>
      <c r="AU103" s="60"/>
      <c r="AV103" s="60"/>
      <c r="AW103" s="60"/>
      <c r="AX103" s="60"/>
      <c r="AY103" s="60"/>
      <c r="AZ103" s="60"/>
      <c r="BA103" s="60"/>
      <c r="BB103" s="60"/>
      <c r="BC103" s="60"/>
      <c r="BD103" s="60"/>
      <c r="BE103" s="60"/>
      <c r="BF103" s="60"/>
      <c r="BG103" s="60"/>
      <c r="BH103" s="60"/>
      <c r="BI103" s="60"/>
      <c r="BJ103" s="60"/>
      <c r="BK103" s="60"/>
      <c r="BL103" s="60"/>
      <c r="BM103" s="60"/>
      <c r="BN103" s="60"/>
      <c r="BO103" s="60"/>
      <c r="BP103" s="60"/>
      <c r="BQ103" s="60"/>
      <c r="BR103" s="60"/>
      <c r="BS103" s="60"/>
      <c r="BT103" s="60"/>
      <c r="BU103" s="60"/>
      <c r="BV103" s="60"/>
      <c r="BW103" s="60"/>
      <c r="BX103" s="60"/>
      <c r="BY103" s="60"/>
      <c r="BZ103" s="60"/>
      <c r="CA103" s="60"/>
      <c r="CB103" s="60"/>
      <c r="CC103" s="60"/>
      <c r="CD103" s="60"/>
      <c r="CE103" s="60"/>
      <c r="CF103" s="60"/>
      <c r="CG103" s="60"/>
      <c r="CH103" s="60"/>
      <c r="CI103" s="60"/>
      <c r="CJ103" s="60"/>
      <c r="CK103" s="60"/>
      <c r="CL103" s="60"/>
      <c r="CM103" s="60"/>
      <c r="CN103" s="60"/>
      <c r="CO103" s="60"/>
      <c r="CP103" s="60"/>
      <c r="CQ103" s="60"/>
      <c r="CR103" s="60"/>
      <c r="CS103" s="60"/>
      <c r="CT103" s="60"/>
      <c r="CU103" s="60"/>
      <c r="CV103" s="60"/>
      <c r="CW103" s="60"/>
      <c r="CX103" s="60"/>
      <c r="CY103" s="60"/>
      <c r="CZ103" s="60"/>
      <c r="DA103" s="60"/>
      <c r="DB103" s="60"/>
      <c r="DC103" s="60"/>
      <c r="DD103" s="60"/>
      <c r="DE103" s="60"/>
      <c r="DF103" s="60"/>
      <c r="DG103" s="60"/>
      <c r="DH103" s="60"/>
      <c r="DI103" s="60"/>
      <c r="DJ103" s="60"/>
      <c r="DK103" s="60"/>
      <c r="DL103" s="60"/>
      <c r="DM103" s="60"/>
      <c r="DN103" s="60"/>
      <c r="DO103" s="60"/>
      <c r="DP103" s="60"/>
      <c r="DQ103" s="60"/>
      <c r="DR103" s="60"/>
      <c r="DS103" s="60"/>
      <c r="DT103" s="60"/>
      <c r="DU103" s="60"/>
      <c r="DV103" s="60"/>
      <c r="DW103" s="60"/>
      <c r="DX103" s="60"/>
      <c r="DY103" s="60"/>
      <c r="DZ103" s="60"/>
      <c r="EA103" s="60"/>
      <c r="EB103" s="60"/>
      <c r="EC103" s="60"/>
      <c r="ED103" s="60"/>
      <c r="EE103" s="60"/>
      <c r="EF103" s="60"/>
      <c r="EG103" s="60"/>
      <c r="EH103" s="60"/>
      <c r="EI103" s="60"/>
      <c r="EJ103" s="60"/>
      <c r="EK103" s="60"/>
      <c r="EL103" s="60"/>
      <c r="EM103" s="60"/>
      <c r="EN103" s="60"/>
      <c r="EO103" s="60"/>
      <c r="EP103" s="60"/>
      <c r="EQ103" s="60"/>
      <c r="ER103" s="60"/>
      <c r="ES103" s="60"/>
      <c r="ET103" s="60"/>
      <c r="EU103" s="60"/>
      <c r="EV103" s="60"/>
      <c r="EW103" s="60"/>
      <c r="EX103" s="60"/>
      <c r="EY103" s="60"/>
      <c r="EZ103" s="60"/>
      <c r="FA103" s="60"/>
      <c r="FB103" s="60"/>
      <c r="FC103" s="60"/>
      <c r="FD103" s="60"/>
      <c r="FE103" s="60"/>
      <c r="FF103" s="60"/>
      <c r="FG103" s="60"/>
      <c r="FH103" s="60"/>
      <c r="FI103" s="60"/>
      <c r="FJ103" s="60"/>
      <c r="FK103" s="60"/>
      <c r="FL103" s="60"/>
      <c r="FM103" s="60"/>
      <c r="FN103" s="60"/>
      <c r="FO103" s="60"/>
      <c r="FP103" s="60"/>
      <c r="FQ103" s="60"/>
      <c r="FR103" s="60"/>
      <c r="FS103" s="60"/>
      <c r="FT103" s="60"/>
      <c r="FU103" s="60"/>
      <c r="FV103" s="60"/>
      <c r="FW103" s="60"/>
      <c r="FX103" s="60"/>
      <c r="FY103" s="60"/>
      <c r="FZ103" s="60"/>
      <c r="GA103" s="60"/>
      <c r="GB103" s="60"/>
      <c r="GC103" s="60"/>
      <c r="GD103" s="60"/>
      <c r="GE103" s="60"/>
      <c r="GF103" s="60"/>
      <c r="GG103" s="60"/>
      <c r="GH103" s="60"/>
      <c r="GI103" s="60"/>
      <c r="GJ103" s="60"/>
      <c r="GK103" s="60"/>
      <c r="GL103" s="60"/>
      <c r="GM103" s="60"/>
      <c r="GN103" s="60"/>
      <c r="GO103" s="60"/>
      <c r="GP103" s="60"/>
      <c r="GQ103" s="60"/>
      <c r="GR103" s="60"/>
      <c r="GS103" s="60"/>
      <c r="GT103" s="60"/>
      <c r="GU103" s="60"/>
      <c r="GV103" s="60"/>
      <c r="GW103" s="60"/>
      <c r="GX103" s="60"/>
      <c r="GY103" s="60"/>
      <c r="GZ103" s="60"/>
      <c r="HA103" s="60"/>
      <c r="HB103" s="60"/>
      <c r="HC103" s="60"/>
      <c r="HD103" s="60"/>
      <c r="HE103" s="60"/>
      <c r="HF103" s="60"/>
      <c r="HG103" s="60"/>
      <c r="HH103" s="60"/>
      <c r="HI103" s="60"/>
      <c r="HJ103" s="60"/>
      <c r="HK103" s="60"/>
      <c r="HL103" s="60"/>
      <c r="HM103" s="60"/>
      <c r="HN103" s="60"/>
      <c r="HO103" s="60"/>
      <c r="HP103" s="60"/>
      <c r="HQ103" s="60"/>
      <c r="HR103" s="60"/>
      <c r="HS103" s="60"/>
      <c r="HT103" s="60"/>
      <c r="HU103" s="60"/>
      <c r="HV103" s="60"/>
      <c r="HW103" s="60"/>
      <c r="HX103" s="60"/>
      <c r="HY103" s="60"/>
      <c r="HZ103" s="60"/>
      <c r="IA103" s="60"/>
      <c r="IB103" s="60"/>
      <c r="IC103" s="60"/>
      <c r="ID103" s="60"/>
      <c r="IE103" s="60"/>
      <c r="IF103" s="60"/>
      <c r="IG103" s="60"/>
      <c r="IH103" s="60"/>
      <c r="II103" s="60"/>
      <c r="IJ103" s="60"/>
      <c r="IK103" s="60"/>
      <c r="IL103" s="60"/>
      <c r="IM103" s="60"/>
      <c r="IN103" s="60"/>
      <c r="IO103" s="60"/>
      <c r="IP103" s="60"/>
      <c r="IQ103" s="60"/>
      <c r="IR103" s="60"/>
      <c r="IS103" s="60"/>
      <c r="IT103" s="60"/>
      <c r="IU103" s="60"/>
      <c r="IV103" s="60"/>
      <c r="IW103" s="60"/>
      <c r="IX103" s="60"/>
      <c r="IY103" s="60"/>
      <c r="IZ103" s="60"/>
      <c r="JA103" s="60"/>
      <c r="JB103" s="60"/>
      <c r="JC103" s="60"/>
      <c r="JD103" s="60"/>
      <c r="JE103" s="60"/>
      <c r="JF103" s="60"/>
      <c r="JG103" s="60"/>
      <c r="JH103" s="60"/>
      <c r="JI103" s="60"/>
      <c r="JJ103" s="60"/>
      <c r="JK103" s="60"/>
      <c r="JL103" s="60"/>
      <c r="JM103" s="60"/>
      <c r="JN103" s="60"/>
      <c r="JO103" s="60"/>
      <c r="JP103" s="60"/>
      <c r="JQ103" s="60"/>
      <c r="JR103" s="60"/>
      <c r="JS103" s="60"/>
      <c r="JT103" s="60"/>
      <c r="JU103" s="60"/>
      <c r="JV103" s="60"/>
      <c r="JW103" s="60"/>
      <c r="JX103" s="60"/>
      <c r="JY103" s="60"/>
      <c r="JZ103" s="60"/>
      <c r="KA103" s="60"/>
      <c r="KB103" s="60"/>
      <c r="KC103" s="60"/>
      <c r="KD103" s="60"/>
      <c r="KE103" s="60"/>
      <c r="KF103" s="60"/>
      <c r="KG103" s="60"/>
      <c r="KH103" s="60"/>
      <c r="KI103" s="60"/>
      <c r="KJ103" s="60"/>
      <c r="KK103" s="60"/>
      <c r="KL103" s="60"/>
      <c r="KM103" s="60"/>
      <c r="KN103" s="60"/>
      <c r="KO103" s="60"/>
      <c r="KP103" s="60"/>
      <c r="KQ103" s="60"/>
      <c r="KR103" s="60"/>
      <c r="KS103" s="60"/>
      <c r="KT103" s="60"/>
      <c r="KU103" s="60"/>
      <c r="KV103" s="60"/>
      <c r="KW103" s="60"/>
      <c r="KX103" s="60"/>
      <c r="KY103" s="60"/>
      <c r="KZ103" s="60"/>
      <c r="LA103" s="60"/>
      <c r="LB103" s="60"/>
      <c r="LC103" s="60"/>
      <c r="LD103" s="60"/>
      <c r="LE103" s="60"/>
      <c r="LF103" s="60"/>
      <c r="LG103" s="60"/>
      <c r="LH103" s="60"/>
    </row>
    <row r="104" spans="1:320" s="17" customFormat="1" x14ac:dyDescent="0.25">
      <c r="A104" s="147"/>
      <c r="E104" s="156"/>
      <c r="F104" s="156"/>
      <c r="G104" s="156"/>
      <c r="H104" s="156"/>
      <c r="I104" s="156"/>
      <c r="J104" s="156"/>
      <c r="K104" s="156"/>
      <c r="L104" s="156"/>
      <c r="M104" s="156"/>
      <c r="N104" s="156"/>
      <c r="O104" s="156"/>
      <c r="P104" s="156"/>
      <c r="Q104" s="156"/>
      <c r="R104" s="156"/>
      <c r="S104" s="156"/>
      <c r="AC104" s="60"/>
      <c r="AD104" s="60"/>
      <c r="AE104" s="60"/>
      <c r="AF104" s="60"/>
      <c r="AG104" s="60"/>
      <c r="AH104" s="60"/>
      <c r="AI104" s="60"/>
      <c r="AJ104" s="60"/>
      <c r="AK104" s="60"/>
      <c r="AL104" s="60"/>
      <c r="AM104" s="60"/>
      <c r="AN104" s="60"/>
      <c r="AO104" s="60"/>
      <c r="AP104" s="60"/>
      <c r="AQ104" s="60"/>
      <c r="AR104" s="60"/>
      <c r="AS104" s="60"/>
      <c r="AT104" s="60"/>
      <c r="AU104" s="60"/>
      <c r="AV104" s="60"/>
      <c r="AW104" s="60"/>
      <c r="AX104" s="60"/>
      <c r="AY104" s="60"/>
      <c r="AZ104" s="60"/>
      <c r="BA104" s="60"/>
      <c r="BB104" s="60"/>
      <c r="BC104" s="60"/>
      <c r="BD104" s="60"/>
      <c r="BE104" s="60"/>
      <c r="BF104" s="60"/>
      <c r="BG104" s="60"/>
      <c r="BH104" s="60"/>
      <c r="BI104" s="60"/>
      <c r="BJ104" s="60"/>
      <c r="BK104" s="60"/>
      <c r="BL104" s="60"/>
      <c r="BM104" s="60"/>
      <c r="BN104" s="60"/>
      <c r="BO104" s="60"/>
      <c r="BP104" s="60"/>
      <c r="BQ104" s="60"/>
      <c r="BR104" s="60"/>
      <c r="BS104" s="60"/>
      <c r="BT104" s="60"/>
      <c r="BU104" s="60"/>
      <c r="BV104" s="60"/>
      <c r="BW104" s="60"/>
      <c r="BX104" s="60"/>
      <c r="BY104" s="60"/>
      <c r="BZ104" s="60"/>
      <c r="CA104" s="60"/>
      <c r="CB104" s="60"/>
      <c r="CC104" s="60"/>
      <c r="CD104" s="60"/>
      <c r="CE104" s="60"/>
      <c r="CF104" s="60"/>
      <c r="CG104" s="60"/>
      <c r="CH104" s="60"/>
      <c r="CI104" s="60"/>
      <c r="CJ104" s="60"/>
      <c r="CK104" s="60"/>
      <c r="CL104" s="60"/>
      <c r="CM104" s="60"/>
      <c r="CN104" s="60"/>
      <c r="CO104" s="60"/>
      <c r="CP104" s="60"/>
      <c r="CQ104" s="60"/>
      <c r="CR104" s="60"/>
      <c r="CS104" s="60"/>
      <c r="CT104" s="60"/>
      <c r="CU104" s="60"/>
      <c r="CV104" s="60"/>
      <c r="CW104" s="60"/>
      <c r="CX104" s="60"/>
      <c r="CY104" s="60"/>
      <c r="CZ104" s="60"/>
      <c r="DA104" s="60"/>
      <c r="DB104" s="60"/>
      <c r="DC104" s="60"/>
      <c r="DD104" s="60"/>
      <c r="DE104" s="60"/>
      <c r="DF104" s="60"/>
      <c r="DG104" s="60"/>
      <c r="DH104" s="60"/>
      <c r="DI104" s="60"/>
      <c r="DJ104" s="60"/>
      <c r="DK104" s="60"/>
      <c r="DL104" s="60"/>
      <c r="DM104" s="60"/>
      <c r="DN104" s="60"/>
      <c r="DO104" s="60"/>
      <c r="DP104" s="60"/>
      <c r="DQ104" s="60"/>
      <c r="DR104" s="60"/>
      <c r="DS104" s="60"/>
      <c r="DT104" s="60"/>
      <c r="DU104" s="60"/>
      <c r="DV104" s="60"/>
      <c r="DW104" s="60"/>
      <c r="DX104" s="60"/>
      <c r="DY104" s="60"/>
      <c r="DZ104" s="60"/>
      <c r="EA104" s="60"/>
      <c r="EB104" s="60"/>
      <c r="EC104" s="60"/>
      <c r="ED104" s="60"/>
      <c r="EE104" s="60"/>
      <c r="EF104" s="60"/>
      <c r="EG104" s="60"/>
      <c r="EH104" s="60"/>
      <c r="EI104" s="60"/>
      <c r="EJ104" s="60"/>
      <c r="EK104" s="60"/>
      <c r="EL104" s="60"/>
      <c r="EM104" s="60"/>
      <c r="EN104" s="60"/>
      <c r="EO104" s="60"/>
      <c r="EP104" s="60"/>
      <c r="EQ104" s="60"/>
      <c r="ER104" s="60"/>
      <c r="ES104" s="60"/>
      <c r="ET104" s="60"/>
      <c r="EU104" s="60"/>
      <c r="EV104" s="60"/>
      <c r="EW104" s="60"/>
      <c r="EX104" s="60"/>
      <c r="EY104" s="60"/>
      <c r="EZ104" s="60"/>
      <c r="FA104" s="60"/>
      <c r="FB104" s="60"/>
      <c r="FC104" s="60"/>
      <c r="FD104" s="60"/>
      <c r="FE104" s="60"/>
      <c r="FF104" s="60"/>
      <c r="FG104" s="60"/>
      <c r="FH104" s="60"/>
      <c r="FI104" s="60"/>
      <c r="FJ104" s="60"/>
      <c r="FK104" s="60"/>
      <c r="FL104" s="60"/>
      <c r="FM104" s="60"/>
      <c r="FN104" s="60"/>
      <c r="FO104" s="60"/>
      <c r="FP104" s="60"/>
      <c r="FQ104" s="60"/>
      <c r="FR104" s="60"/>
      <c r="FS104" s="60"/>
      <c r="FT104" s="60"/>
      <c r="FU104" s="60"/>
      <c r="FV104" s="60"/>
      <c r="FW104" s="60"/>
      <c r="FX104" s="60"/>
      <c r="FY104" s="60"/>
      <c r="FZ104" s="60"/>
      <c r="GA104" s="60"/>
      <c r="GB104" s="60"/>
      <c r="GC104" s="60"/>
      <c r="GD104" s="60"/>
      <c r="GE104" s="60"/>
      <c r="GF104" s="60"/>
      <c r="GG104" s="60"/>
      <c r="GH104" s="60"/>
      <c r="GI104" s="60"/>
      <c r="GJ104" s="60"/>
      <c r="GK104" s="60"/>
      <c r="GL104" s="60"/>
      <c r="GM104" s="60"/>
      <c r="GN104" s="60"/>
      <c r="GO104" s="60"/>
      <c r="GP104" s="60"/>
      <c r="GQ104" s="60"/>
      <c r="GR104" s="60"/>
      <c r="GS104" s="60"/>
      <c r="GT104" s="60"/>
      <c r="GU104" s="60"/>
      <c r="GV104" s="60"/>
      <c r="GW104" s="60"/>
      <c r="GX104" s="60"/>
      <c r="GY104" s="60"/>
      <c r="GZ104" s="60"/>
      <c r="HA104" s="60"/>
      <c r="HB104" s="60"/>
      <c r="HC104" s="60"/>
      <c r="HD104" s="60"/>
      <c r="HE104" s="60"/>
      <c r="HF104" s="60"/>
      <c r="HG104" s="60"/>
      <c r="HH104" s="60"/>
      <c r="HI104" s="60"/>
      <c r="HJ104" s="60"/>
      <c r="HK104" s="60"/>
      <c r="HL104" s="60"/>
      <c r="HM104" s="60"/>
      <c r="HN104" s="60"/>
      <c r="HO104" s="60"/>
      <c r="HP104" s="60"/>
      <c r="HQ104" s="60"/>
      <c r="HR104" s="60"/>
      <c r="HS104" s="60"/>
      <c r="HT104" s="60"/>
      <c r="HU104" s="60"/>
      <c r="HV104" s="60"/>
      <c r="HW104" s="60"/>
      <c r="HX104" s="60"/>
      <c r="HY104" s="60"/>
      <c r="HZ104" s="60"/>
      <c r="IA104" s="60"/>
      <c r="IB104" s="60"/>
      <c r="IC104" s="60"/>
      <c r="ID104" s="60"/>
      <c r="IE104" s="60"/>
      <c r="IF104" s="60"/>
      <c r="IG104" s="60"/>
      <c r="IH104" s="60"/>
      <c r="II104" s="60"/>
      <c r="IJ104" s="60"/>
      <c r="IK104" s="60"/>
      <c r="IL104" s="60"/>
      <c r="IM104" s="60"/>
      <c r="IN104" s="60"/>
      <c r="IO104" s="60"/>
      <c r="IP104" s="60"/>
      <c r="IQ104" s="60"/>
      <c r="IR104" s="60"/>
      <c r="IS104" s="60"/>
      <c r="IT104" s="60"/>
      <c r="IU104" s="60"/>
      <c r="IV104" s="60"/>
      <c r="IW104" s="60"/>
      <c r="IX104" s="60"/>
      <c r="IY104" s="60"/>
      <c r="IZ104" s="60"/>
      <c r="JA104" s="60"/>
      <c r="JB104" s="60"/>
      <c r="JC104" s="60"/>
      <c r="JD104" s="60"/>
      <c r="JE104" s="60"/>
      <c r="JF104" s="60"/>
      <c r="JG104" s="60"/>
      <c r="JH104" s="60"/>
      <c r="JI104" s="60"/>
      <c r="JJ104" s="60"/>
      <c r="JK104" s="60"/>
      <c r="JL104" s="60"/>
      <c r="JM104" s="60"/>
      <c r="JN104" s="60"/>
      <c r="JO104" s="60"/>
      <c r="JP104" s="60"/>
      <c r="JQ104" s="60"/>
      <c r="JR104" s="60"/>
      <c r="JS104" s="60"/>
      <c r="JT104" s="60"/>
      <c r="JU104" s="60"/>
      <c r="JV104" s="60"/>
      <c r="JW104" s="60"/>
      <c r="JX104" s="60"/>
      <c r="JY104" s="60"/>
      <c r="JZ104" s="60"/>
      <c r="KA104" s="60"/>
      <c r="KB104" s="60"/>
      <c r="KC104" s="60"/>
      <c r="KD104" s="60"/>
      <c r="KE104" s="60"/>
      <c r="KF104" s="60"/>
      <c r="KG104" s="60"/>
      <c r="KH104" s="60"/>
      <c r="KI104" s="60"/>
      <c r="KJ104" s="60"/>
      <c r="KK104" s="60"/>
      <c r="KL104" s="60"/>
      <c r="KM104" s="60"/>
      <c r="KN104" s="60"/>
      <c r="KO104" s="60"/>
      <c r="KP104" s="60"/>
      <c r="KQ104" s="60"/>
      <c r="KR104" s="60"/>
      <c r="KS104" s="60"/>
      <c r="KT104" s="60"/>
      <c r="KU104" s="60"/>
      <c r="KV104" s="60"/>
      <c r="KW104" s="60"/>
      <c r="KX104" s="60"/>
      <c r="KY104" s="60"/>
      <c r="KZ104" s="60"/>
      <c r="LA104" s="60"/>
      <c r="LB104" s="60"/>
      <c r="LC104" s="60"/>
      <c r="LD104" s="60"/>
      <c r="LE104" s="60"/>
      <c r="LF104" s="60"/>
      <c r="LG104" s="60"/>
      <c r="LH104" s="60"/>
    </row>
    <row r="105" spans="1:320" s="17" customFormat="1" x14ac:dyDescent="0.25">
      <c r="A105" s="147"/>
      <c r="E105" s="156"/>
      <c r="F105" s="156"/>
      <c r="G105" s="156"/>
      <c r="H105" s="156"/>
      <c r="I105" s="156"/>
      <c r="J105" s="156"/>
      <c r="K105" s="156"/>
      <c r="L105" s="156"/>
      <c r="M105" s="156"/>
      <c r="N105" s="156"/>
      <c r="O105" s="156"/>
      <c r="P105" s="156"/>
      <c r="Q105" s="156"/>
      <c r="R105" s="156"/>
      <c r="S105" s="156"/>
      <c r="AC105" s="60"/>
      <c r="AD105" s="60"/>
      <c r="AE105" s="60"/>
      <c r="AF105" s="60"/>
      <c r="AG105" s="60"/>
      <c r="AH105" s="60"/>
      <c r="AI105" s="60"/>
      <c r="AJ105" s="60"/>
      <c r="AK105" s="60"/>
      <c r="AL105" s="60"/>
      <c r="AM105" s="60"/>
      <c r="AN105" s="60"/>
      <c r="AO105" s="60"/>
      <c r="AP105" s="60"/>
      <c r="AQ105" s="60"/>
      <c r="AR105" s="60"/>
      <c r="AS105" s="60"/>
      <c r="AT105" s="60"/>
      <c r="AU105" s="60"/>
      <c r="AV105" s="60"/>
      <c r="AW105" s="60"/>
      <c r="AX105" s="60"/>
      <c r="AY105" s="60"/>
      <c r="AZ105" s="60"/>
      <c r="BA105" s="60"/>
      <c r="BB105" s="60"/>
      <c r="BC105" s="60"/>
      <c r="BD105" s="60"/>
      <c r="BE105" s="60"/>
      <c r="BF105" s="60"/>
      <c r="BG105" s="60"/>
      <c r="BH105" s="60"/>
      <c r="BI105" s="60"/>
      <c r="BJ105" s="60"/>
      <c r="BK105" s="60"/>
      <c r="BL105" s="60"/>
      <c r="BM105" s="60"/>
      <c r="BN105" s="60"/>
      <c r="BO105" s="60"/>
      <c r="BP105" s="60"/>
      <c r="BQ105" s="60"/>
      <c r="BR105" s="60"/>
      <c r="BS105" s="60"/>
      <c r="BT105" s="60"/>
      <c r="BU105" s="60"/>
      <c r="BV105" s="60"/>
      <c r="BW105" s="60"/>
      <c r="BX105" s="60"/>
      <c r="BY105" s="60"/>
      <c r="BZ105" s="60"/>
      <c r="CA105" s="60"/>
      <c r="CB105" s="60"/>
      <c r="CC105" s="60"/>
      <c r="CD105" s="60"/>
      <c r="CE105" s="60"/>
      <c r="CF105" s="60"/>
      <c r="CG105" s="60"/>
      <c r="CH105" s="60"/>
      <c r="CI105" s="60"/>
      <c r="CJ105" s="60"/>
      <c r="CK105" s="60"/>
      <c r="CL105" s="60"/>
      <c r="CM105" s="60"/>
      <c r="CN105" s="60"/>
      <c r="CO105" s="60"/>
      <c r="CP105" s="60"/>
      <c r="CQ105" s="60"/>
      <c r="CR105" s="60"/>
      <c r="CS105" s="60"/>
      <c r="CT105" s="60"/>
      <c r="CU105" s="60"/>
      <c r="CV105" s="60"/>
      <c r="CW105" s="60"/>
      <c r="CX105" s="60"/>
      <c r="CY105" s="60"/>
      <c r="CZ105" s="60"/>
      <c r="DA105" s="60"/>
      <c r="DB105" s="60"/>
      <c r="DC105" s="60"/>
      <c r="DD105" s="60"/>
      <c r="DE105" s="60"/>
      <c r="DF105" s="60"/>
      <c r="DG105" s="60"/>
      <c r="DH105" s="60"/>
      <c r="DI105" s="60"/>
      <c r="DJ105" s="60"/>
      <c r="DK105" s="60"/>
      <c r="DL105" s="60"/>
      <c r="DM105" s="60"/>
      <c r="DN105" s="60"/>
      <c r="DO105" s="60"/>
      <c r="DP105" s="60"/>
      <c r="DQ105" s="60"/>
      <c r="DR105" s="60"/>
      <c r="DS105" s="60"/>
      <c r="DT105" s="60"/>
      <c r="DU105" s="60"/>
      <c r="DV105" s="60"/>
      <c r="DW105" s="60"/>
      <c r="DX105" s="60"/>
      <c r="DY105" s="60"/>
      <c r="DZ105" s="60"/>
      <c r="EA105" s="60"/>
      <c r="EB105" s="60"/>
      <c r="EC105" s="60"/>
      <c r="ED105" s="60"/>
      <c r="EE105" s="60"/>
      <c r="EF105" s="60"/>
      <c r="EG105" s="60"/>
      <c r="EH105" s="60"/>
      <c r="EI105" s="60"/>
      <c r="EJ105" s="60"/>
      <c r="EK105" s="60"/>
      <c r="EL105" s="60"/>
      <c r="EM105" s="60"/>
      <c r="EN105" s="60"/>
      <c r="EO105" s="60"/>
      <c r="EP105" s="60"/>
      <c r="EQ105" s="60"/>
      <c r="ER105" s="60"/>
      <c r="ES105" s="60"/>
      <c r="ET105" s="60"/>
      <c r="EU105" s="60"/>
      <c r="EV105" s="60"/>
      <c r="EW105" s="60"/>
      <c r="EX105" s="60"/>
      <c r="EY105" s="60"/>
      <c r="EZ105" s="60"/>
      <c r="FA105" s="60"/>
      <c r="FB105" s="60"/>
      <c r="FC105" s="60"/>
      <c r="FD105" s="60"/>
      <c r="FE105" s="60"/>
      <c r="FF105" s="60"/>
      <c r="FG105" s="60"/>
      <c r="FH105" s="60"/>
      <c r="FI105" s="60"/>
      <c r="FJ105" s="60"/>
      <c r="FK105" s="60"/>
      <c r="FL105" s="60"/>
      <c r="FM105" s="60"/>
      <c r="FN105" s="60"/>
      <c r="FO105" s="60"/>
      <c r="FP105" s="60"/>
      <c r="FQ105" s="60"/>
      <c r="FR105" s="60"/>
      <c r="FS105" s="60"/>
      <c r="FT105" s="60"/>
      <c r="FU105" s="60"/>
      <c r="FV105" s="60"/>
      <c r="FW105" s="60"/>
      <c r="FX105" s="60"/>
      <c r="FY105" s="60"/>
      <c r="FZ105" s="60"/>
      <c r="GA105" s="60"/>
      <c r="GB105" s="60"/>
      <c r="GC105" s="60"/>
      <c r="GD105" s="60"/>
      <c r="GE105" s="60"/>
      <c r="GF105" s="60"/>
      <c r="GG105" s="60"/>
      <c r="GH105" s="60"/>
      <c r="GI105" s="60"/>
      <c r="GJ105" s="60"/>
      <c r="GK105" s="60"/>
      <c r="GL105" s="60"/>
      <c r="GM105" s="60"/>
      <c r="GN105" s="60"/>
      <c r="GO105" s="60"/>
      <c r="GP105" s="60"/>
      <c r="GQ105" s="60"/>
      <c r="GR105" s="60"/>
      <c r="GS105" s="60"/>
      <c r="GT105" s="60"/>
      <c r="GU105" s="60"/>
      <c r="GV105" s="60"/>
      <c r="GW105" s="60"/>
      <c r="GX105" s="60"/>
      <c r="GY105" s="60"/>
      <c r="GZ105" s="60"/>
      <c r="HA105" s="60"/>
      <c r="HB105" s="60"/>
      <c r="HC105" s="60"/>
      <c r="HD105" s="60"/>
      <c r="HE105" s="60"/>
      <c r="HF105" s="60"/>
      <c r="HG105" s="60"/>
      <c r="HH105" s="60"/>
      <c r="HI105" s="60"/>
      <c r="HJ105" s="60"/>
      <c r="HK105" s="60"/>
      <c r="HL105" s="60"/>
      <c r="HM105" s="60"/>
      <c r="HN105" s="60"/>
      <c r="HO105" s="60"/>
      <c r="HP105" s="60"/>
      <c r="HQ105" s="60"/>
      <c r="HR105" s="60"/>
      <c r="HS105" s="60"/>
      <c r="HT105" s="60"/>
      <c r="HU105" s="60"/>
      <c r="HV105" s="60"/>
      <c r="HW105" s="60"/>
      <c r="HX105" s="60"/>
      <c r="HY105" s="60"/>
      <c r="HZ105" s="60"/>
      <c r="IA105" s="60"/>
      <c r="IB105" s="60"/>
      <c r="IC105" s="60"/>
      <c r="ID105" s="60"/>
      <c r="IE105" s="60"/>
      <c r="IF105" s="60"/>
      <c r="IG105" s="60"/>
      <c r="IH105" s="60"/>
      <c r="II105" s="60"/>
      <c r="IJ105" s="60"/>
      <c r="IK105" s="60"/>
      <c r="IL105" s="60"/>
      <c r="IM105" s="60"/>
      <c r="IN105" s="60"/>
      <c r="IO105" s="60"/>
      <c r="IP105" s="60"/>
      <c r="IQ105" s="60"/>
      <c r="IR105" s="60"/>
      <c r="IS105" s="60"/>
      <c r="IT105" s="60"/>
      <c r="IU105" s="60"/>
      <c r="IV105" s="60"/>
      <c r="IW105" s="60"/>
      <c r="IX105" s="60"/>
      <c r="IY105" s="60"/>
      <c r="IZ105" s="60"/>
      <c r="JA105" s="60"/>
      <c r="JB105" s="60"/>
      <c r="JC105" s="60"/>
      <c r="JD105" s="60"/>
      <c r="JE105" s="60"/>
      <c r="JF105" s="60"/>
      <c r="JG105" s="60"/>
      <c r="JH105" s="60"/>
      <c r="JI105" s="60"/>
      <c r="JJ105" s="60"/>
      <c r="JK105" s="60"/>
      <c r="JL105" s="60"/>
      <c r="JM105" s="60"/>
      <c r="JN105" s="60"/>
      <c r="JO105" s="60"/>
      <c r="JP105" s="60"/>
      <c r="JQ105" s="60"/>
      <c r="JR105" s="60"/>
      <c r="JS105" s="60"/>
      <c r="JT105" s="60"/>
      <c r="JU105" s="60"/>
      <c r="JV105" s="60"/>
      <c r="JW105" s="60"/>
      <c r="JX105" s="60"/>
      <c r="JY105" s="60"/>
      <c r="JZ105" s="60"/>
      <c r="KA105" s="60"/>
      <c r="KB105" s="60"/>
      <c r="KC105" s="60"/>
      <c r="KD105" s="60"/>
      <c r="KE105" s="60"/>
      <c r="KF105" s="60"/>
      <c r="KG105" s="60"/>
      <c r="KH105" s="60"/>
      <c r="KI105" s="60"/>
      <c r="KJ105" s="60"/>
      <c r="KK105" s="60"/>
      <c r="KL105" s="60"/>
      <c r="KM105" s="60"/>
      <c r="KN105" s="60"/>
      <c r="KO105" s="60"/>
      <c r="KP105" s="60"/>
      <c r="KQ105" s="60"/>
      <c r="KR105" s="60"/>
      <c r="KS105" s="60"/>
      <c r="KT105" s="60"/>
      <c r="KU105" s="60"/>
      <c r="KV105" s="60"/>
      <c r="KW105" s="60"/>
      <c r="KX105" s="60"/>
      <c r="KY105" s="60"/>
      <c r="KZ105" s="60"/>
      <c r="LA105" s="60"/>
      <c r="LB105" s="60"/>
      <c r="LC105" s="60"/>
      <c r="LD105" s="60"/>
      <c r="LE105" s="60"/>
      <c r="LF105" s="60"/>
      <c r="LG105" s="60"/>
      <c r="LH105" s="60"/>
    </row>
    <row r="106" spans="1:320" s="17" customFormat="1" x14ac:dyDescent="0.25">
      <c r="A106" s="147"/>
      <c r="E106" s="156"/>
      <c r="F106" s="156"/>
      <c r="G106" s="156"/>
      <c r="H106" s="156"/>
      <c r="I106" s="156"/>
      <c r="J106" s="156"/>
      <c r="K106" s="156"/>
      <c r="L106" s="156"/>
      <c r="M106" s="156"/>
      <c r="N106" s="156"/>
      <c r="O106" s="156"/>
      <c r="P106" s="156"/>
      <c r="Q106" s="156"/>
      <c r="R106" s="156"/>
      <c r="S106" s="156"/>
      <c r="AC106" s="60"/>
      <c r="AD106" s="60"/>
      <c r="AE106" s="60"/>
      <c r="AF106" s="60"/>
      <c r="AG106" s="60"/>
      <c r="AH106" s="60"/>
      <c r="AI106" s="60"/>
      <c r="AJ106" s="60"/>
      <c r="AK106" s="60"/>
      <c r="AL106" s="60"/>
      <c r="AM106" s="60"/>
      <c r="AN106" s="60"/>
      <c r="AO106" s="60"/>
      <c r="AP106" s="60"/>
      <c r="AQ106" s="60"/>
      <c r="AR106" s="60"/>
      <c r="AS106" s="60"/>
      <c r="AT106" s="60"/>
      <c r="AU106" s="60"/>
      <c r="AV106" s="60"/>
      <c r="AW106" s="60"/>
      <c r="AX106" s="60"/>
      <c r="AY106" s="60"/>
      <c r="AZ106" s="60"/>
      <c r="BA106" s="60"/>
      <c r="BB106" s="60"/>
      <c r="BC106" s="60"/>
      <c r="BD106" s="60"/>
      <c r="BE106" s="60"/>
      <c r="BF106" s="60"/>
      <c r="BG106" s="60"/>
      <c r="BH106" s="60"/>
      <c r="BI106" s="60"/>
      <c r="BJ106" s="60"/>
      <c r="BK106" s="60"/>
      <c r="BL106" s="60"/>
      <c r="BM106" s="60"/>
      <c r="BN106" s="60"/>
      <c r="BO106" s="60"/>
      <c r="BP106" s="60"/>
      <c r="BQ106" s="60"/>
      <c r="BR106" s="60"/>
      <c r="BS106" s="60"/>
      <c r="BT106" s="60"/>
      <c r="BU106" s="60"/>
      <c r="BV106" s="60"/>
      <c r="BW106" s="60"/>
      <c r="BX106" s="60"/>
      <c r="BY106" s="60"/>
      <c r="BZ106" s="60"/>
      <c r="CA106" s="60"/>
      <c r="CB106" s="60"/>
      <c r="CC106" s="60"/>
      <c r="CD106" s="60"/>
      <c r="CE106" s="60"/>
      <c r="CF106" s="60"/>
      <c r="CG106" s="60"/>
      <c r="CH106" s="60"/>
      <c r="CI106" s="60"/>
      <c r="CJ106" s="60"/>
      <c r="CK106" s="60"/>
      <c r="CL106" s="60"/>
      <c r="CM106" s="60"/>
      <c r="CN106" s="60"/>
      <c r="CO106" s="60"/>
      <c r="CP106" s="60"/>
      <c r="CQ106" s="60"/>
      <c r="CR106" s="60"/>
      <c r="CS106" s="60"/>
      <c r="CT106" s="60"/>
      <c r="CU106" s="60"/>
      <c r="CV106" s="60"/>
      <c r="CW106" s="60"/>
      <c r="CX106" s="60"/>
      <c r="CY106" s="60"/>
      <c r="CZ106" s="60"/>
      <c r="DA106" s="60"/>
      <c r="DB106" s="60"/>
      <c r="DC106" s="60"/>
      <c r="DD106" s="60"/>
      <c r="DE106" s="60"/>
      <c r="DF106" s="60"/>
      <c r="DG106" s="60"/>
      <c r="DH106" s="60"/>
      <c r="DI106" s="60"/>
      <c r="DJ106" s="60"/>
      <c r="DK106" s="60"/>
      <c r="DL106" s="60"/>
      <c r="DM106" s="60"/>
      <c r="DN106" s="60"/>
      <c r="DO106" s="60"/>
      <c r="DP106" s="60"/>
      <c r="DQ106" s="60"/>
      <c r="DR106" s="60"/>
      <c r="DS106" s="60"/>
      <c r="DT106" s="60"/>
      <c r="DU106" s="60"/>
      <c r="DV106" s="60"/>
      <c r="DW106" s="60"/>
      <c r="DX106" s="60"/>
      <c r="DY106" s="60"/>
      <c r="DZ106" s="60"/>
      <c r="EA106" s="60"/>
      <c r="EB106" s="60"/>
      <c r="EC106" s="60"/>
      <c r="ED106" s="60"/>
      <c r="EE106" s="60"/>
      <c r="EF106" s="60"/>
      <c r="EG106" s="60"/>
      <c r="EH106" s="60"/>
      <c r="EI106" s="60"/>
      <c r="EJ106" s="60"/>
      <c r="EK106" s="60"/>
      <c r="EL106" s="60"/>
      <c r="EM106" s="60"/>
      <c r="EN106" s="60"/>
      <c r="EO106" s="60"/>
      <c r="EP106" s="60"/>
      <c r="EQ106" s="60"/>
      <c r="ER106" s="60"/>
      <c r="ES106" s="60"/>
      <c r="ET106" s="60"/>
      <c r="EU106" s="60"/>
      <c r="EV106" s="60"/>
      <c r="EW106" s="60"/>
      <c r="EX106" s="60"/>
      <c r="EY106" s="60"/>
      <c r="EZ106" s="60"/>
      <c r="FA106" s="60"/>
      <c r="FB106" s="60"/>
      <c r="FC106" s="60"/>
      <c r="FD106" s="60"/>
      <c r="FE106" s="60"/>
      <c r="FF106" s="60"/>
      <c r="FG106" s="60"/>
      <c r="FH106" s="60"/>
      <c r="FI106" s="60"/>
      <c r="FJ106" s="60"/>
      <c r="FK106" s="60"/>
      <c r="FL106" s="60"/>
      <c r="FM106" s="60"/>
      <c r="FN106" s="60"/>
      <c r="FO106" s="60"/>
      <c r="FP106" s="60"/>
      <c r="FQ106" s="60"/>
      <c r="FR106" s="60"/>
      <c r="FS106" s="60"/>
      <c r="FT106" s="60"/>
      <c r="FU106" s="60"/>
      <c r="FV106" s="60"/>
      <c r="FW106" s="60"/>
      <c r="FX106" s="60"/>
      <c r="FY106" s="60"/>
      <c r="FZ106" s="60"/>
      <c r="GA106" s="60"/>
      <c r="GB106" s="60"/>
      <c r="GC106" s="60"/>
      <c r="GD106" s="60"/>
      <c r="GE106" s="60"/>
      <c r="GF106" s="60"/>
      <c r="GG106" s="60"/>
      <c r="GH106" s="60"/>
      <c r="GI106" s="60"/>
      <c r="GJ106" s="60"/>
      <c r="GK106" s="60"/>
      <c r="GL106" s="60"/>
      <c r="GM106" s="60"/>
      <c r="GN106" s="60"/>
      <c r="GO106" s="60"/>
      <c r="GP106" s="60"/>
      <c r="GQ106" s="60"/>
      <c r="GR106" s="60"/>
      <c r="GS106" s="60"/>
      <c r="GT106" s="60"/>
      <c r="GU106" s="60"/>
      <c r="GV106" s="60"/>
      <c r="GW106" s="60"/>
      <c r="GX106" s="60"/>
      <c r="GY106" s="60"/>
      <c r="GZ106" s="60"/>
      <c r="HA106" s="60"/>
      <c r="HB106" s="60"/>
      <c r="HC106" s="60"/>
      <c r="HD106" s="60"/>
      <c r="HE106" s="60"/>
      <c r="HF106" s="60"/>
      <c r="HG106" s="60"/>
      <c r="HH106" s="60"/>
      <c r="HI106" s="60"/>
      <c r="HJ106" s="60"/>
      <c r="HK106" s="60"/>
      <c r="HL106" s="60"/>
      <c r="HM106" s="60"/>
      <c r="HN106" s="60"/>
      <c r="HO106" s="60"/>
      <c r="HP106" s="60"/>
      <c r="HQ106" s="60"/>
      <c r="HR106" s="60"/>
      <c r="HS106" s="60"/>
      <c r="HT106" s="60"/>
      <c r="HU106" s="60"/>
      <c r="HV106" s="60"/>
      <c r="HW106" s="60"/>
      <c r="HX106" s="60"/>
      <c r="HY106" s="60"/>
      <c r="HZ106" s="60"/>
      <c r="IA106" s="60"/>
      <c r="IB106" s="60"/>
      <c r="IC106" s="60"/>
      <c r="ID106" s="60"/>
      <c r="IE106" s="60"/>
      <c r="IF106" s="60"/>
      <c r="IG106" s="60"/>
      <c r="IH106" s="60"/>
      <c r="II106" s="60"/>
      <c r="IJ106" s="60"/>
      <c r="IK106" s="60"/>
      <c r="IL106" s="60"/>
      <c r="IM106" s="60"/>
      <c r="IN106" s="60"/>
      <c r="IO106" s="60"/>
      <c r="IP106" s="60"/>
      <c r="IQ106" s="60"/>
      <c r="IR106" s="60"/>
      <c r="IS106" s="60"/>
      <c r="IT106" s="60"/>
      <c r="IU106" s="60"/>
      <c r="IV106" s="60"/>
      <c r="IW106" s="60"/>
      <c r="IX106" s="60"/>
      <c r="IY106" s="60"/>
      <c r="IZ106" s="60"/>
      <c r="JA106" s="60"/>
      <c r="JB106" s="60"/>
      <c r="JC106" s="60"/>
      <c r="JD106" s="60"/>
      <c r="JE106" s="60"/>
      <c r="JF106" s="60"/>
      <c r="JG106" s="60"/>
      <c r="JH106" s="60"/>
      <c r="JI106" s="60"/>
      <c r="JJ106" s="60"/>
      <c r="JK106" s="60"/>
      <c r="JL106" s="60"/>
      <c r="JM106" s="60"/>
      <c r="JN106" s="60"/>
      <c r="JO106" s="60"/>
      <c r="JP106" s="60"/>
      <c r="JQ106" s="60"/>
      <c r="JR106" s="60"/>
      <c r="JS106" s="60"/>
      <c r="JT106" s="60"/>
      <c r="JU106" s="60"/>
      <c r="JV106" s="60"/>
      <c r="JW106" s="60"/>
      <c r="JX106" s="60"/>
      <c r="JY106" s="60"/>
      <c r="JZ106" s="60"/>
      <c r="KA106" s="60"/>
      <c r="KB106" s="60"/>
      <c r="KC106" s="60"/>
      <c r="KD106" s="60"/>
      <c r="KE106" s="60"/>
      <c r="KF106" s="60"/>
      <c r="KG106" s="60"/>
      <c r="KH106" s="60"/>
      <c r="KI106" s="60"/>
      <c r="KJ106" s="60"/>
      <c r="KK106" s="60"/>
      <c r="KL106" s="60"/>
      <c r="KM106" s="60"/>
      <c r="KN106" s="60"/>
      <c r="KO106" s="60"/>
      <c r="KP106" s="60"/>
      <c r="KQ106" s="60"/>
      <c r="KR106" s="60"/>
      <c r="KS106" s="60"/>
      <c r="KT106" s="60"/>
      <c r="KU106" s="60"/>
      <c r="KV106" s="60"/>
      <c r="KW106" s="60"/>
      <c r="KX106" s="60"/>
      <c r="KY106" s="60"/>
      <c r="KZ106" s="60"/>
      <c r="LA106" s="60"/>
      <c r="LB106" s="60"/>
      <c r="LC106" s="60"/>
      <c r="LD106" s="60"/>
      <c r="LE106" s="60"/>
      <c r="LF106" s="60"/>
      <c r="LG106" s="60"/>
      <c r="LH106" s="60"/>
    </row>
    <row r="107" spans="1:320" s="17" customFormat="1" x14ac:dyDescent="0.25">
      <c r="A107" s="147"/>
      <c r="E107" s="156"/>
      <c r="F107" s="156"/>
      <c r="G107" s="156"/>
      <c r="H107" s="156"/>
      <c r="I107" s="156"/>
      <c r="J107" s="156"/>
      <c r="K107" s="156"/>
      <c r="L107" s="156"/>
      <c r="M107" s="156"/>
      <c r="N107" s="156"/>
      <c r="O107" s="156"/>
      <c r="P107" s="156"/>
      <c r="Q107" s="156"/>
      <c r="R107" s="156"/>
      <c r="S107" s="156"/>
      <c r="AC107" s="60"/>
      <c r="AD107" s="60"/>
      <c r="AE107" s="60"/>
      <c r="AF107" s="60"/>
      <c r="AG107" s="60"/>
      <c r="AH107" s="60"/>
      <c r="AI107" s="60"/>
      <c r="AJ107" s="60"/>
      <c r="AK107" s="60"/>
      <c r="AL107" s="60"/>
      <c r="AM107" s="60"/>
      <c r="AN107" s="60"/>
      <c r="AO107" s="60"/>
      <c r="AP107" s="60"/>
      <c r="AQ107" s="60"/>
      <c r="AR107" s="60"/>
      <c r="AS107" s="60"/>
      <c r="AT107" s="60"/>
      <c r="AU107" s="60"/>
      <c r="AV107" s="60"/>
      <c r="AW107" s="60"/>
      <c r="AX107" s="60"/>
      <c r="AY107" s="60"/>
      <c r="AZ107" s="60"/>
      <c r="BA107" s="60"/>
      <c r="BB107" s="60"/>
      <c r="BC107" s="60"/>
      <c r="BD107" s="60"/>
      <c r="BE107" s="60"/>
      <c r="BF107" s="60"/>
      <c r="BG107" s="60"/>
      <c r="BH107" s="60"/>
      <c r="BI107" s="60"/>
      <c r="BJ107" s="60"/>
      <c r="BK107" s="60"/>
      <c r="BL107" s="60"/>
      <c r="BM107" s="60"/>
      <c r="BN107" s="60"/>
      <c r="BO107" s="60"/>
      <c r="BP107" s="60"/>
      <c r="BQ107" s="60"/>
      <c r="BR107" s="60"/>
      <c r="BS107" s="60"/>
      <c r="BT107" s="60"/>
      <c r="BU107" s="60"/>
      <c r="BV107" s="60"/>
      <c r="BW107" s="60"/>
      <c r="BX107" s="60"/>
      <c r="BY107" s="60"/>
      <c r="BZ107" s="60"/>
      <c r="CA107" s="60"/>
      <c r="CB107" s="60"/>
      <c r="CC107" s="60"/>
      <c r="CD107" s="60"/>
      <c r="CE107" s="60"/>
      <c r="CF107" s="60"/>
      <c r="CG107" s="60"/>
      <c r="CH107" s="60"/>
      <c r="CI107" s="60"/>
      <c r="CJ107" s="60"/>
      <c r="CK107" s="60"/>
      <c r="CL107" s="60"/>
      <c r="CM107" s="60"/>
      <c r="CN107" s="60"/>
      <c r="CO107" s="60"/>
      <c r="CP107" s="60"/>
      <c r="CQ107" s="60"/>
      <c r="CR107" s="60"/>
      <c r="CS107" s="60"/>
      <c r="CT107" s="60"/>
      <c r="CU107" s="60"/>
      <c r="CV107" s="60"/>
      <c r="CW107" s="60"/>
      <c r="CX107" s="60"/>
      <c r="CY107" s="60"/>
      <c r="CZ107" s="60"/>
      <c r="DA107" s="60"/>
      <c r="DB107" s="60"/>
      <c r="DC107" s="60"/>
      <c r="DD107" s="60"/>
      <c r="DE107" s="60"/>
      <c r="DF107" s="60"/>
      <c r="DG107" s="60"/>
      <c r="DH107" s="60"/>
      <c r="DI107" s="60"/>
      <c r="DJ107" s="60"/>
      <c r="DK107" s="60"/>
      <c r="DL107" s="60"/>
      <c r="DM107" s="60"/>
      <c r="DN107" s="60"/>
      <c r="DO107" s="60"/>
      <c r="DP107" s="60"/>
      <c r="DQ107" s="60"/>
      <c r="DR107" s="60"/>
      <c r="DS107" s="60"/>
      <c r="DT107" s="60"/>
      <c r="DU107" s="60"/>
      <c r="DV107" s="60"/>
      <c r="DW107" s="60"/>
      <c r="DX107" s="60"/>
      <c r="DY107" s="60"/>
      <c r="DZ107" s="60"/>
      <c r="EA107" s="60"/>
      <c r="EB107" s="60"/>
      <c r="EC107" s="60"/>
      <c r="ED107" s="60"/>
      <c r="EE107" s="60"/>
      <c r="EF107" s="60"/>
      <c r="EG107" s="60"/>
      <c r="EH107" s="60"/>
      <c r="EI107" s="60"/>
      <c r="EJ107" s="60"/>
      <c r="EK107" s="60"/>
      <c r="EL107" s="60"/>
      <c r="EM107" s="60"/>
      <c r="EN107" s="60"/>
      <c r="EO107" s="60"/>
      <c r="EP107" s="60"/>
      <c r="EQ107" s="60"/>
      <c r="ER107" s="60"/>
      <c r="ES107" s="60"/>
      <c r="ET107" s="60"/>
      <c r="EU107" s="60"/>
      <c r="EV107" s="60"/>
      <c r="EW107" s="60"/>
      <c r="EX107" s="60"/>
      <c r="EY107" s="60"/>
      <c r="EZ107" s="60"/>
      <c r="FA107" s="60"/>
      <c r="FB107" s="60"/>
      <c r="FC107" s="60"/>
      <c r="FD107" s="60"/>
      <c r="FE107" s="60"/>
      <c r="FF107" s="60"/>
      <c r="FG107" s="60"/>
      <c r="FH107" s="60"/>
      <c r="FI107" s="60"/>
      <c r="FJ107" s="60"/>
      <c r="FK107" s="60"/>
      <c r="FL107" s="60"/>
      <c r="FM107" s="60"/>
      <c r="FN107" s="60"/>
      <c r="FO107" s="60"/>
      <c r="FP107" s="60"/>
      <c r="FQ107" s="60"/>
      <c r="FR107" s="60"/>
      <c r="FS107" s="60"/>
      <c r="FT107" s="60"/>
      <c r="FU107" s="60"/>
      <c r="FV107" s="60"/>
      <c r="FW107" s="60"/>
      <c r="FX107" s="60"/>
      <c r="FY107" s="60"/>
      <c r="FZ107" s="60"/>
      <c r="GA107" s="60"/>
      <c r="GB107" s="60"/>
      <c r="GC107" s="60"/>
      <c r="GD107" s="60"/>
      <c r="GE107" s="60"/>
      <c r="GF107" s="60"/>
      <c r="GG107" s="60"/>
      <c r="GH107" s="60"/>
      <c r="GI107" s="60"/>
      <c r="GJ107" s="60"/>
      <c r="GK107" s="60"/>
      <c r="GL107" s="60"/>
      <c r="GM107" s="60"/>
      <c r="GN107" s="60"/>
      <c r="GO107" s="60"/>
      <c r="GP107" s="60"/>
      <c r="GQ107" s="60"/>
      <c r="GR107" s="60"/>
      <c r="GS107" s="60"/>
      <c r="GT107" s="60"/>
      <c r="GU107" s="60"/>
      <c r="GV107" s="60"/>
      <c r="GW107" s="60"/>
      <c r="GX107" s="60"/>
      <c r="GY107" s="60"/>
      <c r="GZ107" s="60"/>
      <c r="HA107" s="60"/>
      <c r="HB107" s="60"/>
      <c r="HC107" s="60"/>
      <c r="HD107" s="60"/>
      <c r="HE107" s="60"/>
      <c r="HF107" s="60"/>
      <c r="HG107" s="60"/>
      <c r="HH107" s="60"/>
      <c r="HI107" s="60"/>
      <c r="HJ107" s="60"/>
      <c r="HK107" s="60"/>
      <c r="HL107" s="60"/>
      <c r="HM107" s="60"/>
      <c r="HN107" s="60"/>
      <c r="HO107" s="60"/>
      <c r="HP107" s="60"/>
      <c r="HQ107" s="60"/>
      <c r="HR107" s="60"/>
      <c r="HS107" s="60"/>
      <c r="HT107" s="60"/>
      <c r="HU107" s="60"/>
      <c r="HV107" s="60"/>
      <c r="HW107" s="60"/>
      <c r="HX107" s="60"/>
      <c r="HY107" s="60"/>
      <c r="HZ107" s="60"/>
      <c r="IA107" s="60"/>
      <c r="IB107" s="60"/>
      <c r="IC107" s="60"/>
      <c r="ID107" s="60"/>
      <c r="IE107" s="60"/>
      <c r="IF107" s="60"/>
      <c r="IG107" s="60"/>
      <c r="IH107" s="60"/>
      <c r="II107" s="60"/>
      <c r="IJ107" s="60"/>
      <c r="IK107" s="60"/>
      <c r="IL107" s="60"/>
      <c r="IM107" s="60"/>
      <c r="IN107" s="60"/>
      <c r="IO107" s="60"/>
      <c r="IP107" s="60"/>
      <c r="IQ107" s="60"/>
      <c r="IR107" s="60"/>
      <c r="IS107" s="60"/>
      <c r="IT107" s="60"/>
      <c r="IU107" s="60"/>
      <c r="IV107" s="60"/>
      <c r="IW107" s="60"/>
      <c r="IX107" s="60"/>
      <c r="IY107" s="60"/>
      <c r="IZ107" s="60"/>
      <c r="JA107" s="60"/>
      <c r="JB107" s="60"/>
      <c r="JC107" s="60"/>
      <c r="JD107" s="60"/>
      <c r="JE107" s="60"/>
      <c r="JF107" s="60"/>
      <c r="JG107" s="60"/>
      <c r="JH107" s="60"/>
      <c r="JI107" s="60"/>
      <c r="JJ107" s="60"/>
      <c r="JK107" s="60"/>
      <c r="JL107" s="60"/>
      <c r="JM107" s="60"/>
      <c r="JN107" s="60"/>
      <c r="JO107" s="60"/>
      <c r="JP107" s="60"/>
      <c r="JQ107" s="60"/>
      <c r="JR107" s="60"/>
      <c r="JS107" s="60"/>
      <c r="JT107" s="60"/>
      <c r="JU107" s="60"/>
      <c r="JV107" s="60"/>
      <c r="JW107" s="60"/>
      <c r="JX107" s="60"/>
      <c r="JY107" s="60"/>
      <c r="JZ107" s="60"/>
      <c r="KA107" s="60"/>
      <c r="KB107" s="60"/>
      <c r="KC107" s="60"/>
      <c r="KD107" s="60"/>
      <c r="KE107" s="60"/>
      <c r="KF107" s="60"/>
      <c r="KG107" s="60"/>
      <c r="KH107" s="60"/>
      <c r="KI107" s="60"/>
      <c r="KJ107" s="60"/>
      <c r="KK107" s="60"/>
      <c r="KL107" s="60"/>
      <c r="KM107" s="60"/>
      <c r="KN107" s="60"/>
      <c r="KO107" s="60"/>
      <c r="KP107" s="60"/>
      <c r="KQ107" s="60"/>
      <c r="KR107" s="60"/>
      <c r="KS107" s="60"/>
      <c r="KT107" s="60"/>
      <c r="KU107" s="60"/>
      <c r="KV107" s="60"/>
      <c r="KW107" s="60"/>
      <c r="KX107" s="60"/>
      <c r="KY107" s="60"/>
      <c r="KZ107" s="60"/>
      <c r="LA107" s="60"/>
      <c r="LB107" s="60"/>
      <c r="LC107" s="60"/>
      <c r="LD107" s="60"/>
      <c r="LE107" s="60"/>
      <c r="LF107" s="60"/>
      <c r="LG107" s="60"/>
      <c r="LH107" s="60"/>
    </row>
    <row r="108" spans="1:320" s="17" customFormat="1" x14ac:dyDescent="0.25">
      <c r="A108" s="147"/>
      <c r="E108" s="156"/>
      <c r="F108" s="156"/>
      <c r="G108" s="156"/>
      <c r="H108" s="156"/>
      <c r="I108" s="156"/>
      <c r="J108" s="156"/>
      <c r="K108" s="156"/>
      <c r="L108" s="156"/>
      <c r="M108" s="156"/>
      <c r="N108" s="156"/>
      <c r="O108" s="156"/>
      <c r="P108" s="156"/>
      <c r="Q108" s="156"/>
      <c r="R108" s="156"/>
      <c r="S108" s="156"/>
      <c r="AC108" s="60"/>
      <c r="AD108" s="60"/>
      <c r="AE108" s="60"/>
      <c r="AF108" s="60"/>
      <c r="AG108" s="60"/>
      <c r="AH108" s="60"/>
      <c r="AI108" s="60"/>
      <c r="AJ108" s="60"/>
      <c r="AK108" s="60"/>
      <c r="AL108" s="60"/>
      <c r="AM108" s="60"/>
      <c r="AN108" s="60"/>
      <c r="AO108" s="60"/>
      <c r="AP108" s="60"/>
      <c r="AQ108" s="60"/>
      <c r="AR108" s="60"/>
      <c r="AS108" s="60"/>
      <c r="AT108" s="60"/>
      <c r="AU108" s="60"/>
      <c r="AV108" s="60"/>
      <c r="AW108" s="60"/>
      <c r="AX108" s="60"/>
      <c r="AY108" s="60"/>
      <c r="AZ108" s="60"/>
      <c r="BA108" s="60"/>
      <c r="BB108" s="60"/>
      <c r="BC108" s="60"/>
      <c r="BD108" s="60"/>
      <c r="BE108" s="60"/>
      <c r="BF108" s="60"/>
      <c r="BG108" s="60"/>
      <c r="BH108" s="60"/>
      <c r="BI108" s="60"/>
      <c r="BJ108" s="60"/>
      <c r="BK108" s="60"/>
      <c r="BL108" s="60"/>
      <c r="BM108" s="60"/>
      <c r="BN108" s="60"/>
      <c r="BO108" s="60"/>
      <c r="BP108" s="60"/>
      <c r="BQ108" s="60"/>
      <c r="BR108" s="60"/>
      <c r="BS108" s="60"/>
      <c r="BT108" s="60"/>
      <c r="BU108" s="60"/>
      <c r="BV108" s="60"/>
      <c r="BW108" s="60"/>
      <c r="BX108" s="60"/>
      <c r="BY108" s="60"/>
      <c r="BZ108" s="60"/>
      <c r="CA108" s="60"/>
      <c r="CB108" s="60"/>
      <c r="CC108" s="60"/>
      <c r="CD108" s="60"/>
      <c r="CE108" s="60"/>
      <c r="CF108" s="60"/>
      <c r="CG108" s="60"/>
      <c r="CH108" s="60"/>
      <c r="CI108" s="60"/>
      <c r="CJ108" s="60"/>
      <c r="CK108" s="60"/>
      <c r="CL108" s="60"/>
      <c r="CM108" s="60"/>
      <c r="CN108" s="60"/>
      <c r="CO108" s="60"/>
      <c r="CP108" s="60"/>
      <c r="CQ108" s="60"/>
      <c r="CR108" s="60"/>
      <c r="CS108" s="60"/>
      <c r="CT108" s="60"/>
      <c r="CU108" s="60"/>
      <c r="CV108" s="60"/>
      <c r="CW108" s="60"/>
      <c r="CX108" s="60"/>
      <c r="CY108" s="60"/>
      <c r="CZ108" s="60"/>
      <c r="DA108" s="60"/>
      <c r="DB108" s="60"/>
      <c r="DC108" s="60"/>
      <c r="DD108" s="60"/>
      <c r="DE108" s="60"/>
      <c r="DF108" s="60"/>
      <c r="DG108" s="60"/>
      <c r="DH108" s="60"/>
      <c r="DI108" s="60"/>
      <c r="DJ108" s="60"/>
      <c r="DK108" s="60"/>
      <c r="DL108" s="60"/>
      <c r="DM108" s="60"/>
      <c r="DN108" s="60"/>
      <c r="DO108" s="60"/>
      <c r="DP108" s="60"/>
      <c r="DQ108" s="60"/>
      <c r="DR108" s="60"/>
      <c r="DS108" s="60"/>
      <c r="DT108" s="60"/>
      <c r="DU108" s="60"/>
      <c r="DV108" s="60"/>
      <c r="DW108" s="60"/>
      <c r="DX108" s="60"/>
      <c r="DY108" s="60"/>
      <c r="DZ108" s="60"/>
      <c r="EA108" s="60"/>
      <c r="EB108" s="60"/>
      <c r="EC108" s="60"/>
      <c r="ED108" s="60"/>
      <c r="EE108" s="60"/>
      <c r="EF108" s="60"/>
      <c r="EG108" s="60"/>
      <c r="EH108" s="60"/>
      <c r="EI108" s="60"/>
      <c r="EJ108" s="60"/>
      <c r="EK108" s="60"/>
      <c r="EL108" s="60"/>
      <c r="EM108" s="60"/>
      <c r="EN108" s="60"/>
      <c r="EO108" s="60"/>
      <c r="EP108" s="60"/>
      <c r="EQ108" s="60"/>
      <c r="ER108" s="60"/>
      <c r="ES108" s="60"/>
      <c r="ET108" s="60"/>
      <c r="EU108" s="60"/>
      <c r="EV108" s="60"/>
      <c r="EW108" s="60"/>
      <c r="EX108" s="60"/>
      <c r="EY108" s="60"/>
      <c r="EZ108" s="60"/>
      <c r="FA108" s="60"/>
      <c r="FB108" s="60"/>
      <c r="FC108" s="60"/>
      <c r="FD108" s="60"/>
      <c r="FE108" s="60"/>
      <c r="FF108" s="60"/>
      <c r="FG108" s="60"/>
      <c r="FH108" s="60"/>
      <c r="FI108" s="60"/>
      <c r="FJ108" s="60"/>
      <c r="FK108" s="60"/>
      <c r="FL108" s="60"/>
      <c r="FM108" s="60"/>
      <c r="FN108" s="60"/>
      <c r="FO108" s="60"/>
      <c r="FP108" s="60"/>
      <c r="FQ108" s="60"/>
      <c r="FR108" s="60"/>
      <c r="FS108" s="60"/>
      <c r="FT108" s="60"/>
      <c r="FU108" s="60"/>
      <c r="FV108" s="60"/>
      <c r="FW108" s="60"/>
      <c r="FX108" s="60"/>
      <c r="FY108" s="60"/>
      <c r="FZ108" s="60"/>
      <c r="GA108" s="60"/>
      <c r="GB108" s="60"/>
      <c r="GC108" s="60"/>
      <c r="GD108" s="60"/>
      <c r="GE108" s="60"/>
      <c r="GF108" s="60"/>
      <c r="GG108" s="60"/>
      <c r="GH108" s="60"/>
      <c r="GI108" s="60"/>
      <c r="GJ108" s="60"/>
      <c r="GK108" s="60"/>
      <c r="GL108" s="60"/>
      <c r="GM108" s="60"/>
      <c r="GN108" s="60"/>
      <c r="GO108" s="60"/>
      <c r="GP108" s="60"/>
      <c r="GQ108" s="60"/>
      <c r="GR108" s="60"/>
      <c r="GS108" s="60"/>
      <c r="GT108" s="60"/>
      <c r="GU108" s="60"/>
      <c r="GV108" s="60"/>
      <c r="GW108" s="60"/>
      <c r="GX108" s="60"/>
      <c r="GY108" s="60"/>
      <c r="GZ108" s="60"/>
      <c r="HA108" s="60"/>
      <c r="HB108" s="60"/>
      <c r="HC108" s="60"/>
      <c r="HD108" s="60"/>
      <c r="HE108" s="60"/>
      <c r="HF108" s="60"/>
      <c r="HG108" s="60"/>
      <c r="HH108" s="60"/>
      <c r="HI108" s="60"/>
      <c r="HJ108" s="60"/>
      <c r="HK108" s="60"/>
      <c r="HL108" s="60"/>
      <c r="HM108" s="60"/>
      <c r="HN108" s="60"/>
      <c r="HO108" s="60"/>
      <c r="HP108" s="60"/>
      <c r="HQ108" s="60"/>
      <c r="HR108" s="60"/>
      <c r="HS108" s="60"/>
      <c r="HT108" s="60"/>
      <c r="HU108" s="60"/>
      <c r="HV108" s="60"/>
      <c r="HW108" s="60"/>
      <c r="HX108" s="60"/>
      <c r="HY108" s="60"/>
      <c r="HZ108" s="60"/>
      <c r="IA108" s="60"/>
      <c r="IB108" s="60"/>
      <c r="IC108" s="60"/>
      <c r="ID108" s="60"/>
      <c r="IE108" s="60"/>
      <c r="IF108" s="60"/>
      <c r="IG108" s="60"/>
      <c r="IH108" s="60"/>
      <c r="II108" s="60"/>
      <c r="IJ108" s="60"/>
      <c r="IK108" s="60"/>
      <c r="IL108" s="60"/>
      <c r="IM108" s="60"/>
      <c r="IN108" s="60"/>
      <c r="IO108" s="60"/>
      <c r="IP108" s="60"/>
      <c r="IQ108" s="60"/>
      <c r="IR108" s="60"/>
      <c r="IS108" s="60"/>
      <c r="IT108" s="60"/>
      <c r="IU108" s="60"/>
      <c r="IV108" s="60"/>
      <c r="IW108" s="60"/>
      <c r="IX108" s="60"/>
      <c r="IY108" s="60"/>
      <c r="IZ108" s="60"/>
      <c r="JA108" s="60"/>
      <c r="JB108" s="60"/>
      <c r="JC108" s="60"/>
      <c r="JD108" s="60"/>
      <c r="JE108" s="60"/>
      <c r="JF108" s="60"/>
      <c r="JG108" s="60"/>
      <c r="JH108" s="60"/>
      <c r="JI108" s="60"/>
      <c r="JJ108" s="60"/>
      <c r="JK108" s="60"/>
      <c r="JL108" s="60"/>
      <c r="JM108" s="60"/>
      <c r="JN108" s="60"/>
      <c r="JO108" s="60"/>
      <c r="JP108" s="60"/>
      <c r="JQ108" s="60"/>
      <c r="JR108" s="60"/>
      <c r="JS108" s="60"/>
      <c r="JT108" s="60"/>
      <c r="JU108" s="60"/>
      <c r="JV108" s="60"/>
      <c r="JW108" s="60"/>
      <c r="JX108" s="60"/>
      <c r="JY108" s="60"/>
      <c r="JZ108" s="60"/>
      <c r="KA108" s="60"/>
      <c r="KB108" s="60"/>
      <c r="KC108" s="60"/>
      <c r="KD108" s="60"/>
      <c r="KE108" s="60"/>
      <c r="KF108" s="60"/>
      <c r="KG108" s="60"/>
      <c r="KH108" s="60"/>
      <c r="KI108" s="60"/>
      <c r="KJ108" s="60"/>
      <c r="KK108" s="60"/>
      <c r="KL108" s="60"/>
      <c r="KM108" s="60"/>
      <c r="KN108" s="60"/>
      <c r="KO108" s="60"/>
      <c r="KP108" s="60"/>
      <c r="KQ108" s="60"/>
      <c r="KR108" s="60"/>
      <c r="KS108" s="60"/>
      <c r="KT108" s="60"/>
      <c r="KU108" s="60"/>
      <c r="KV108" s="60"/>
      <c r="KW108" s="60"/>
      <c r="KX108" s="60"/>
      <c r="KY108" s="60"/>
      <c r="KZ108" s="60"/>
      <c r="LA108" s="60"/>
      <c r="LB108" s="60"/>
      <c r="LC108" s="60"/>
      <c r="LD108" s="60"/>
      <c r="LE108" s="60"/>
      <c r="LF108" s="60"/>
      <c r="LG108" s="60"/>
      <c r="LH108" s="60"/>
    </row>
    <row r="144" spans="2:320" s="147" customFormat="1" ht="14.1" customHeight="1" x14ac:dyDescent="0.25">
      <c r="B144" s="1"/>
      <c r="C144" s="1"/>
      <c r="D144" s="1"/>
      <c r="E144" s="146"/>
      <c r="F144" s="146"/>
      <c r="G144" s="146"/>
      <c r="H144" s="146"/>
      <c r="I144" s="146"/>
      <c r="J144" s="146"/>
      <c r="K144" s="146"/>
      <c r="L144" s="146"/>
      <c r="M144" s="146"/>
      <c r="N144" s="146"/>
      <c r="O144" s="146"/>
      <c r="P144" s="146"/>
      <c r="Q144" s="146"/>
      <c r="R144" s="146"/>
      <c r="S144" s="146"/>
      <c r="T144" s="17"/>
      <c r="U144" s="17"/>
      <c r="V144" s="17"/>
      <c r="W144" s="17"/>
      <c r="X144" s="17"/>
      <c r="Y144" s="17"/>
      <c r="Z144" s="17"/>
      <c r="AA144" s="17"/>
      <c r="AB144" s="17"/>
      <c r="AC144" s="60"/>
      <c r="AD144" s="60"/>
      <c r="AE144" s="60"/>
      <c r="AF144" s="60"/>
      <c r="AG144" s="60"/>
      <c r="AH144" s="60"/>
      <c r="AI144" s="60"/>
      <c r="AJ144" s="60"/>
      <c r="AK144" s="60"/>
      <c r="AL144" s="60"/>
      <c r="AM144" s="60"/>
      <c r="AN144" s="60"/>
      <c r="AO144" s="60"/>
      <c r="AP144" s="60"/>
      <c r="AQ144" s="60"/>
      <c r="AR144" s="60"/>
      <c r="AS144" s="60"/>
      <c r="AT144" s="60"/>
      <c r="AU144" s="60"/>
      <c r="AV144" s="60"/>
      <c r="AW144" s="60"/>
      <c r="AX144" s="60"/>
      <c r="AY144" s="60"/>
      <c r="AZ144" s="60"/>
      <c r="BA144" s="60"/>
      <c r="BB144" s="60"/>
      <c r="BC144" s="60"/>
      <c r="BD144" s="60"/>
      <c r="BE144" s="60"/>
      <c r="BF144" s="60"/>
      <c r="BG144" s="60"/>
      <c r="BH144" s="60"/>
      <c r="BI144" s="60"/>
      <c r="BJ144" s="60"/>
      <c r="BK144" s="60"/>
      <c r="BL144" s="60"/>
      <c r="BM144" s="60"/>
      <c r="BN144" s="60"/>
      <c r="BO144" s="60"/>
      <c r="BP144" s="60"/>
      <c r="BQ144" s="60"/>
      <c r="BR144" s="60"/>
      <c r="BS144" s="60"/>
      <c r="BT144" s="60"/>
      <c r="BU144" s="60"/>
      <c r="BV144" s="60"/>
      <c r="BW144" s="60"/>
      <c r="BX144" s="60"/>
      <c r="BY144" s="60"/>
      <c r="BZ144" s="60"/>
      <c r="CA144" s="60"/>
      <c r="CB144" s="60"/>
      <c r="CC144" s="60"/>
      <c r="CD144" s="60"/>
      <c r="CE144" s="60"/>
      <c r="CF144" s="60"/>
      <c r="CG144" s="60"/>
      <c r="CH144" s="60"/>
      <c r="CI144" s="60"/>
      <c r="CJ144" s="60"/>
      <c r="CK144" s="60"/>
      <c r="CL144" s="60"/>
      <c r="CM144" s="60"/>
      <c r="CN144" s="60"/>
      <c r="CO144" s="60"/>
      <c r="CP144" s="60"/>
      <c r="CQ144" s="60"/>
      <c r="CR144" s="60"/>
      <c r="CS144" s="60"/>
      <c r="CT144" s="60"/>
      <c r="CU144" s="60"/>
      <c r="CV144" s="60"/>
      <c r="CW144" s="60"/>
      <c r="CX144" s="60"/>
      <c r="CY144" s="60"/>
      <c r="CZ144" s="60"/>
      <c r="DA144" s="60"/>
      <c r="DB144" s="60"/>
      <c r="DC144" s="60"/>
      <c r="DD144" s="60"/>
      <c r="DE144" s="60"/>
      <c r="DF144" s="60"/>
      <c r="DG144" s="60"/>
      <c r="DH144" s="60"/>
      <c r="DI144" s="60"/>
      <c r="DJ144" s="60"/>
      <c r="DK144" s="60"/>
      <c r="DL144" s="60"/>
      <c r="DM144" s="60"/>
      <c r="DN144" s="60"/>
      <c r="DO144" s="60"/>
      <c r="DP144" s="60"/>
      <c r="DQ144" s="60"/>
      <c r="DR144" s="60"/>
      <c r="DS144" s="60"/>
      <c r="DT144" s="60"/>
      <c r="DU144" s="60"/>
      <c r="DV144" s="60"/>
      <c r="DW144" s="60"/>
      <c r="DX144" s="60"/>
      <c r="DY144" s="60"/>
      <c r="DZ144" s="60"/>
      <c r="EA144" s="60"/>
      <c r="EB144" s="60"/>
      <c r="EC144" s="60"/>
      <c r="ED144" s="60"/>
      <c r="EE144" s="60"/>
      <c r="EF144" s="60"/>
      <c r="EG144" s="60"/>
      <c r="EH144" s="60"/>
      <c r="EI144" s="60"/>
      <c r="EJ144" s="60"/>
      <c r="EK144" s="60"/>
      <c r="EL144" s="60"/>
      <c r="EM144" s="60"/>
      <c r="EN144" s="60"/>
      <c r="EO144" s="60"/>
      <c r="EP144" s="60"/>
      <c r="EQ144" s="60"/>
      <c r="ER144" s="60"/>
      <c r="ES144" s="60"/>
      <c r="ET144" s="60"/>
      <c r="EU144" s="60"/>
      <c r="EV144" s="60"/>
      <c r="EW144" s="60"/>
      <c r="EX144" s="60"/>
      <c r="EY144" s="60"/>
      <c r="EZ144" s="60"/>
      <c r="FA144" s="60"/>
      <c r="FB144" s="60"/>
      <c r="FC144" s="60"/>
      <c r="FD144" s="60"/>
      <c r="FE144" s="60"/>
      <c r="FF144" s="60"/>
      <c r="FG144" s="60"/>
      <c r="FH144" s="60"/>
      <c r="FI144" s="60"/>
      <c r="FJ144" s="60"/>
      <c r="FK144" s="60"/>
      <c r="FL144" s="60"/>
      <c r="FM144" s="60"/>
      <c r="FN144" s="60"/>
      <c r="FO144" s="60"/>
      <c r="FP144" s="60"/>
      <c r="FQ144" s="60"/>
      <c r="FR144" s="60"/>
      <c r="FS144" s="60"/>
      <c r="FT144" s="60"/>
      <c r="FU144" s="60"/>
      <c r="FV144" s="60"/>
      <c r="FW144" s="60"/>
      <c r="FX144" s="60"/>
      <c r="FY144" s="60"/>
      <c r="FZ144" s="60"/>
      <c r="GA144" s="60"/>
      <c r="GB144" s="60"/>
      <c r="GC144" s="60"/>
      <c r="GD144" s="60"/>
      <c r="GE144" s="60"/>
      <c r="GF144" s="60"/>
      <c r="GG144" s="60"/>
      <c r="GH144" s="60"/>
      <c r="GI144" s="60"/>
      <c r="GJ144" s="60"/>
      <c r="GK144" s="60"/>
      <c r="GL144" s="60"/>
      <c r="GM144" s="60"/>
      <c r="GN144" s="60"/>
      <c r="GO144" s="60"/>
      <c r="GP144" s="60"/>
      <c r="GQ144" s="60"/>
      <c r="GR144" s="60"/>
      <c r="GS144" s="60"/>
      <c r="GT144" s="60"/>
      <c r="GU144" s="60"/>
      <c r="GV144" s="60"/>
      <c r="GW144" s="60"/>
      <c r="GX144" s="60"/>
      <c r="GY144" s="60"/>
      <c r="GZ144" s="60"/>
      <c r="HA144" s="60"/>
      <c r="HB144" s="60"/>
      <c r="HC144" s="60"/>
      <c r="HD144" s="60"/>
      <c r="HE144" s="60"/>
      <c r="HF144" s="60"/>
      <c r="HG144" s="60"/>
      <c r="HH144" s="60"/>
      <c r="HI144" s="60"/>
      <c r="HJ144" s="60"/>
      <c r="HK144" s="60"/>
      <c r="HL144" s="60"/>
      <c r="HM144" s="60"/>
      <c r="HN144" s="60"/>
      <c r="HO144" s="60"/>
      <c r="HP144" s="60"/>
      <c r="HQ144" s="60"/>
      <c r="HR144" s="60"/>
      <c r="HS144" s="60"/>
      <c r="HT144" s="60"/>
      <c r="HU144" s="60"/>
      <c r="HV144" s="60"/>
      <c r="HW144" s="60"/>
      <c r="HX144" s="60"/>
      <c r="HY144" s="60"/>
      <c r="HZ144" s="60"/>
      <c r="IA144" s="60"/>
      <c r="IB144" s="60"/>
      <c r="IC144" s="60"/>
      <c r="ID144" s="60"/>
      <c r="IE144" s="60"/>
      <c r="IF144" s="60"/>
      <c r="IG144" s="60"/>
      <c r="IH144" s="60"/>
      <c r="II144" s="60"/>
      <c r="IJ144" s="60"/>
      <c r="IK144" s="60"/>
      <c r="IL144" s="60"/>
      <c r="IM144" s="60"/>
      <c r="IN144" s="60"/>
      <c r="IO144" s="60"/>
      <c r="IP144" s="60"/>
      <c r="IQ144" s="60"/>
      <c r="IR144" s="60"/>
      <c r="IS144" s="60"/>
      <c r="IT144" s="60"/>
      <c r="IU144" s="60"/>
      <c r="IV144" s="60"/>
      <c r="IW144" s="60"/>
      <c r="IX144" s="60"/>
      <c r="IY144" s="60"/>
      <c r="IZ144" s="60"/>
      <c r="JA144" s="60"/>
      <c r="JB144" s="60"/>
      <c r="JC144" s="60"/>
      <c r="JD144" s="60"/>
      <c r="JE144" s="60"/>
      <c r="JF144" s="60"/>
      <c r="JG144" s="60"/>
      <c r="JH144" s="60"/>
      <c r="JI144" s="60"/>
      <c r="JJ144" s="60"/>
      <c r="JK144" s="60"/>
      <c r="JL144" s="60"/>
      <c r="JM144" s="60"/>
      <c r="JN144" s="60"/>
      <c r="JO144" s="60"/>
      <c r="JP144" s="60"/>
      <c r="JQ144" s="60"/>
      <c r="JR144" s="60"/>
      <c r="JS144" s="60"/>
      <c r="JT144" s="60"/>
      <c r="JU144" s="60"/>
      <c r="JV144" s="60"/>
      <c r="JW144" s="60"/>
      <c r="JX144" s="60"/>
      <c r="JY144" s="60"/>
      <c r="JZ144" s="60"/>
      <c r="KA144" s="60"/>
      <c r="KB144" s="60"/>
      <c r="KC144" s="60"/>
      <c r="KD144" s="60"/>
      <c r="KE144" s="60"/>
      <c r="KF144" s="60"/>
      <c r="KG144" s="60"/>
      <c r="KH144" s="60"/>
      <c r="KI144" s="60"/>
      <c r="KJ144" s="60"/>
      <c r="KK144" s="60"/>
      <c r="KL144" s="60"/>
      <c r="KM144" s="60"/>
      <c r="KN144" s="60"/>
      <c r="KO144" s="60"/>
      <c r="KP144" s="60"/>
      <c r="KQ144" s="60"/>
      <c r="KR144" s="60"/>
      <c r="KS144" s="60"/>
      <c r="KT144" s="60"/>
      <c r="KU144" s="60"/>
      <c r="KV144" s="60"/>
      <c r="KW144" s="60"/>
      <c r="KX144" s="60"/>
      <c r="KY144" s="60"/>
      <c r="KZ144" s="60"/>
      <c r="LA144" s="60"/>
      <c r="LB144" s="60"/>
      <c r="LC144" s="60"/>
      <c r="LD144" s="60"/>
      <c r="LE144" s="60"/>
      <c r="LF144" s="60"/>
      <c r="LG144" s="60"/>
      <c r="LH144" s="60"/>
    </row>
    <row r="145" spans="1:320" s="147" customFormat="1" ht="14.1" customHeight="1" x14ac:dyDescent="0.25">
      <c r="B145" s="1"/>
      <c r="C145" s="1"/>
      <c r="D145" s="1"/>
      <c r="E145" s="146"/>
      <c r="F145" s="146"/>
      <c r="G145" s="146"/>
      <c r="H145" s="146"/>
      <c r="I145" s="146"/>
      <c r="J145" s="146"/>
      <c r="K145" s="146"/>
      <c r="L145" s="146"/>
      <c r="M145" s="146"/>
      <c r="N145" s="146"/>
      <c r="O145" s="146"/>
      <c r="P145" s="146"/>
      <c r="Q145" s="146"/>
      <c r="R145" s="146"/>
      <c r="S145" s="146"/>
      <c r="T145" s="17"/>
      <c r="U145" s="17"/>
      <c r="V145" s="17"/>
      <c r="W145" s="17"/>
      <c r="X145" s="17"/>
      <c r="Y145" s="17"/>
      <c r="Z145" s="17"/>
      <c r="AA145" s="17"/>
      <c r="AB145" s="17"/>
      <c r="AC145" s="60"/>
      <c r="AD145" s="60"/>
      <c r="AE145" s="60"/>
      <c r="AF145" s="60"/>
      <c r="AG145" s="60"/>
      <c r="AH145" s="60"/>
      <c r="AI145" s="60"/>
      <c r="AJ145" s="60"/>
      <c r="AK145" s="60"/>
      <c r="AL145" s="60"/>
      <c r="AM145" s="60"/>
      <c r="AN145" s="60"/>
      <c r="AO145" s="60"/>
      <c r="AP145" s="60"/>
      <c r="AQ145" s="60"/>
      <c r="AR145" s="60"/>
      <c r="AS145" s="60"/>
      <c r="AT145" s="60"/>
      <c r="AU145" s="60"/>
      <c r="AV145" s="60"/>
      <c r="AW145" s="60"/>
      <c r="AX145" s="60"/>
      <c r="AY145" s="60"/>
      <c r="AZ145" s="60"/>
      <c r="BA145" s="60"/>
      <c r="BB145" s="60"/>
      <c r="BC145" s="60"/>
      <c r="BD145" s="60"/>
      <c r="BE145" s="60"/>
      <c r="BF145" s="60"/>
      <c r="BG145" s="60"/>
      <c r="BH145" s="60"/>
      <c r="BI145" s="60"/>
      <c r="BJ145" s="60"/>
      <c r="BK145" s="60"/>
      <c r="BL145" s="60"/>
      <c r="BM145" s="60"/>
      <c r="BN145" s="60"/>
      <c r="BO145" s="60"/>
      <c r="BP145" s="60"/>
      <c r="BQ145" s="60"/>
      <c r="BR145" s="60"/>
      <c r="BS145" s="60"/>
      <c r="BT145" s="60"/>
      <c r="BU145" s="60"/>
      <c r="BV145" s="60"/>
      <c r="BW145" s="60"/>
      <c r="BX145" s="60"/>
      <c r="BY145" s="60"/>
      <c r="BZ145" s="60"/>
      <c r="CA145" s="60"/>
      <c r="CB145" s="60"/>
      <c r="CC145" s="60"/>
      <c r="CD145" s="60"/>
      <c r="CE145" s="60"/>
      <c r="CF145" s="60"/>
      <c r="CG145" s="60"/>
      <c r="CH145" s="60"/>
      <c r="CI145" s="60"/>
      <c r="CJ145" s="60"/>
      <c r="CK145" s="60"/>
      <c r="CL145" s="60"/>
      <c r="CM145" s="60"/>
      <c r="CN145" s="60"/>
      <c r="CO145" s="60"/>
      <c r="CP145" s="60"/>
      <c r="CQ145" s="60"/>
      <c r="CR145" s="60"/>
      <c r="CS145" s="60"/>
      <c r="CT145" s="60"/>
      <c r="CU145" s="60"/>
      <c r="CV145" s="60"/>
      <c r="CW145" s="60"/>
      <c r="CX145" s="60"/>
      <c r="CY145" s="60"/>
      <c r="CZ145" s="60"/>
      <c r="DA145" s="60"/>
      <c r="DB145" s="60"/>
      <c r="DC145" s="60"/>
      <c r="DD145" s="60"/>
      <c r="DE145" s="60"/>
      <c r="DF145" s="60"/>
      <c r="DG145" s="60"/>
      <c r="DH145" s="60"/>
      <c r="DI145" s="60"/>
      <c r="DJ145" s="60"/>
      <c r="DK145" s="60"/>
      <c r="DL145" s="60"/>
      <c r="DM145" s="60"/>
      <c r="DN145" s="60"/>
      <c r="DO145" s="60"/>
      <c r="DP145" s="60"/>
      <c r="DQ145" s="60"/>
      <c r="DR145" s="60"/>
      <c r="DS145" s="60"/>
      <c r="DT145" s="60"/>
      <c r="DU145" s="60"/>
      <c r="DV145" s="60"/>
      <c r="DW145" s="60"/>
      <c r="DX145" s="60"/>
      <c r="DY145" s="60"/>
      <c r="DZ145" s="60"/>
      <c r="EA145" s="60"/>
      <c r="EB145" s="60"/>
      <c r="EC145" s="60"/>
      <c r="ED145" s="60"/>
      <c r="EE145" s="60"/>
      <c r="EF145" s="60"/>
      <c r="EG145" s="60"/>
      <c r="EH145" s="60"/>
      <c r="EI145" s="60"/>
      <c r="EJ145" s="60"/>
      <c r="EK145" s="60"/>
      <c r="EL145" s="60"/>
      <c r="EM145" s="60"/>
      <c r="EN145" s="60"/>
      <c r="EO145" s="60"/>
      <c r="EP145" s="60"/>
      <c r="EQ145" s="60"/>
      <c r="ER145" s="60"/>
      <c r="ES145" s="60"/>
      <c r="ET145" s="60"/>
      <c r="EU145" s="60"/>
      <c r="EV145" s="60"/>
      <c r="EW145" s="60"/>
      <c r="EX145" s="60"/>
      <c r="EY145" s="60"/>
      <c r="EZ145" s="60"/>
      <c r="FA145" s="60"/>
      <c r="FB145" s="60"/>
      <c r="FC145" s="60"/>
      <c r="FD145" s="60"/>
      <c r="FE145" s="60"/>
      <c r="FF145" s="60"/>
      <c r="FG145" s="60"/>
      <c r="FH145" s="60"/>
      <c r="FI145" s="60"/>
      <c r="FJ145" s="60"/>
      <c r="FK145" s="60"/>
      <c r="FL145" s="60"/>
      <c r="FM145" s="60"/>
      <c r="FN145" s="60"/>
      <c r="FO145" s="60"/>
      <c r="FP145" s="60"/>
      <c r="FQ145" s="60"/>
      <c r="FR145" s="60"/>
      <c r="FS145" s="60"/>
      <c r="FT145" s="60"/>
      <c r="FU145" s="60"/>
      <c r="FV145" s="60"/>
      <c r="FW145" s="60"/>
      <c r="FX145" s="60"/>
      <c r="FY145" s="60"/>
      <c r="FZ145" s="60"/>
      <c r="GA145" s="60"/>
      <c r="GB145" s="60"/>
      <c r="GC145" s="60"/>
      <c r="GD145" s="60"/>
      <c r="GE145" s="60"/>
      <c r="GF145" s="60"/>
      <c r="GG145" s="60"/>
      <c r="GH145" s="60"/>
      <c r="GI145" s="60"/>
      <c r="GJ145" s="60"/>
      <c r="GK145" s="60"/>
      <c r="GL145" s="60"/>
      <c r="GM145" s="60"/>
      <c r="GN145" s="60"/>
      <c r="GO145" s="60"/>
      <c r="GP145" s="60"/>
      <c r="GQ145" s="60"/>
      <c r="GR145" s="60"/>
      <c r="GS145" s="60"/>
      <c r="GT145" s="60"/>
      <c r="GU145" s="60"/>
      <c r="GV145" s="60"/>
      <c r="GW145" s="60"/>
      <c r="GX145" s="60"/>
      <c r="GY145" s="60"/>
      <c r="GZ145" s="60"/>
      <c r="HA145" s="60"/>
      <c r="HB145" s="60"/>
      <c r="HC145" s="60"/>
      <c r="HD145" s="60"/>
      <c r="HE145" s="60"/>
      <c r="HF145" s="60"/>
      <c r="HG145" s="60"/>
      <c r="HH145" s="60"/>
      <c r="HI145" s="60"/>
      <c r="HJ145" s="60"/>
      <c r="HK145" s="60"/>
      <c r="HL145" s="60"/>
      <c r="HM145" s="60"/>
      <c r="HN145" s="60"/>
      <c r="HO145" s="60"/>
      <c r="HP145" s="60"/>
      <c r="HQ145" s="60"/>
      <c r="HR145" s="60"/>
      <c r="HS145" s="60"/>
      <c r="HT145" s="60"/>
      <c r="HU145" s="60"/>
      <c r="HV145" s="60"/>
      <c r="HW145" s="60"/>
      <c r="HX145" s="60"/>
      <c r="HY145" s="60"/>
      <c r="HZ145" s="60"/>
      <c r="IA145" s="60"/>
      <c r="IB145" s="60"/>
      <c r="IC145" s="60"/>
      <c r="ID145" s="60"/>
      <c r="IE145" s="60"/>
      <c r="IF145" s="60"/>
      <c r="IG145" s="60"/>
      <c r="IH145" s="60"/>
      <c r="II145" s="60"/>
      <c r="IJ145" s="60"/>
      <c r="IK145" s="60"/>
      <c r="IL145" s="60"/>
      <c r="IM145" s="60"/>
      <c r="IN145" s="60"/>
      <c r="IO145" s="60"/>
      <c r="IP145" s="60"/>
      <c r="IQ145" s="60"/>
      <c r="IR145" s="60"/>
      <c r="IS145" s="60"/>
      <c r="IT145" s="60"/>
      <c r="IU145" s="60"/>
      <c r="IV145" s="60"/>
      <c r="IW145" s="60"/>
      <c r="IX145" s="60"/>
      <c r="IY145" s="60"/>
      <c r="IZ145" s="60"/>
      <c r="JA145" s="60"/>
      <c r="JB145" s="60"/>
      <c r="JC145" s="60"/>
      <c r="JD145" s="60"/>
      <c r="JE145" s="60"/>
      <c r="JF145" s="60"/>
      <c r="JG145" s="60"/>
      <c r="JH145" s="60"/>
      <c r="JI145" s="60"/>
      <c r="JJ145" s="60"/>
      <c r="JK145" s="60"/>
      <c r="JL145" s="60"/>
      <c r="JM145" s="60"/>
      <c r="JN145" s="60"/>
      <c r="JO145" s="60"/>
      <c r="JP145" s="60"/>
      <c r="JQ145" s="60"/>
      <c r="JR145" s="60"/>
      <c r="JS145" s="60"/>
      <c r="JT145" s="60"/>
      <c r="JU145" s="60"/>
      <c r="JV145" s="60"/>
      <c r="JW145" s="60"/>
      <c r="JX145" s="60"/>
      <c r="JY145" s="60"/>
      <c r="JZ145" s="60"/>
      <c r="KA145" s="60"/>
      <c r="KB145" s="60"/>
      <c r="KC145" s="60"/>
      <c r="KD145" s="60"/>
      <c r="KE145" s="60"/>
      <c r="KF145" s="60"/>
      <c r="KG145" s="60"/>
      <c r="KH145" s="60"/>
      <c r="KI145" s="60"/>
      <c r="KJ145" s="60"/>
      <c r="KK145" s="60"/>
      <c r="KL145" s="60"/>
      <c r="KM145" s="60"/>
      <c r="KN145" s="60"/>
      <c r="KO145" s="60"/>
      <c r="KP145" s="60"/>
      <c r="KQ145" s="60"/>
      <c r="KR145" s="60"/>
      <c r="KS145" s="60"/>
      <c r="KT145" s="60"/>
      <c r="KU145" s="60"/>
      <c r="KV145" s="60"/>
      <c r="KW145" s="60"/>
      <c r="KX145" s="60"/>
      <c r="KY145" s="60"/>
      <c r="KZ145" s="60"/>
      <c r="LA145" s="60"/>
      <c r="LB145" s="60"/>
      <c r="LC145" s="60"/>
      <c r="LD145" s="60"/>
      <c r="LE145" s="60"/>
      <c r="LF145" s="60"/>
      <c r="LG145" s="60"/>
      <c r="LH145" s="60"/>
    </row>
    <row r="146" spans="1:320" s="147" customFormat="1" ht="14.1" customHeight="1" x14ac:dyDescent="0.25">
      <c r="B146" s="1"/>
      <c r="C146" s="1"/>
      <c r="D146" s="1"/>
      <c r="E146" s="146"/>
      <c r="F146" s="146"/>
      <c r="G146" s="146"/>
      <c r="H146" s="146"/>
      <c r="I146" s="146"/>
      <c r="J146" s="146"/>
      <c r="K146" s="146"/>
      <c r="L146" s="146"/>
      <c r="M146" s="146"/>
      <c r="N146" s="146"/>
      <c r="O146" s="146"/>
      <c r="P146" s="146"/>
      <c r="Q146" s="146"/>
      <c r="R146" s="146"/>
      <c r="S146" s="146"/>
      <c r="T146" s="17"/>
      <c r="U146" s="17"/>
      <c r="V146" s="17"/>
      <c r="W146" s="17"/>
      <c r="X146" s="17"/>
      <c r="Y146" s="17"/>
      <c r="Z146" s="17"/>
      <c r="AA146" s="17"/>
      <c r="AB146" s="17"/>
      <c r="AC146" s="60"/>
      <c r="AD146" s="60"/>
      <c r="AE146" s="60"/>
      <c r="AF146" s="60"/>
      <c r="AG146" s="60"/>
      <c r="AH146" s="60"/>
      <c r="AI146" s="60"/>
      <c r="AJ146" s="60"/>
      <c r="AK146" s="60"/>
      <c r="AL146" s="60"/>
      <c r="AM146" s="60"/>
      <c r="AN146" s="60"/>
      <c r="AO146" s="60"/>
      <c r="AP146" s="60"/>
      <c r="AQ146" s="60"/>
      <c r="AR146" s="60"/>
      <c r="AS146" s="60"/>
      <c r="AT146" s="60"/>
      <c r="AU146" s="60"/>
      <c r="AV146" s="60"/>
      <c r="AW146" s="60"/>
      <c r="AX146" s="60"/>
      <c r="AY146" s="60"/>
      <c r="AZ146" s="60"/>
      <c r="BA146" s="60"/>
      <c r="BB146" s="60"/>
      <c r="BC146" s="60"/>
      <c r="BD146" s="60"/>
      <c r="BE146" s="60"/>
      <c r="BF146" s="60"/>
      <c r="BG146" s="60"/>
      <c r="BH146" s="60"/>
      <c r="BI146" s="60"/>
      <c r="BJ146" s="60"/>
      <c r="BK146" s="60"/>
      <c r="BL146" s="60"/>
      <c r="BM146" s="60"/>
      <c r="BN146" s="60"/>
      <c r="BO146" s="60"/>
      <c r="BP146" s="60"/>
      <c r="BQ146" s="60"/>
      <c r="BR146" s="60"/>
      <c r="BS146" s="60"/>
      <c r="BT146" s="60"/>
      <c r="BU146" s="60"/>
      <c r="BV146" s="60"/>
      <c r="BW146" s="60"/>
      <c r="BX146" s="60"/>
      <c r="BY146" s="60"/>
      <c r="BZ146" s="60"/>
      <c r="CA146" s="60"/>
      <c r="CB146" s="60"/>
      <c r="CC146" s="60"/>
      <c r="CD146" s="60"/>
      <c r="CE146" s="60"/>
      <c r="CF146" s="60"/>
      <c r="CG146" s="60"/>
      <c r="CH146" s="60"/>
      <c r="CI146" s="60"/>
      <c r="CJ146" s="60"/>
      <c r="CK146" s="60"/>
      <c r="CL146" s="60"/>
      <c r="CM146" s="60"/>
      <c r="CN146" s="60"/>
      <c r="CO146" s="60"/>
      <c r="CP146" s="60"/>
      <c r="CQ146" s="60"/>
      <c r="CR146" s="60"/>
      <c r="CS146" s="60"/>
      <c r="CT146" s="60"/>
      <c r="CU146" s="60"/>
      <c r="CV146" s="60"/>
      <c r="CW146" s="60"/>
      <c r="CX146" s="60"/>
      <c r="CY146" s="60"/>
      <c r="CZ146" s="60"/>
      <c r="DA146" s="60"/>
      <c r="DB146" s="60"/>
      <c r="DC146" s="60"/>
      <c r="DD146" s="60"/>
      <c r="DE146" s="60"/>
      <c r="DF146" s="60"/>
      <c r="DG146" s="60"/>
      <c r="DH146" s="60"/>
      <c r="DI146" s="60"/>
      <c r="DJ146" s="60"/>
      <c r="DK146" s="60"/>
      <c r="DL146" s="60"/>
      <c r="DM146" s="60"/>
      <c r="DN146" s="60"/>
      <c r="DO146" s="60"/>
      <c r="DP146" s="60"/>
      <c r="DQ146" s="60"/>
      <c r="DR146" s="60"/>
      <c r="DS146" s="60"/>
      <c r="DT146" s="60"/>
      <c r="DU146" s="60"/>
      <c r="DV146" s="60"/>
      <c r="DW146" s="60"/>
      <c r="DX146" s="60"/>
      <c r="DY146" s="60"/>
      <c r="DZ146" s="60"/>
      <c r="EA146" s="60"/>
      <c r="EB146" s="60"/>
      <c r="EC146" s="60"/>
      <c r="ED146" s="60"/>
      <c r="EE146" s="60"/>
      <c r="EF146" s="60"/>
      <c r="EG146" s="60"/>
      <c r="EH146" s="60"/>
      <c r="EI146" s="60"/>
      <c r="EJ146" s="60"/>
      <c r="EK146" s="60"/>
      <c r="EL146" s="60"/>
      <c r="EM146" s="60"/>
      <c r="EN146" s="60"/>
      <c r="EO146" s="60"/>
      <c r="EP146" s="60"/>
      <c r="EQ146" s="60"/>
      <c r="ER146" s="60"/>
      <c r="ES146" s="60"/>
      <c r="ET146" s="60"/>
      <c r="EU146" s="60"/>
      <c r="EV146" s="60"/>
      <c r="EW146" s="60"/>
      <c r="EX146" s="60"/>
      <c r="EY146" s="60"/>
      <c r="EZ146" s="60"/>
      <c r="FA146" s="60"/>
      <c r="FB146" s="60"/>
      <c r="FC146" s="60"/>
      <c r="FD146" s="60"/>
      <c r="FE146" s="60"/>
      <c r="FF146" s="60"/>
      <c r="FG146" s="60"/>
      <c r="FH146" s="60"/>
      <c r="FI146" s="60"/>
      <c r="FJ146" s="60"/>
      <c r="FK146" s="60"/>
      <c r="FL146" s="60"/>
      <c r="FM146" s="60"/>
      <c r="FN146" s="60"/>
      <c r="FO146" s="60"/>
      <c r="FP146" s="60"/>
      <c r="FQ146" s="60"/>
      <c r="FR146" s="60"/>
      <c r="FS146" s="60"/>
      <c r="FT146" s="60"/>
      <c r="FU146" s="60"/>
      <c r="FV146" s="60"/>
      <c r="FW146" s="60"/>
      <c r="FX146" s="60"/>
      <c r="FY146" s="60"/>
      <c r="FZ146" s="60"/>
      <c r="GA146" s="60"/>
      <c r="GB146" s="60"/>
      <c r="GC146" s="60"/>
      <c r="GD146" s="60"/>
      <c r="GE146" s="60"/>
      <c r="GF146" s="60"/>
      <c r="GG146" s="60"/>
      <c r="GH146" s="60"/>
      <c r="GI146" s="60"/>
      <c r="GJ146" s="60"/>
      <c r="GK146" s="60"/>
      <c r="GL146" s="60"/>
      <c r="GM146" s="60"/>
      <c r="GN146" s="60"/>
      <c r="GO146" s="60"/>
      <c r="GP146" s="60"/>
      <c r="GQ146" s="60"/>
      <c r="GR146" s="60"/>
      <c r="GS146" s="60"/>
      <c r="GT146" s="60"/>
      <c r="GU146" s="60"/>
      <c r="GV146" s="60"/>
      <c r="GW146" s="60"/>
      <c r="GX146" s="60"/>
      <c r="GY146" s="60"/>
      <c r="GZ146" s="60"/>
      <c r="HA146" s="60"/>
      <c r="HB146" s="60"/>
      <c r="HC146" s="60"/>
      <c r="HD146" s="60"/>
      <c r="HE146" s="60"/>
      <c r="HF146" s="60"/>
      <c r="HG146" s="60"/>
      <c r="HH146" s="60"/>
      <c r="HI146" s="60"/>
      <c r="HJ146" s="60"/>
      <c r="HK146" s="60"/>
      <c r="HL146" s="60"/>
      <c r="HM146" s="60"/>
      <c r="HN146" s="60"/>
      <c r="HO146" s="60"/>
      <c r="HP146" s="60"/>
      <c r="HQ146" s="60"/>
      <c r="HR146" s="60"/>
      <c r="HS146" s="60"/>
      <c r="HT146" s="60"/>
      <c r="HU146" s="60"/>
      <c r="HV146" s="60"/>
      <c r="HW146" s="60"/>
      <c r="HX146" s="60"/>
      <c r="HY146" s="60"/>
      <c r="HZ146" s="60"/>
      <c r="IA146" s="60"/>
      <c r="IB146" s="60"/>
      <c r="IC146" s="60"/>
      <c r="ID146" s="60"/>
      <c r="IE146" s="60"/>
      <c r="IF146" s="60"/>
      <c r="IG146" s="60"/>
      <c r="IH146" s="60"/>
      <c r="II146" s="60"/>
      <c r="IJ146" s="60"/>
      <c r="IK146" s="60"/>
      <c r="IL146" s="60"/>
      <c r="IM146" s="60"/>
      <c r="IN146" s="60"/>
      <c r="IO146" s="60"/>
      <c r="IP146" s="60"/>
      <c r="IQ146" s="60"/>
      <c r="IR146" s="60"/>
      <c r="IS146" s="60"/>
      <c r="IT146" s="60"/>
      <c r="IU146" s="60"/>
      <c r="IV146" s="60"/>
      <c r="IW146" s="60"/>
      <c r="IX146" s="60"/>
      <c r="IY146" s="60"/>
      <c r="IZ146" s="60"/>
      <c r="JA146" s="60"/>
      <c r="JB146" s="60"/>
      <c r="JC146" s="60"/>
      <c r="JD146" s="60"/>
      <c r="JE146" s="60"/>
      <c r="JF146" s="60"/>
      <c r="JG146" s="60"/>
      <c r="JH146" s="60"/>
      <c r="JI146" s="60"/>
      <c r="JJ146" s="60"/>
      <c r="JK146" s="60"/>
      <c r="JL146" s="60"/>
      <c r="JM146" s="60"/>
      <c r="JN146" s="60"/>
      <c r="JO146" s="60"/>
      <c r="JP146" s="60"/>
      <c r="JQ146" s="60"/>
      <c r="JR146" s="60"/>
      <c r="JS146" s="60"/>
      <c r="JT146" s="60"/>
      <c r="JU146" s="60"/>
      <c r="JV146" s="60"/>
      <c r="JW146" s="60"/>
      <c r="JX146" s="60"/>
      <c r="JY146" s="60"/>
      <c r="JZ146" s="60"/>
      <c r="KA146" s="60"/>
      <c r="KB146" s="60"/>
      <c r="KC146" s="60"/>
      <c r="KD146" s="60"/>
      <c r="KE146" s="60"/>
      <c r="KF146" s="60"/>
      <c r="KG146" s="60"/>
      <c r="KH146" s="60"/>
      <c r="KI146" s="60"/>
      <c r="KJ146" s="60"/>
      <c r="KK146" s="60"/>
      <c r="KL146" s="60"/>
      <c r="KM146" s="60"/>
      <c r="KN146" s="60"/>
      <c r="KO146" s="60"/>
      <c r="KP146" s="60"/>
      <c r="KQ146" s="60"/>
      <c r="KR146" s="60"/>
      <c r="KS146" s="60"/>
      <c r="KT146" s="60"/>
      <c r="KU146" s="60"/>
      <c r="KV146" s="60"/>
      <c r="KW146" s="60"/>
      <c r="KX146" s="60"/>
      <c r="KY146" s="60"/>
      <c r="KZ146" s="60"/>
      <c r="LA146" s="60"/>
      <c r="LB146" s="60"/>
      <c r="LC146" s="60"/>
      <c r="LD146" s="60"/>
      <c r="LE146" s="60"/>
      <c r="LF146" s="60"/>
      <c r="LG146" s="60"/>
      <c r="LH146" s="60"/>
    </row>
    <row r="147" spans="1:320" s="147" customFormat="1" ht="14.1" customHeight="1" x14ac:dyDescent="0.25">
      <c r="B147" s="1"/>
      <c r="C147" s="1"/>
      <c r="D147" s="1"/>
      <c r="E147" s="146"/>
      <c r="F147" s="146"/>
      <c r="G147" s="146"/>
      <c r="H147" s="146"/>
      <c r="I147" s="146"/>
      <c r="J147" s="146"/>
      <c r="K147" s="146"/>
      <c r="L147" s="146"/>
      <c r="M147" s="146"/>
      <c r="N147" s="146"/>
      <c r="O147" s="146"/>
      <c r="P147" s="146"/>
      <c r="Q147" s="146"/>
      <c r="R147" s="146"/>
      <c r="S147" s="146"/>
      <c r="T147" s="17"/>
      <c r="U147" s="17"/>
      <c r="V147" s="17"/>
      <c r="W147" s="17"/>
      <c r="X147" s="17"/>
      <c r="Y147" s="17"/>
      <c r="Z147" s="17"/>
      <c r="AA147" s="17"/>
      <c r="AB147" s="17"/>
      <c r="AC147" s="60"/>
      <c r="AD147" s="60"/>
      <c r="AE147" s="60"/>
      <c r="AF147" s="60"/>
      <c r="AG147" s="60"/>
      <c r="AH147" s="60"/>
      <c r="AI147" s="60"/>
      <c r="AJ147" s="60"/>
      <c r="AK147" s="60"/>
      <c r="AL147" s="60"/>
      <c r="AM147" s="60"/>
      <c r="AN147" s="60"/>
      <c r="AO147" s="60"/>
      <c r="AP147" s="60"/>
      <c r="AQ147" s="60"/>
      <c r="AR147" s="60"/>
      <c r="AS147" s="60"/>
      <c r="AT147" s="60"/>
      <c r="AU147" s="60"/>
      <c r="AV147" s="60"/>
      <c r="AW147" s="60"/>
      <c r="AX147" s="60"/>
      <c r="AY147" s="60"/>
      <c r="AZ147" s="60"/>
      <c r="BA147" s="60"/>
      <c r="BB147" s="60"/>
      <c r="BC147" s="60"/>
      <c r="BD147" s="60"/>
      <c r="BE147" s="60"/>
      <c r="BF147" s="60"/>
      <c r="BG147" s="60"/>
      <c r="BH147" s="60"/>
      <c r="BI147" s="60"/>
      <c r="BJ147" s="60"/>
      <c r="BK147" s="60"/>
      <c r="BL147" s="60"/>
      <c r="BM147" s="60"/>
      <c r="BN147" s="60"/>
      <c r="BO147" s="60"/>
      <c r="BP147" s="60"/>
      <c r="BQ147" s="60"/>
      <c r="BR147" s="60"/>
      <c r="BS147" s="60"/>
      <c r="BT147" s="60"/>
      <c r="BU147" s="60"/>
      <c r="BV147" s="60"/>
      <c r="BW147" s="60"/>
      <c r="BX147" s="60"/>
      <c r="BY147" s="60"/>
      <c r="BZ147" s="60"/>
      <c r="CA147" s="60"/>
      <c r="CB147" s="60"/>
      <c r="CC147" s="60"/>
      <c r="CD147" s="60"/>
      <c r="CE147" s="60"/>
      <c r="CF147" s="60"/>
      <c r="CG147" s="60"/>
      <c r="CH147" s="60"/>
      <c r="CI147" s="60"/>
      <c r="CJ147" s="60"/>
      <c r="CK147" s="60"/>
      <c r="CL147" s="60"/>
      <c r="CM147" s="60"/>
      <c r="CN147" s="60"/>
      <c r="CO147" s="60"/>
      <c r="CP147" s="60"/>
      <c r="CQ147" s="60"/>
      <c r="CR147" s="60"/>
      <c r="CS147" s="60"/>
      <c r="CT147" s="60"/>
      <c r="CU147" s="60"/>
      <c r="CV147" s="60"/>
      <c r="CW147" s="60"/>
      <c r="CX147" s="60"/>
      <c r="CY147" s="60"/>
      <c r="CZ147" s="60"/>
      <c r="DA147" s="60"/>
      <c r="DB147" s="60"/>
      <c r="DC147" s="60"/>
      <c r="DD147" s="60"/>
      <c r="DE147" s="60"/>
      <c r="DF147" s="60"/>
      <c r="DG147" s="60"/>
      <c r="DH147" s="60"/>
      <c r="DI147" s="60"/>
      <c r="DJ147" s="60"/>
      <c r="DK147" s="60"/>
      <c r="DL147" s="60"/>
      <c r="DM147" s="60"/>
      <c r="DN147" s="60"/>
      <c r="DO147" s="60"/>
      <c r="DP147" s="60"/>
      <c r="DQ147" s="60"/>
      <c r="DR147" s="60"/>
      <c r="DS147" s="60"/>
      <c r="DT147" s="60"/>
      <c r="DU147" s="60"/>
      <c r="DV147" s="60"/>
      <c r="DW147" s="60"/>
      <c r="DX147" s="60"/>
      <c r="DY147" s="60"/>
      <c r="DZ147" s="60"/>
      <c r="EA147" s="60"/>
      <c r="EB147" s="60"/>
      <c r="EC147" s="60"/>
      <c r="ED147" s="60"/>
      <c r="EE147" s="60"/>
      <c r="EF147" s="60"/>
      <c r="EG147" s="60"/>
      <c r="EH147" s="60"/>
      <c r="EI147" s="60"/>
      <c r="EJ147" s="60"/>
      <c r="EK147" s="60"/>
      <c r="EL147" s="60"/>
      <c r="EM147" s="60"/>
      <c r="EN147" s="60"/>
      <c r="EO147" s="60"/>
      <c r="EP147" s="60"/>
      <c r="EQ147" s="60"/>
      <c r="ER147" s="60"/>
      <c r="ES147" s="60"/>
      <c r="ET147" s="60"/>
      <c r="EU147" s="60"/>
      <c r="EV147" s="60"/>
      <c r="EW147" s="60"/>
      <c r="EX147" s="60"/>
      <c r="EY147" s="60"/>
      <c r="EZ147" s="60"/>
      <c r="FA147" s="60"/>
      <c r="FB147" s="60"/>
      <c r="FC147" s="60"/>
      <c r="FD147" s="60"/>
      <c r="FE147" s="60"/>
      <c r="FF147" s="60"/>
      <c r="FG147" s="60"/>
      <c r="FH147" s="60"/>
      <c r="FI147" s="60"/>
      <c r="FJ147" s="60"/>
      <c r="FK147" s="60"/>
      <c r="FL147" s="60"/>
      <c r="FM147" s="60"/>
      <c r="FN147" s="60"/>
      <c r="FO147" s="60"/>
      <c r="FP147" s="60"/>
      <c r="FQ147" s="60"/>
      <c r="FR147" s="60"/>
      <c r="FS147" s="60"/>
      <c r="FT147" s="60"/>
      <c r="FU147" s="60"/>
      <c r="FV147" s="60"/>
      <c r="FW147" s="60"/>
      <c r="FX147" s="60"/>
      <c r="FY147" s="60"/>
      <c r="FZ147" s="60"/>
      <c r="GA147" s="60"/>
      <c r="GB147" s="60"/>
      <c r="GC147" s="60"/>
      <c r="GD147" s="60"/>
      <c r="GE147" s="60"/>
      <c r="GF147" s="60"/>
      <c r="GG147" s="60"/>
      <c r="GH147" s="60"/>
      <c r="GI147" s="60"/>
      <c r="GJ147" s="60"/>
      <c r="GK147" s="60"/>
      <c r="GL147" s="60"/>
      <c r="GM147" s="60"/>
      <c r="GN147" s="60"/>
      <c r="GO147" s="60"/>
      <c r="GP147" s="60"/>
      <c r="GQ147" s="60"/>
      <c r="GR147" s="60"/>
      <c r="GS147" s="60"/>
      <c r="GT147" s="60"/>
      <c r="GU147" s="60"/>
      <c r="GV147" s="60"/>
      <c r="GW147" s="60"/>
      <c r="GX147" s="60"/>
      <c r="GY147" s="60"/>
      <c r="GZ147" s="60"/>
      <c r="HA147" s="60"/>
      <c r="HB147" s="60"/>
      <c r="HC147" s="60"/>
      <c r="HD147" s="60"/>
      <c r="HE147" s="60"/>
      <c r="HF147" s="60"/>
      <c r="HG147" s="60"/>
      <c r="HH147" s="60"/>
      <c r="HI147" s="60"/>
      <c r="HJ147" s="60"/>
      <c r="HK147" s="60"/>
      <c r="HL147" s="60"/>
      <c r="HM147" s="60"/>
      <c r="HN147" s="60"/>
      <c r="HO147" s="60"/>
      <c r="HP147" s="60"/>
      <c r="HQ147" s="60"/>
      <c r="HR147" s="60"/>
      <c r="HS147" s="60"/>
      <c r="HT147" s="60"/>
      <c r="HU147" s="60"/>
      <c r="HV147" s="60"/>
      <c r="HW147" s="60"/>
      <c r="HX147" s="60"/>
      <c r="HY147" s="60"/>
      <c r="HZ147" s="60"/>
      <c r="IA147" s="60"/>
      <c r="IB147" s="60"/>
      <c r="IC147" s="60"/>
      <c r="ID147" s="60"/>
      <c r="IE147" s="60"/>
      <c r="IF147" s="60"/>
      <c r="IG147" s="60"/>
      <c r="IH147" s="60"/>
      <c r="II147" s="60"/>
      <c r="IJ147" s="60"/>
      <c r="IK147" s="60"/>
      <c r="IL147" s="60"/>
      <c r="IM147" s="60"/>
      <c r="IN147" s="60"/>
      <c r="IO147" s="60"/>
      <c r="IP147" s="60"/>
      <c r="IQ147" s="60"/>
      <c r="IR147" s="60"/>
      <c r="IS147" s="60"/>
      <c r="IT147" s="60"/>
      <c r="IU147" s="60"/>
      <c r="IV147" s="60"/>
      <c r="IW147" s="60"/>
      <c r="IX147" s="60"/>
      <c r="IY147" s="60"/>
      <c r="IZ147" s="60"/>
      <c r="JA147" s="60"/>
      <c r="JB147" s="60"/>
      <c r="JC147" s="60"/>
      <c r="JD147" s="60"/>
      <c r="JE147" s="60"/>
      <c r="JF147" s="60"/>
      <c r="JG147" s="60"/>
      <c r="JH147" s="60"/>
      <c r="JI147" s="60"/>
      <c r="JJ147" s="60"/>
      <c r="JK147" s="60"/>
      <c r="JL147" s="60"/>
      <c r="JM147" s="60"/>
      <c r="JN147" s="60"/>
      <c r="JO147" s="60"/>
      <c r="JP147" s="60"/>
      <c r="JQ147" s="60"/>
      <c r="JR147" s="60"/>
      <c r="JS147" s="60"/>
      <c r="JT147" s="60"/>
      <c r="JU147" s="60"/>
      <c r="JV147" s="60"/>
      <c r="JW147" s="60"/>
      <c r="JX147" s="60"/>
      <c r="JY147" s="60"/>
      <c r="JZ147" s="60"/>
      <c r="KA147" s="60"/>
      <c r="KB147" s="60"/>
      <c r="KC147" s="60"/>
      <c r="KD147" s="60"/>
      <c r="KE147" s="60"/>
      <c r="KF147" s="60"/>
      <c r="KG147" s="60"/>
      <c r="KH147" s="60"/>
      <c r="KI147" s="60"/>
      <c r="KJ147" s="60"/>
      <c r="KK147" s="60"/>
      <c r="KL147" s="60"/>
      <c r="KM147" s="60"/>
      <c r="KN147" s="60"/>
      <c r="KO147" s="60"/>
      <c r="KP147" s="60"/>
      <c r="KQ147" s="60"/>
      <c r="KR147" s="60"/>
      <c r="KS147" s="60"/>
      <c r="KT147" s="60"/>
      <c r="KU147" s="60"/>
      <c r="KV147" s="60"/>
      <c r="KW147" s="60"/>
      <c r="KX147" s="60"/>
      <c r="KY147" s="60"/>
      <c r="KZ147" s="60"/>
      <c r="LA147" s="60"/>
      <c r="LB147" s="60"/>
      <c r="LC147" s="60"/>
      <c r="LD147" s="60"/>
      <c r="LE147" s="60"/>
      <c r="LF147" s="60"/>
      <c r="LG147" s="60"/>
      <c r="LH147" s="60"/>
    </row>
    <row r="148" spans="1:320" s="146" customFormat="1" ht="14.1" customHeight="1" x14ac:dyDescent="0.25">
      <c r="A148" s="147"/>
      <c r="B148" s="1"/>
      <c r="C148" s="1"/>
      <c r="D148" s="1"/>
      <c r="T148" s="17"/>
      <c r="U148" s="17"/>
      <c r="V148" s="17"/>
      <c r="W148" s="17"/>
      <c r="X148" s="17"/>
      <c r="Y148" s="17"/>
      <c r="Z148" s="17"/>
      <c r="AA148" s="17"/>
      <c r="AB148" s="17"/>
      <c r="AC148" s="60"/>
      <c r="AD148" s="60"/>
      <c r="AE148" s="60"/>
      <c r="AF148" s="60"/>
      <c r="AG148" s="60"/>
      <c r="AH148" s="60"/>
      <c r="AI148" s="60"/>
      <c r="AJ148" s="60"/>
      <c r="AK148" s="60"/>
      <c r="AL148" s="60"/>
      <c r="AM148" s="60"/>
      <c r="AN148" s="60"/>
      <c r="AO148" s="60"/>
      <c r="AP148" s="60"/>
      <c r="AQ148" s="60"/>
      <c r="AR148" s="60"/>
      <c r="AS148" s="60"/>
      <c r="AT148" s="60"/>
      <c r="AU148" s="60"/>
      <c r="AV148" s="60"/>
      <c r="AW148" s="60"/>
      <c r="AX148" s="60"/>
      <c r="AY148" s="60"/>
      <c r="AZ148" s="60"/>
      <c r="BA148" s="60"/>
      <c r="BB148" s="60"/>
      <c r="BC148" s="60"/>
      <c r="BD148" s="60"/>
      <c r="BE148" s="60"/>
      <c r="BF148" s="60"/>
      <c r="BG148" s="60"/>
      <c r="BH148" s="60"/>
      <c r="BI148" s="60"/>
      <c r="BJ148" s="60"/>
      <c r="BK148" s="60"/>
      <c r="BL148" s="60"/>
      <c r="BM148" s="60"/>
      <c r="BN148" s="60"/>
      <c r="BO148" s="60"/>
      <c r="BP148" s="60"/>
      <c r="BQ148" s="60"/>
      <c r="BR148" s="60"/>
      <c r="BS148" s="60"/>
      <c r="BT148" s="60"/>
      <c r="BU148" s="60"/>
      <c r="BV148" s="60"/>
      <c r="BW148" s="60"/>
      <c r="BX148" s="60"/>
      <c r="BY148" s="60"/>
      <c r="BZ148" s="60"/>
      <c r="CA148" s="60"/>
      <c r="CB148" s="60"/>
      <c r="CC148" s="60"/>
      <c r="CD148" s="60"/>
      <c r="CE148" s="60"/>
      <c r="CF148" s="60"/>
      <c r="CG148" s="60"/>
      <c r="CH148" s="60"/>
      <c r="CI148" s="60"/>
      <c r="CJ148" s="60"/>
      <c r="CK148" s="60"/>
      <c r="CL148" s="60"/>
      <c r="CM148" s="60"/>
      <c r="CN148" s="60"/>
      <c r="CO148" s="60"/>
      <c r="CP148" s="60"/>
      <c r="CQ148" s="60"/>
      <c r="CR148" s="60"/>
      <c r="CS148" s="60"/>
      <c r="CT148" s="60"/>
      <c r="CU148" s="60"/>
      <c r="CV148" s="60"/>
      <c r="CW148" s="60"/>
      <c r="CX148" s="60"/>
      <c r="CY148" s="60"/>
      <c r="CZ148" s="60"/>
      <c r="DA148" s="60"/>
      <c r="DB148" s="60"/>
      <c r="DC148" s="60"/>
      <c r="DD148" s="60"/>
      <c r="DE148" s="60"/>
      <c r="DF148" s="60"/>
      <c r="DG148" s="60"/>
      <c r="DH148" s="60"/>
      <c r="DI148" s="60"/>
      <c r="DJ148" s="60"/>
      <c r="DK148" s="60"/>
      <c r="DL148" s="60"/>
      <c r="DM148" s="60"/>
      <c r="DN148" s="60"/>
      <c r="DO148" s="60"/>
      <c r="DP148" s="60"/>
      <c r="DQ148" s="60"/>
      <c r="DR148" s="60"/>
      <c r="DS148" s="60"/>
      <c r="DT148" s="60"/>
      <c r="DU148" s="60"/>
      <c r="DV148" s="60"/>
      <c r="DW148" s="60"/>
      <c r="DX148" s="60"/>
      <c r="DY148" s="60"/>
      <c r="DZ148" s="60"/>
      <c r="EA148" s="60"/>
      <c r="EB148" s="60"/>
      <c r="EC148" s="60"/>
      <c r="ED148" s="60"/>
      <c r="EE148" s="60"/>
      <c r="EF148" s="60"/>
      <c r="EG148" s="60"/>
      <c r="EH148" s="60"/>
      <c r="EI148" s="60"/>
      <c r="EJ148" s="60"/>
      <c r="EK148" s="60"/>
      <c r="EL148" s="60"/>
      <c r="EM148" s="60"/>
      <c r="EN148" s="60"/>
      <c r="EO148" s="60"/>
      <c r="EP148" s="60"/>
      <c r="EQ148" s="60"/>
      <c r="ER148" s="60"/>
      <c r="ES148" s="60"/>
      <c r="ET148" s="60"/>
      <c r="EU148" s="60"/>
      <c r="EV148" s="60"/>
      <c r="EW148" s="60"/>
      <c r="EX148" s="60"/>
      <c r="EY148" s="60"/>
      <c r="EZ148" s="60"/>
      <c r="FA148" s="60"/>
      <c r="FB148" s="60"/>
      <c r="FC148" s="60"/>
      <c r="FD148" s="60"/>
      <c r="FE148" s="60"/>
      <c r="FF148" s="60"/>
      <c r="FG148" s="60"/>
      <c r="FH148" s="60"/>
      <c r="FI148" s="60"/>
      <c r="FJ148" s="60"/>
      <c r="FK148" s="60"/>
      <c r="FL148" s="60"/>
      <c r="FM148" s="60"/>
      <c r="FN148" s="60"/>
      <c r="FO148" s="60"/>
      <c r="FP148" s="60"/>
      <c r="FQ148" s="60"/>
      <c r="FR148" s="60"/>
      <c r="FS148" s="60"/>
      <c r="FT148" s="60"/>
      <c r="FU148" s="60"/>
      <c r="FV148" s="60"/>
      <c r="FW148" s="60"/>
      <c r="FX148" s="60"/>
      <c r="FY148" s="60"/>
      <c r="FZ148" s="60"/>
      <c r="GA148" s="60"/>
      <c r="GB148" s="60"/>
      <c r="GC148" s="60"/>
      <c r="GD148" s="60"/>
      <c r="GE148" s="60"/>
      <c r="GF148" s="60"/>
      <c r="GG148" s="60"/>
      <c r="GH148" s="60"/>
      <c r="GI148" s="60"/>
      <c r="GJ148" s="60"/>
      <c r="GK148" s="60"/>
      <c r="GL148" s="60"/>
      <c r="GM148" s="60"/>
      <c r="GN148" s="60"/>
      <c r="GO148" s="60"/>
      <c r="GP148" s="60"/>
      <c r="GQ148" s="60"/>
      <c r="GR148" s="60"/>
      <c r="GS148" s="60"/>
      <c r="GT148" s="60"/>
      <c r="GU148" s="60"/>
      <c r="GV148" s="60"/>
      <c r="GW148" s="60"/>
      <c r="GX148" s="60"/>
      <c r="GY148" s="60"/>
      <c r="GZ148" s="60"/>
      <c r="HA148" s="60"/>
      <c r="HB148" s="60"/>
      <c r="HC148" s="60"/>
      <c r="HD148" s="60"/>
      <c r="HE148" s="60"/>
      <c r="HF148" s="60"/>
      <c r="HG148" s="60"/>
      <c r="HH148" s="60"/>
      <c r="HI148" s="60"/>
      <c r="HJ148" s="60"/>
      <c r="HK148" s="60"/>
      <c r="HL148" s="60"/>
      <c r="HM148" s="60"/>
      <c r="HN148" s="60"/>
      <c r="HO148" s="60"/>
      <c r="HP148" s="60"/>
      <c r="HQ148" s="60"/>
      <c r="HR148" s="60"/>
      <c r="HS148" s="60"/>
      <c r="HT148" s="60"/>
      <c r="HU148" s="60"/>
      <c r="HV148" s="60"/>
      <c r="HW148" s="60"/>
      <c r="HX148" s="60"/>
      <c r="HY148" s="60"/>
      <c r="HZ148" s="60"/>
      <c r="IA148" s="60"/>
      <c r="IB148" s="60"/>
      <c r="IC148" s="60"/>
      <c r="ID148" s="60"/>
      <c r="IE148" s="60"/>
      <c r="IF148" s="60"/>
      <c r="IG148" s="60"/>
      <c r="IH148" s="60"/>
      <c r="II148" s="60"/>
      <c r="IJ148" s="60"/>
      <c r="IK148" s="60"/>
      <c r="IL148" s="60"/>
      <c r="IM148" s="60"/>
      <c r="IN148" s="60"/>
      <c r="IO148" s="60"/>
      <c r="IP148" s="60"/>
      <c r="IQ148" s="60"/>
      <c r="IR148" s="60"/>
      <c r="IS148" s="60"/>
      <c r="IT148" s="60"/>
      <c r="IU148" s="60"/>
      <c r="IV148" s="60"/>
      <c r="IW148" s="60"/>
      <c r="IX148" s="60"/>
      <c r="IY148" s="60"/>
      <c r="IZ148" s="60"/>
      <c r="JA148" s="60"/>
      <c r="JB148" s="60"/>
      <c r="JC148" s="60"/>
      <c r="JD148" s="60"/>
      <c r="JE148" s="60"/>
      <c r="JF148" s="60"/>
      <c r="JG148" s="60"/>
      <c r="JH148" s="60"/>
      <c r="JI148" s="60"/>
      <c r="JJ148" s="60"/>
      <c r="JK148" s="60"/>
      <c r="JL148" s="60"/>
      <c r="JM148" s="60"/>
      <c r="JN148" s="60"/>
      <c r="JO148" s="60"/>
      <c r="JP148" s="60"/>
      <c r="JQ148" s="60"/>
      <c r="JR148" s="60"/>
      <c r="JS148" s="60"/>
      <c r="JT148" s="60"/>
      <c r="JU148" s="60"/>
      <c r="JV148" s="60"/>
      <c r="JW148" s="60"/>
      <c r="JX148" s="60"/>
      <c r="JY148" s="60"/>
      <c r="JZ148" s="60"/>
      <c r="KA148" s="60"/>
      <c r="KB148" s="60"/>
      <c r="KC148" s="60"/>
      <c r="KD148" s="60"/>
      <c r="KE148" s="60"/>
      <c r="KF148" s="60"/>
      <c r="KG148" s="60"/>
      <c r="KH148" s="60"/>
      <c r="KI148" s="60"/>
      <c r="KJ148" s="60"/>
      <c r="KK148" s="60"/>
      <c r="KL148" s="60"/>
      <c r="KM148" s="60"/>
      <c r="KN148" s="60"/>
      <c r="KO148" s="60"/>
      <c r="KP148" s="60"/>
      <c r="KQ148" s="60"/>
      <c r="KR148" s="60"/>
      <c r="KS148" s="60"/>
      <c r="KT148" s="60"/>
      <c r="KU148" s="60"/>
      <c r="KV148" s="60"/>
      <c r="KW148" s="60"/>
      <c r="KX148" s="60"/>
      <c r="KY148" s="60"/>
      <c r="KZ148" s="60"/>
      <c r="LA148" s="60"/>
      <c r="LB148" s="60"/>
      <c r="LC148" s="60"/>
      <c r="LD148" s="60"/>
      <c r="LE148" s="60"/>
      <c r="LF148" s="60"/>
      <c r="LG148" s="60"/>
      <c r="LH148" s="60"/>
    </row>
    <row r="149" spans="1:320" s="146" customFormat="1" ht="14.1" customHeight="1" x14ac:dyDescent="0.25">
      <c r="A149" s="147"/>
      <c r="B149" s="1"/>
      <c r="C149" s="1"/>
      <c r="D149" s="1"/>
      <c r="T149" s="17"/>
      <c r="U149" s="17"/>
      <c r="V149" s="17"/>
      <c r="W149" s="17"/>
      <c r="X149" s="17"/>
      <c r="Y149" s="17"/>
      <c r="Z149" s="17"/>
      <c r="AA149" s="17"/>
      <c r="AB149" s="17"/>
      <c r="AC149" s="60"/>
      <c r="AD149" s="60"/>
      <c r="AE149" s="60"/>
      <c r="AF149" s="60"/>
      <c r="AG149" s="60"/>
      <c r="AH149" s="60"/>
      <c r="AI149" s="60"/>
      <c r="AJ149" s="60"/>
      <c r="AK149" s="60"/>
      <c r="AL149" s="60"/>
      <c r="AM149" s="60"/>
      <c r="AN149" s="60"/>
      <c r="AO149" s="60"/>
      <c r="AP149" s="60"/>
      <c r="AQ149" s="60"/>
      <c r="AR149" s="60"/>
      <c r="AS149" s="60"/>
      <c r="AT149" s="60"/>
      <c r="AU149" s="60"/>
      <c r="AV149" s="60"/>
      <c r="AW149" s="60"/>
      <c r="AX149" s="60"/>
      <c r="AY149" s="60"/>
      <c r="AZ149" s="60"/>
      <c r="BA149" s="60"/>
      <c r="BB149" s="60"/>
      <c r="BC149" s="60"/>
      <c r="BD149" s="60"/>
      <c r="BE149" s="60"/>
      <c r="BF149" s="60"/>
      <c r="BG149" s="60"/>
      <c r="BH149" s="60"/>
      <c r="BI149" s="60"/>
      <c r="BJ149" s="60"/>
      <c r="BK149" s="60"/>
      <c r="BL149" s="60"/>
      <c r="BM149" s="60"/>
      <c r="BN149" s="60"/>
      <c r="BO149" s="60"/>
      <c r="BP149" s="60"/>
      <c r="BQ149" s="60"/>
      <c r="BR149" s="60"/>
      <c r="BS149" s="60"/>
      <c r="BT149" s="60"/>
      <c r="BU149" s="60"/>
      <c r="BV149" s="60"/>
      <c r="BW149" s="60"/>
      <c r="BX149" s="60"/>
      <c r="BY149" s="60"/>
      <c r="BZ149" s="60"/>
      <c r="CA149" s="60"/>
      <c r="CB149" s="60"/>
      <c r="CC149" s="60"/>
      <c r="CD149" s="60"/>
      <c r="CE149" s="60"/>
      <c r="CF149" s="60"/>
      <c r="CG149" s="60"/>
      <c r="CH149" s="60"/>
      <c r="CI149" s="60"/>
      <c r="CJ149" s="60"/>
      <c r="CK149" s="60"/>
      <c r="CL149" s="60"/>
      <c r="CM149" s="60"/>
      <c r="CN149" s="60"/>
      <c r="CO149" s="60"/>
      <c r="CP149" s="60"/>
      <c r="CQ149" s="60"/>
      <c r="CR149" s="60"/>
      <c r="CS149" s="60"/>
      <c r="CT149" s="60"/>
      <c r="CU149" s="60"/>
      <c r="CV149" s="60"/>
      <c r="CW149" s="60"/>
      <c r="CX149" s="60"/>
      <c r="CY149" s="60"/>
      <c r="CZ149" s="60"/>
      <c r="DA149" s="60"/>
      <c r="DB149" s="60"/>
      <c r="DC149" s="60"/>
      <c r="DD149" s="60"/>
      <c r="DE149" s="60"/>
      <c r="DF149" s="60"/>
      <c r="DG149" s="60"/>
      <c r="DH149" s="60"/>
      <c r="DI149" s="60"/>
      <c r="DJ149" s="60"/>
      <c r="DK149" s="60"/>
      <c r="DL149" s="60"/>
      <c r="DM149" s="60"/>
      <c r="DN149" s="60"/>
      <c r="DO149" s="60"/>
      <c r="DP149" s="60"/>
      <c r="DQ149" s="60"/>
      <c r="DR149" s="60"/>
      <c r="DS149" s="60"/>
      <c r="DT149" s="60"/>
      <c r="DU149" s="60"/>
      <c r="DV149" s="60"/>
      <c r="DW149" s="60"/>
      <c r="DX149" s="60"/>
      <c r="DY149" s="60"/>
      <c r="DZ149" s="60"/>
      <c r="EA149" s="60"/>
      <c r="EB149" s="60"/>
      <c r="EC149" s="60"/>
      <c r="ED149" s="60"/>
      <c r="EE149" s="60"/>
      <c r="EF149" s="60"/>
      <c r="EG149" s="60"/>
      <c r="EH149" s="60"/>
      <c r="EI149" s="60"/>
      <c r="EJ149" s="60"/>
      <c r="EK149" s="60"/>
      <c r="EL149" s="60"/>
      <c r="EM149" s="60"/>
      <c r="EN149" s="60"/>
      <c r="EO149" s="60"/>
      <c r="EP149" s="60"/>
      <c r="EQ149" s="60"/>
      <c r="ER149" s="60"/>
      <c r="ES149" s="60"/>
      <c r="ET149" s="60"/>
      <c r="EU149" s="60"/>
      <c r="EV149" s="60"/>
      <c r="EW149" s="60"/>
      <c r="EX149" s="60"/>
      <c r="EY149" s="60"/>
      <c r="EZ149" s="60"/>
      <c r="FA149" s="60"/>
      <c r="FB149" s="60"/>
      <c r="FC149" s="60"/>
      <c r="FD149" s="60"/>
      <c r="FE149" s="60"/>
      <c r="FF149" s="60"/>
      <c r="FG149" s="60"/>
      <c r="FH149" s="60"/>
      <c r="FI149" s="60"/>
      <c r="FJ149" s="60"/>
      <c r="FK149" s="60"/>
      <c r="FL149" s="60"/>
      <c r="FM149" s="60"/>
      <c r="FN149" s="60"/>
      <c r="FO149" s="60"/>
      <c r="FP149" s="60"/>
      <c r="FQ149" s="60"/>
      <c r="FR149" s="60"/>
      <c r="FS149" s="60"/>
      <c r="FT149" s="60"/>
      <c r="FU149" s="60"/>
      <c r="FV149" s="60"/>
      <c r="FW149" s="60"/>
      <c r="FX149" s="60"/>
      <c r="FY149" s="60"/>
      <c r="FZ149" s="60"/>
      <c r="GA149" s="60"/>
      <c r="GB149" s="60"/>
      <c r="GC149" s="60"/>
      <c r="GD149" s="60"/>
      <c r="GE149" s="60"/>
      <c r="GF149" s="60"/>
      <c r="GG149" s="60"/>
      <c r="GH149" s="60"/>
      <c r="GI149" s="60"/>
      <c r="GJ149" s="60"/>
      <c r="GK149" s="60"/>
      <c r="GL149" s="60"/>
      <c r="GM149" s="60"/>
      <c r="GN149" s="60"/>
      <c r="GO149" s="60"/>
      <c r="GP149" s="60"/>
      <c r="GQ149" s="60"/>
      <c r="GR149" s="60"/>
      <c r="GS149" s="60"/>
      <c r="GT149" s="60"/>
      <c r="GU149" s="60"/>
      <c r="GV149" s="60"/>
      <c r="GW149" s="60"/>
      <c r="GX149" s="60"/>
      <c r="GY149" s="60"/>
      <c r="GZ149" s="60"/>
      <c r="HA149" s="60"/>
      <c r="HB149" s="60"/>
      <c r="HC149" s="60"/>
      <c r="HD149" s="60"/>
      <c r="HE149" s="60"/>
      <c r="HF149" s="60"/>
      <c r="HG149" s="60"/>
      <c r="HH149" s="60"/>
      <c r="HI149" s="60"/>
      <c r="HJ149" s="60"/>
      <c r="HK149" s="60"/>
      <c r="HL149" s="60"/>
      <c r="HM149" s="60"/>
      <c r="HN149" s="60"/>
      <c r="HO149" s="60"/>
      <c r="HP149" s="60"/>
      <c r="HQ149" s="60"/>
      <c r="HR149" s="60"/>
      <c r="HS149" s="60"/>
      <c r="HT149" s="60"/>
      <c r="HU149" s="60"/>
      <c r="HV149" s="60"/>
      <c r="HW149" s="60"/>
      <c r="HX149" s="60"/>
      <c r="HY149" s="60"/>
      <c r="HZ149" s="60"/>
      <c r="IA149" s="60"/>
      <c r="IB149" s="60"/>
      <c r="IC149" s="60"/>
      <c r="ID149" s="60"/>
      <c r="IE149" s="60"/>
      <c r="IF149" s="60"/>
      <c r="IG149" s="60"/>
      <c r="IH149" s="60"/>
      <c r="II149" s="60"/>
      <c r="IJ149" s="60"/>
      <c r="IK149" s="60"/>
      <c r="IL149" s="60"/>
      <c r="IM149" s="60"/>
      <c r="IN149" s="60"/>
      <c r="IO149" s="60"/>
      <c r="IP149" s="60"/>
      <c r="IQ149" s="60"/>
      <c r="IR149" s="60"/>
      <c r="IS149" s="60"/>
      <c r="IT149" s="60"/>
      <c r="IU149" s="60"/>
      <c r="IV149" s="60"/>
      <c r="IW149" s="60"/>
      <c r="IX149" s="60"/>
      <c r="IY149" s="60"/>
      <c r="IZ149" s="60"/>
      <c r="JA149" s="60"/>
      <c r="JB149" s="60"/>
      <c r="JC149" s="60"/>
      <c r="JD149" s="60"/>
      <c r="JE149" s="60"/>
      <c r="JF149" s="60"/>
      <c r="JG149" s="60"/>
      <c r="JH149" s="60"/>
      <c r="JI149" s="60"/>
      <c r="JJ149" s="60"/>
      <c r="JK149" s="60"/>
      <c r="JL149" s="60"/>
      <c r="JM149" s="60"/>
      <c r="JN149" s="60"/>
      <c r="JO149" s="60"/>
      <c r="JP149" s="60"/>
      <c r="JQ149" s="60"/>
      <c r="JR149" s="60"/>
      <c r="JS149" s="60"/>
      <c r="JT149" s="60"/>
      <c r="JU149" s="60"/>
      <c r="JV149" s="60"/>
      <c r="JW149" s="60"/>
      <c r="JX149" s="60"/>
      <c r="JY149" s="60"/>
      <c r="JZ149" s="60"/>
      <c r="KA149" s="60"/>
      <c r="KB149" s="60"/>
      <c r="KC149" s="60"/>
      <c r="KD149" s="60"/>
      <c r="KE149" s="60"/>
      <c r="KF149" s="60"/>
      <c r="KG149" s="60"/>
      <c r="KH149" s="60"/>
      <c r="KI149" s="60"/>
      <c r="KJ149" s="60"/>
      <c r="KK149" s="60"/>
      <c r="KL149" s="60"/>
      <c r="KM149" s="60"/>
      <c r="KN149" s="60"/>
      <c r="KO149" s="60"/>
      <c r="KP149" s="60"/>
      <c r="KQ149" s="60"/>
      <c r="KR149" s="60"/>
      <c r="KS149" s="60"/>
      <c r="KT149" s="60"/>
      <c r="KU149" s="60"/>
      <c r="KV149" s="60"/>
      <c r="KW149" s="60"/>
      <c r="KX149" s="60"/>
      <c r="KY149" s="60"/>
      <c r="KZ149" s="60"/>
      <c r="LA149" s="60"/>
      <c r="LB149" s="60"/>
      <c r="LC149" s="60"/>
      <c r="LD149" s="60"/>
      <c r="LE149" s="60"/>
      <c r="LF149" s="60"/>
      <c r="LG149" s="60"/>
      <c r="LH149" s="60"/>
    </row>
    <row r="150" spans="1:320" s="146" customFormat="1" ht="14.1" customHeight="1" x14ac:dyDescent="1.35">
      <c r="A150" s="147"/>
      <c r="B150" s="352"/>
      <c r="C150" s="352"/>
      <c r="D150" s="352"/>
      <c r="E150" s="352"/>
      <c r="F150" s="352"/>
      <c r="G150" s="352"/>
      <c r="H150" s="352"/>
      <c r="I150" s="352"/>
      <c r="J150" s="352"/>
      <c r="K150" s="352"/>
      <c r="L150" s="352"/>
      <c r="M150" s="155"/>
      <c r="T150" s="17"/>
      <c r="U150" s="17"/>
      <c r="V150" s="17"/>
      <c r="W150" s="17"/>
      <c r="X150" s="17"/>
      <c r="Y150" s="17"/>
      <c r="Z150" s="17"/>
      <c r="AA150" s="17"/>
      <c r="AB150" s="17"/>
      <c r="AC150" s="60"/>
      <c r="AD150" s="60"/>
      <c r="AE150" s="60"/>
      <c r="AF150" s="60"/>
      <c r="AG150" s="60"/>
      <c r="AH150" s="60"/>
      <c r="AI150" s="60"/>
      <c r="AJ150" s="60"/>
      <c r="AK150" s="60"/>
      <c r="AL150" s="60"/>
      <c r="AM150" s="60"/>
      <c r="AN150" s="60"/>
      <c r="AO150" s="60"/>
      <c r="AP150" s="60"/>
      <c r="AQ150" s="60"/>
      <c r="AR150" s="60"/>
      <c r="AS150" s="60"/>
      <c r="AT150" s="60"/>
      <c r="AU150" s="60"/>
      <c r="AV150" s="60"/>
      <c r="AW150" s="60"/>
      <c r="AX150" s="60"/>
      <c r="AY150" s="60"/>
      <c r="AZ150" s="60"/>
      <c r="BA150" s="60"/>
      <c r="BB150" s="60"/>
      <c r="BC150" s="60"/>
      <c r="BD150" s="60"/>
      <c r="BE150" s="60"/>
      <c r="BF150" s="60"/>
      <c r="BG150" s="60"/>
      <c r="BH150" s="60"/>
      <c r="BI150" s="60"/>
      <c r="BJ150" s="60"/>
      <c r="BK150" s="60"/>
      <c r="BL150" s="60"/>
      <c r="BM150" s="60"/>
      <c r="BN150" s="60"/>
      <c r="BO150" s="60"/>
      <c r="BP150" s="60"/>
      <c r="BQ150" s="60"/>
      <c r="BR150" s="60"/>
      <c r="BS150" s="60"/>
      <c r="BT150" s="60"/>
      <c r="BU150" s="60"/>
      <c r="BV150" s="60"/>
      <c r="BW150" s="60"/>
      <c r="BX150" s="60"/>
      <c r="BY150" s="60"/>
      <c r="BZ150" s="60"/>
      <c r="CA150" s="60"/>
      <c r="CB150" s="60"/>
      <c r="CC150" s="60"/>
      <c r="CD150" s="60"/>
      <c r="CE150" s="60"/>
      <c r="CF150" s="60"/>
      <c r="CG150" s="60"/>
      <c r="CH150" s="60"/>
      <c r="CI150" s="60"/>
      <c r="CJ150" s="60"/>
      <c r="CK150" s="60"/>
      <c r="CL150" s="60"/>
      <c r="CM150" s="60"/>
      <c r="CN150" s="60"/>
      <c r="CO150" s="60"/>
      <c r="CP150" s="60"/>
      <c r="CQ150" s="60"/>
      <c r="CR150" s="60"/>
      <c r="CS150" s="60"/>
      <c r="CT150" s="60"/>
      <c r="CU150" s="60"/>
      <c r="CV150" s="60"/>
      <c r="CW150" s="60"/>
      <c r="CX150" s="60"/>
      <c r="CY150" s="60"/>
      <c r="CZ150" s="60"/>
      <c r="DA150" s="60"/>
      <c r="DB150" s="60"/>
      <c r="DC150" s="60"/>
      <c r="DD150" s="60"/>
      <c r="DE150" s="60"/>
      <c r="DF150" s="60"/>
      <c r="DG150" s="60"/>
      <c r="DH150" s="60"/>
      <c r="DI150" s="60"/>
      <c r="DJ150" s="60"/>
      <c r="DK150" s="60"/>
      <c r="DL150" s="60"/>
      <c r="DM150" s="60"/>
      <c r="DN150" s="60"/>
      <c r="DO150" s="60"/>
      <c r="DP150" s="60"/>
      <c r="DQ150" s="60"/>
      <c r="DR150" s="60"/>
      <c r="DS150" s="60"/>
      <c r="DT150" s="60"/>
      <c r="DU150" s="60"/>
      <c r="DV150" s="60"/>
      <c r="DW150" s="60"/>
      <c r="DX150" s="60"/>
      <c r="DY150" s="60"/>
      <c r="DZ150" s="60"/>
      <c r="EA150" s="60"/>
      <c r="EB150" s="60"/>
      <c r="EC150" s="60"/>
      <c r="ED150" s="60"/>
      <c r="EE150" s="60"/>
      <c r="EF150" s="60"/>
      <c r="EG150" s="60"/>
      <c r="EH150" s="60"/>
      <c r="EI150" s="60"/>
      <c r="EJ150" s="60"/>
      <c r="EK150" s="60"/>
      <c r="EL150" s="60"/>
      <c r="EM150" s="60"/>
      <c r="EN150" s="60"/>
      <c r="EO150" s="60"/>
      <c r="EP150" s="60"/>
      <c r="EQ150" s="60"/>
      <c r="ER150" s="60"/>
      <c r="ES150" s="60"/>
      <c r="ET150" s="60"/>
      <c r="EU150" s="60"/>
      <c r="EV150" s="60"/>
      <c r="EW150" s="60"/>
      <c r="EX150" s="60"/>
      <c r="EY150" s="60"/>
      <c r="EZ150" s="60"/>
      <c r="FA150" s="60"/>
      <c r="FB150" s="60"/>
      <c r="FC150" s="60"/>
      <c r="FD150" s="60"/>
      <c r="FE150" s="60"/>
      <c r="FF150" s="60"/>
      <c r="FG150" s="60"/>
      <c r="FH150" s="60"/>
      <c r="FI150" s="60"/>
      <c r="FJ150" s="60"/>
      <c r="FK150" s="60"/>
      <c r="FL150" s="60"/>
      <c r="FM150" s="60"/>
      <c r="FN150" s="60"/>
      <c r="FO150" s="60"/>
      <c r="FP150" s="60"/>
      <c r="FQ150" s="60"/>
      <c r="FR150" s="60"/>
      <c r="FS150" s="60"/>
      <c r="FT150" s="60"/>
      <c r="FU150" s="60"/>
      <c r="FV150" s="60"/>
      <c r="FW150" s="60"/>
      <c r="FX150" s="60"/>
      <c r="FY150" s="60"/>
      <c r="FZ150" s="60"/>
      <c r="GA150" s="60"/>
      <c r="GB150" s="60"/>
      <c r="GC150" s="60"/>
      <c r="GD150" s="60"/>
      <c r="GE150" s="60"/>
      <c r="GF150" s="60"/>
      <c r="GG150" s="60"/>
      <c r="GH150" s="60"/>
      <c r="GI150" s="60"/>
      <c r="GJ150" s="60"/>
      <c r="GK150" s="60"/>
      <c r="GL150" s="60"/>
      <c r="GM150" s="60"/>
      <c r="GN150" s="60"/>
      <c r="GO150" s="60"/>
      <c r="GP150" s="60"/>
      <c r="GQ150" s="60"/>
      <c r="GR150" s="60"/>
      <c r="GS150" s="60"/>
      <c r="GT150" s="60"/>
      <c r="GU150" s="60"/>
      <c r="GV150" s="60"/>
      <c r="GW150" s="60"/>
      <c r="GX150" s="60"/>
      <c r="GY150" s="60"/>
      <c r="GZ150" s="60"/>
      <c r="HA150" s="60"/>
      <c r="HB150" s="60"/>
      <c r="HC150" s="60"/>
      <c r="HD150" s="60"/>
      <c r="HE150" s="60"/>
      <c r="HF150" s="60"/>
      <c r="HG150" s="60"/>
      <c r="HH150" s="60"/>
      <c r="HI150" s="60"/>
      <c r="HJ150" s="60"/>
      <c r="HK150" s="60"/>
      <c r="HL150" s="60"/>
      <c r="HM150" s="60"/>
      <c r="HN150" s="60"/>
      <c r="HO150" s="60"/>
      <c r="HP150" s="60"/>
      <c r="HQ150" s="60"/>
      <c r="HR150" s="60"/>
      <c r="HS150" s="60"/>
      <c r="HT150" s="60"/>
      <c r="HU150" s="60"/>
      <c r="HV150" s="60"/>
      <c r="HW150" s="60"/>
      <c r="HX150" s="60"/>
      <c r="HY150" s="60"/>
      <c r="HZ150" s="60"/>
      <c r="IA150" s="60"/>
      <c r="IB150" s="60"/>
      <c r="IC150" s="60"/>
      <c r="ID150" s="60"/>
      <c r="IE150" s="60"/>
      <c r="IF150" s="60"/>
      <c r="IG150" s="60"/>
      <c r="IH150" s="60"/>
      <c r="II150" s="60"/>
      <c r="IJ150" s="60"/>
      <c r="IK150" s="60"/>
      <c r="IL150" s="60"/>
      <c r="IM150" s="60"/>
      <c r="IN150" s="60"/>
      <c r="IO150" s="60"/>
      <c r="IP150" s="60"/>
      <c r="IQ150" s="60"/>
      <c r="IR150" s="60"/>
      <c r="IS150" s="60"/>
      <c r="IT150" s="60"/>
      <c r="IU150" s="60"/>
      <c r="IV150" s="60"/>
      <c r="IW150" s="60"/>
      <c r="IX150" s="60"/>
      <c r="IY150" s="60"/>
      <c r="IZ150" s="60"/>
      <c r="JA150" s="60"/>
      <c r="JB150" s="60"/>
      <c r="JC150" s="60"/>
      <c r="JD150" s="60"/>
      <c r="JE150" s="60"/>
      <c r="JF150" s="60"/>
      <c r="JG150" s="60"/>
      <c r="JH150" s="60"/>
      <c r="JI150" s="60"/>
      <c r="JJ150" s="60"/>
      <c r="JK150" s="60"/>
      <c r="JL150" s="60"/>
      <c r="JM150" s="60"/>
      <c r="JN150" s="60"/>
      <c r="JO150" s="60"/>
      <c r="JP150" s="60"/>
      <c r="JQ150" s="60"/>
      <c r="JR150" s="60"/>
      <c r="JS150" s="60"/>
      <c r="JT150" s="60"/>
      <c r="JU150" s="60"/>
      <c r="JV150" s="60"/>
      <c r="JW150" s="60"/>
      <c r="JX150" s="60"/>
      <c r="JY150" s="60"/>
      <c r="JZ150" s="60"/>
      <c r="KA150" s="60"/>
      <c r="KB150" s="60"/>
      <c r="KC150" s="60"/>
      <c r="KD150" s="60"/>
      <c r="KE150" s="60"/>
      <c r="KF150" s="60"/>
      <c r="KG150" s="60"/>
      <c r="KH150" s="60"/>
      <c r="KI150" s="60"/>
      <c r="KJ150" s="60"/>
      <c r="KK150" s="60"/>
      <c r="KL150" s="60"/>
      <c r="KM150" s="60"/>
      <c r="KN150" s="60"/>
      <c r="KO150" s="60"/>
      <c r="KP150" s="60"/>
      <c r="KQ150" s="60"/>
      <c r="KR150" s="60"/>
      <c r="KS150" s="60"/>
      <c r="KT150" s="60"/>
      <c r="KU150" s="60"/>
      <c r="KV150" s="60"/>
      <c r="KW150" s="60"/>
      <c r="KX150" s="60"/>
      <c r="KY150" s="60"/>
      <c r="KZ150" s="60"/>
      <c r="LA150" s="60"/>
      <c r="LB150" s="60"/>
      <c r="LC150" s="60"/>
      <c r="LD150" s="60"/>
      <c r="LE150" s="60"/>
      <c r="LF150" s="60"/>
      <c r="LG150" s="60"/>
      <c r="LH150" s="60"/>
    </row>
    <row r="151" spans="1:320" s="146" customFormat="1" ht="15.75" thickBot="1" x14ac:dyDescent="0.3">
      <c r="A151" s="147"/>
      <c r="B151" s="1"/>
      <c r="C151" s="1"/>
      <c r="D151" s="1"/>
      <c r="T151" s="17"/>
      <c r="U151" s="17"/>
      <c r="V151" s="17"/>
      <c r="W151" s="17"/>
      <c r="X151" s="17"/>
      <c r="Y151" s="17"/>
      <c r="Z151" s="17"/>
      <c r="AA151" s="17"/>
      <c r="AB151" s="17"/>
      <c r="AC151" s="60"/>
      <c r="AD151" s="60"/>
      <c r="AE151" s="60"/>
      <c r="AF151" s="60"/>
      <c r="AG151" s="60"/>
      <c r="AH151" s="60"/>
      <c r="AI151" s="60"/>
      <c r="AJ151" s="60"/>
      <c r="AK151" s="60"/>
      <c r="AL151" s="60"/>
      <c r="AM151" s="60"/>
      <c r="AN151" s="60"/>
      <c r="AO151" s="60"/>
      <c r="AP151" s="60"/>
      <c r="AQ151" s="60"/>
      <c r="AR151" s="60"/>
      <c r="AS151" s="60"/>
      <c r="AT151" s="60"/>
      <c r="AU151" s="60"/>
      <c r="AV151" s="60"/>
      <c r="AW151" s="60"/>
      <c r="AX151" s="60"/>
      <c r="AY151" s="60"/>
      <c r="AZ151" s="60"/>
      <c r="BA151" s="60"/>
      <c r="BB151" s="60"/>
      <c r="BC151" s="60"/>
      <c r="BD151" s="60"/>
      <c r="BE151" s="60"/>
      <c r="BF151" s="60"/>
      <c r="BG151" s="60"/>
      <c r="BH151" s="60"/>
      <c r="BI151" s="60"/>
      <c r="BJ151" s="60"/>
      <c r="BK151" s="60"/>
      <c r="BL151" s="60"/>
      <c r="BM151" s="60"/>
      <c r="BN151" s="60"/>
      <c r="BO151" s="60"/>
      <c r="BP151" s="60"/>
      <c r="BQ151" s="60"/>
      <c r="BR151" s="60"/>
      <c r="BS151" s="60"/>
      <c r="BT151" s="60"/>
      <c r="BU151" s="60"/>
      <c r="BV151" s="60"/>
      <c r="BW151" s="60"/>
      <c r="BX151" s="60"/>
      <c r="BY151" s="60"/>
      <c r="BZ151" s="60"/>
      <c r="CA151" s="60"/>
      <c r="CB151" s="60"/>
      <c r="CC151" s="60"/>
      <c r="CD151" s="60"/>
      <c r="CE151" s="60"/>
      <c r="CF151" s="60"/>
      <c r="CG151" s="60"/>
      <c r="CH151" s="60"/>
      <c r="CI151" s="60"/>
      <c r="CJ151" s="60"/>
      <c r="CK151" s="60"/>
      <c r="CL151" s="60"/>
      <c r="CM151" s="60"/>
      <c r="CN151" s="60"/>
      <c r="CO151" s="60"/>
      <c r="CP151" s="60"/>
      <c r="CQ151" s="60"/>
      <c r="CR151" s="60"/>
      <c r="CS151" s="60"/>
      <c r="CT151" s="60"/>
      <c r="CU151" s="60"/>
      <c r="CV151" s="60"/>
      <c r="CW151" s="60"/>
      <c r="CX151" s="60"/>
      <c r="CY151" s="60"/>
      <c r="CZ151" s="60"/>
      <c r="DA151" s="60"/>
      <c r="DB151" s="60"/>
      <c r="DC151" s="60"/>
      <c r="DD151" s="60"/>
      <c r="DE151" s="60"/>
      <c r="DF151" s="60"/>
      <c r="DG151" s="60"/>
      <c r="DH151" s="60"/>
      <c r="DI151" s="60"/>
      <c r="DJ151" s="60"/>
      <c r="DK151" s="60"/>
      <c r="DL151" s="60"/>
      <c r="DM151" s="60"/>
      <c r="DN151" s="60"/>
      <c r="DO151" s="60"/>
      <c r="DP151" s="60"/>
      <c r="DQ151" s="60"/>
      <c r="DR151" s="60"/>
      <c r="DS151" s="60"/>
      <c r="DT151" s="60"/>
      <c r="DU151" s="60"/>
      <c r="DV151" s="60"/>
      <c r="DW151" s="60"/>
      <c r="DX151" s="60"/>
      <c r="DY151" s="60"/>
      <c r="DZ151" s="60"/>
      <c r="EA151" s="60"/>
      <c r="EB151" s="60"/>
      <c r="EC151" s="60"/>
      <c r="ED151" s="60"/>
      <c r="EE151" s="60"/>
      <c r="EF151" s="60"/>
      <c r="EG151" s="60"/>
      <c r="EH151" s="60"/>
      <c r="EI151" s="60"/>
      <c r="EJ151" s="60"/>
      <c r="EK151" s="60"/>
      <c r="EL151" s="60"/>
      <c r="EM151" s="60"/>
      <c r="EN151" s="60"/>
      <c r="EO151" s="60"/>
      <c r="EP151" s="60"/>
      <c r="EQ151" s="60"/>
      <c r="ER151" s="60"/>
      <c r="ES151" s="60"/>
      <c r="ET151" s="60"/>
      <c r="EU151" s="60"/>
      <c r="EV151" s="60"/>
      <c r="EW151" s="60"/>
      <c r="EX151" s="60"/>
      <c r="EY151" s="60"/>
      <c r="EZ151" s="60"/>
      <c r="FA151" s="60"/>
      <c r="FB151" s="60"/>
      <c r="FC151" s="60"/>
      <c r="FD151" s="60"/>
      <c r="FE151" s="60"/>
      <c r="FF151" s="60"/>
      <c r="FG151" s="60"/>
      <c r="FH151" s="60"/>
      <c r="FI151" s="60"/>
      <c r="FJ151" s="60"/>
      <c r="FK151" s="60"/>
      <c r="FL151" s="60"/>
      <c r="FM151" s="60"/>
      <c r="FN151" s="60"/>
      <c r="FO151" s="60"/>
      <c r="FP151" s="60"/>
      <c r="FQ151" s="60"/>
      <c r="FR151" s="60"/>
      <c r="FS151" s="60"/>
      <c r="FT151" s="60"/>
      <c r="FU151" s="60"/>
      <c r="FV151" s="60"/>
      <c r="FW151" s="60"/>
      <c r="FX151" s="60"/>
      <c r="FY151" s="60"/>
      <c r="FZ151" s="60"/>
      <c r="GA151" s="60"/>
      <c r="GB151" s="60"/>
      <c r="GC151" s="60"/>
      <c r="GD151" s="60"/>
      <c r="GE151" s="60"/>
      <c r="GF151" s="60"/>
      <c r="GG151" s="60"/>
      <c r="GH151" s="60"/>
      <c r="GI151" s="60"/>
      <c r="GJ151" s="60"/>
      <c r="GK151" s="60"/>
      <c r="GL151" s="60"/>
      <c r="GM151" s="60"/>
      <c r="GN151" s="60"/>
      <c r="GO151" s="60"/>
      <c r="GP151" s="60"/>
      <c r="GQ151" s="60"/>
      <c r="GR151" s="60"/>
      <c r="GS151" s="60"/>
      <c r="GT151" s="60"/>
      <c r="GU151" s="60"/>
      <c r="GV151" s="60"/>
      <c r="GW151" s="60"/>
      <c r="GX151" s="60"/>
      <c r="GY151" s="60"/>
      <c r="GZ151" s="60"/>
      <c r="HA151" s="60"/>
      <c r="HB151" s="60"/>
      <c r="HC151" s="60"/>
      <c r="HD151" s="60"/>
      <c r="HE151" s="60"/>
      <c r="HF151" s="60"/>
      <c r="HG151" s="60"/>
      <c r="HH151" s="60"/>
      <c r="HI151" s="60"/>
      <c r="HJ151" s="60"/>
      <c r="HK151" s="60"/>
      <c r="HL151" s="60"/>
      <c r="HM151" s="60"/>
      <c r="HN151" s="60"/>
      <c r="HO151" s="60"/>
      <c r="HP151" s="60"/>
      <c r="HQ151" s="60"/>
      <c r="HR151" s="60"/>
      <c r="HS151" s="60"/>
      <c r="HT151" s="60"/>
      <c r="HU151" s="60"/>
      <c r="HV151" s="60"/>
      <c r="HW151" s="60"/>
      <c r="HX151" s="60"/>
      <c r="HY151" s="60"/>
      <c r="HZ151" s="60"/>
      <c r="IA151" s="60"/>
      <c r="IB151" s="60"/>
      <c r="IC151" s="60"/>
      <c r="ID151" s="60"/>
      <c r="IE151" s="60"/>
      <c r="IF151" s="60"/>
      <c r="IG151" s="60"/>
      <c r="IH151" s="60"/>
      <c r="II151" s="60"/>
      <c r="IJ151" s="60"/>
      <c r="IK151" s="60"/>
      <c r="IL151" s="60"/>
      <c r="IM151" s="60"/>
      <c r="IN151" s="60"/>
      <c r="IO151" s="60"/>
      <c r="IP151" s="60"/>
      <c r="IQ151" s="60"/>
      <c r="IR151" s="60"/>
      <c r="IS151" s="60"/>
      <c r="IT151" s="60"/>
      <c r="IU151" s="60"/>
      <c r="IV151" s="60"/>
      <c r="IW151" s="60"/>
      <c r="IX151" s="60"/>
      <c r="IY151" s="60"/>
      <c r="IZ151" s="60"/>
      <c r="JA151" s="60"/>
      <c r="JB151" s="60"/>
      <c r="JC151" s="60"/>
      <c r="JD151" s="60"/>
      <c r="JE151" s="60"/>
      <c r="JF151" s="60"/>
      <c r="JG151" s="60"/>
      <c r="JH151" s="60"/>
      <c r="JI151" s="60"/>
      <c r="JJ151" s="60"/>
      <c r="JK151" s="60"/>
      <c r="JL151" s="60"/>
      <c r="JM151" s="60"/>
      <c r="JN151" s="60"/>
      <c r="JO151" s="60"/>
      <c r="JP151" s="60"/>
      <c r="JQ151" s="60"/>
      <c r="JR151" s="60"/>
      <c r="JS151" s="60"/>
      <c r="JT151" s="60"/>
      <c r="JU151" s="60"/>
      <c r="JV151" s="60"/>
      <c r="JW151" s="60"/>
      <c r="JX151" s="60"/>
      <c r="JY151" s="60"/>
      <c r="JZ151" s="60"/>
      <c r="KA151" s="60"/>
      <c r="KB151" s="60"/>
      <c r="KC151" s="60"/>
      <c r="KD151" s="60"/>
      <c r="KE151" s="60"/>
      <c r="KF151" s="60"/>
      <c r="KG151" s="60"/>
      <c r="KH151" s="60"/>
      <c r="KI151" s="60"/>
      <c r="KJ151" s="60"/>
      <c r="KK151" s="60"/>
      <c r="KL151" s="60"/>
      <c r="KM151" s="60"/>
      <c r="KN151" s="60"/>
      <c r="KO151" s="60"/>
      <c r="KP151" s="60"/>
      <c r="KQ151" s="60"/>
      <c r="KR151" s="60"/>
      <c r="KS151" s="60"/>
      <c r="KT151" s="60"/>
      <c r="KU151" s="60"/>
      <c r="KV151" s="60"/>
      <c r="KW151" s="60"/>
      <c r="KX151" s="60"/>
      <c r="KY151" s="60"/>
      <c r="KZ151" s="60"/>
      <c r="LA151" s="60"/>
      <c r="LB151" s="60"/>
      <c r="LC151" s="60"/>
      <c r="LD151" s="60"/>
      <c r="LE151" s="60"/>
      <c r="LF151" s="60"/>
      <c r="LG151" s="60"/>
      <c r="LH151" s="60"/>
    </row>
    <row r="152" spans="1:320" s="146" customFormat="1" ht="47.25" thickBot="1" x14ac:dyDescent="0.3">
      <c r="A152" s="147"/>
      <c r="B152" s="353" t="s">
        <v>101</v>
      </c>
      <c r="C152" s="354"/>
      <c r="D152" s="354"/>
      <c r="E152" s="354"/>
      <c r="F152" s="354"/>
      <c r="G152" s="354"/>
      <c r="H152" s="355"/>
      <c r="T152" s="17"/>
      <c r="U152" s="17"/>
      <c r="V152" s="17"/>
      <c r="W152" s="17"/>
      <c r="X152" s="17"/>
      <c r="Y152" s="17"/>
      <c r="Z152" s="17"/>
      <c r="AA152" s="17"/>
      <c r="AB152" s="17"/>
      <c r="AC152" s="60"/>
      <c r="AD152" s="60"/>
      <c r="AE152" s="60"/>
      <c r="AF152" s="60"/>
      <c r="AG152" s="60"/>
      <c r="AH152" s="60"/>
      <c r="AI152" s="60"/>
      <c r="AJ152" s="60"/>
      <c r="AK152" s="60"/>
      <c r="AL152" s="60"/>
      <c r="AM152" s="60"/>
      <c r="AN152" s="60"/>
      <c r="AO152" s="60"/>
      <c r="AP152" s="60"/>
      <c r="AQ152" s="60"/>
      <c r="AR152" s="60"/>
      <c r="AS152" s="60"/>
      <c r="AT152" s="60"/>
      <c r="AU152" s="60"/>
      <c r="AV152" s="60"/>
      <c r="AW152" s="60"/>
      <c r="AX152" s="60"/>
      <c r="AY152" s="60"/>
      <c r="AZ152" s="60"/>
      <c r="BA152" s="60"/>
      <c r="BB152" s="60"/>
      <c r="BC152" s="60"/>
      <c r="BD152" s="60"/>
      <c r="BE152" s="60"/>
      <c r="BF152" s="60"/>
      <c r="BG152" s="60"/>
      <c r="BH152" s="60"/>
      <c r="BI152" s="60"/>
      <c r="BJ152" s="60"/>
      <c r="BK152" s="60"/>
      <c r="BL152" s="60"/>
      <c r="BM152" s="60"/>
      <c r="BN152" s="60"/>
      <c r="BO152" s="60"/>
      <c r="BP152" s="60"/>
      <c r="BQ152" s="60"/>
      <c r="BR152" s="60"/>
      <c r="BS152" s="60"/>
      <c r="BT152" s="60"/>
      <c r="BU152" s="60"/>
      <c r="BV152" s="60"/>
      <c r="BW152" s="60"/>
      <c r="BX152" s="60"/>
      <c r="BY152" s="60"/>
      <c r="BZ152" s="60"/>
      <c r="CA152" s="60"/>
      <c r="CB152" s="60"/>
      <c r="CC152" s="60"/>
      <c r="CD152" s="60"/>
      <c r="CE152" s="60"/>
      <c r="CF152" s="60"/>
      <c r="CG152" s="60"/>
      <c r="CH152" s="60"/>
      <c r="CI152" s="60"/>
      <c r="CJ152" s="60"/>
      <c r="CK152" s="60"/>
      <c r="CL152" s="60"/>
      <c r="CM152" s="60"/>
      <c r="CN152" s="60"/>
      <c r="CO152" s="60"/>
      <c r="CP152" s="60"/>
      <c r="CQ152" s="60"/>
      <c r="CR152" s="60"/>
      <c r="CS152" s="60"/>
      <c r="CT152" s="60"/>
      <c r="CU152" s="60"/>
      <c r="CV152" s="60"/>
      <c r="CW152" s="60"/>
      <c r="CX152" s="60"/>
      <c r="CY152" s="60"/>
      <c r="CZ152" s="60"/>
      <c r="DA152" s="60"/>
      <c r="DB152" s="60"/>
      <c r="DC152" s="60"/>
      <c r="DD152" s="60"/>
      <c r="DE152" s="60"/>
      <c r="DF152" s="60"/>
      <c r="DG152" s="60"/>
      <c r="DH152" s="60"/>
      <c r="DI152" s="60"/>
      <c r="DJ152" s="60"/>
      <c r="DK152" s="60"/>
      <c r="DL152" s="60"/>
      <c r="DM152" s="60"/>
      <c r="DN152" s="60"/>
      <c r="DO152" s="60"/>
      <c r="DP152" s="60"/>
      <c r="DQ152" s="60"/>
      <c r="DR152" s="60"/>
      <c r="DS152" s="60"/>
      <c r="DT152" s="60"/>
      <c r="DU152" s="60"/>
      <c r="DV152" s="60"/>
      <c r="DW152" s="60"/>
      <c r="DX152" s="60"/>
      <c r="DY152" s="60"/>
      <c r="DZ152" s="60"/>
      <c r="EA152" s="60"/>
      <c r="EB152" s="60"/>
      <c r="EC152" s="60"/>
      <c r="ED152" s="60"/>
      <c r="EE152" s="60"/>
      <c r="EF152" s="60"/>
      <c r="EG152" s="60"/>
      <c r="EH152" s="60"/>
      <c r="EI152" s="60"/>
      <c r="EJ152" s="60"/>
      <c r="EK152" s="60"/>
      <c r="EL152" s="60"/>
      <c r="EM152" s="60"/>
      <c r="EN152" s="60"/>
      <c r="EO152" s="60"/>
      <c r="EP152" s="60"/>
      <c r="EQ152" s="60"/>
      <c r="ER152" s="60"/>
      <c r="ES152" s="60"/>
      <c r="ET152" s="60"/>
      <c r="EU152" s="60"/>
      <c r="EV152" s="60"/>
      <c r="EW152" s="60"/>
      <c r="EX152" s="60"/>
      <c r="EY152" s="60"/>
      <c r="EZ152" s="60"/>
      <c r="FA152" s="60"/>
      <c r="FB152" s="60"/>
      <c r="FC152" s="60"/>
      <c r="FD152" s="60"/>
      <c r="FE152" s="60"/>
      <c r="FF152" s="60"/>
      <c r="FG152" s="60"/>
      <c r="FH152" s="60"/>
      <c r="FI152" s="60"/>
      <c r="FJ152" s="60"/>
      <c r="FK152" s="60"/>
      <c r="FL152" s="60"/>
      <c r="FM152" s="60"/>
      <c r="FN152" s="60"/>
      <c r="FO152" s="60"/>
      <c r="FP152" s="60"/>
      <c r="FQ152" s="60"/>
      <c r="FR152" s="60"/>
      <c r="FS152" s="60"/>
      <c r="FT152" s="60"/>
      <c r="FU152" s="60"/>
      <c r="FV152" s="60"/>
      <c r="FW152" s="60"/>
      <c r="FX152" s="60"/>
      <c r="FY152" s="60"/>
      <c r="FZ152" s="60"/>
      <c r="GA152" s="60"/>
      <c r="GB152" s="60"/>
      <c r="GC152" s="60"/>
      <c r="GD152" s="60"/>
      <c r="GE152" s="60"/>
      <c r="GF152" s="60"/>
      <c r="GG152" s="60"/>
      <c r="GH152" s="60"/>
      <c r="GI152" s="60"/>
      <c r="GJ152" s="60"/>
      <c r="GK152" s="60"/>
      <c r="GL152" s="60"/>
      <c r="GM152" s="60"/>
      <c r="GN152" s="60"/>
      <c r="GO152" s="60"/>
      <c r="GP152" s="60"/>
      <c r="GQ152" s="60"/>
      <c r="GR152" s="60"/>
      <c r="GS152" s="60"/>
      <c r="GT152" s="60"/>
      <c r="GU152" s="60"/>
      <c r="GV152" s="60"/>
      <c r="GW152" s="60"/>
      <c r="GX152" s="60"/>
      <c r="GY152" s="60"/>
      <c r="GZ152" s="60"/>
      <c r="HA152" s="60"/>
      <c r="HB152" s="60"/>
      <c r="HC152" s="60"/>
      <c r="HD152" s="60"/>
      <c r="HE152" s="60"/>
      <c r="HF152" s="60"/>
      <c r="HG152" s="60"/>
      <c r="HH152" s="60"/>
      <c r="HI152" s="60"/>
      <c r="HJ152" s="60"/>
      <c r="HK152" s="60"/>
      <c r="HL152" s="60"/>
      <c r="HM152" s="60"/>
      <c r="HN152" s="60"/>
      <c r="HO152" s="60"/>
      <c r="HP152" s="60"/>
      <c r="HQ152" s="60"/>
      <c r="HR152" s="60"/>
      <c r="HS152" s="60"/>
      <c r="HT152" s="60"/>
      <c r="HU152" s="60"/>
      <c r="HV152" s="60"/>
      <c r="HW152" s="60"/>
      <c r="HX152" s="60"/>
      <c r="HY152" s="60"/>
      <c r="HZ152" s="60"/>
      <c r="IA152" s="60"/>
      <c r="IB152" s="60"/>
      <c r="IC152" s="60"/>
      <c r="ID152" s="60"/>
      <c r="IE152" s="60"/>
      <c r="IF152" s="60"/>
      <c r="IG152" s="60"/>
      <c r="IH152" s="60"/>
      <c r="II152" s="60"/>
      <c r="IJ152" s="60"/>
      <c r="IK152" s="60"/>
      <c r="IL152" s="60"/>
      <c r="IM152" s="60"/>
      <c r="IN152" s="60"/>
      <c r="IO152" s="60"/>
      <c r="IP152" s="60"/>
      <c r="IQ152" s="60"/>
      <c r="IR152" s="60"/>
      <c r="IS152" s="60"/>
      <c r="IT152" s="60"/>
      <c r="IU152" s="60"/>
      <c r="IV152" s="60"/>
      <c r="IW152" s="60"/>
      <c r="IX152" s="60"/>
      <c r="IY152" s="60"/>
      <c r="IZ152" s="60"/>
      <c r="JA152" s="60"/>
      <c r="JB152" s="60"/>
      <c r="JC152" s="60"/>
      <c r="JD152" s="60"/>
      <c r="JE152" s="60"/>
      <c r="JF152" s="60"/>
      <c r="JG152" s="60"/>
      <c r="JH152" s="60"/>
      <c r="JI152" s="60"/>
      <c r="JJ152" s="60"/>
      <c r="JK152" s="60"/>
      <c r="JL152" s="60"/>
      <c r="JM152" s="60"/>
      <c r="JN152" s="60"/>
      <c r="JO152" s="60"/>
      <c r="JP152" s="60"/>
      <c r="JQ152" s="60"/>
      <c r="JR152" s="60"/>
      <c r="JS152" s="60"/>
      <c r="JT152" s="60"/>
      <c r="JU152" s="60"/>
      <c r="JV152" s="60"/>
      <c r="JW152" s="60"/>
      <c r="JX152" s="60"/>
      <c r="JY152" s="60"/>
      <c r="JZ152" s="60"/>
      <c r="KA152" s="60"/>
      <c r="KB152" s="60"/>
      <c r="KC152" s="60"/>
      <c r="KD152" s="60"/>
      <c r="KE152" s="60"/>
      <c r="KF152" s="60"/>
      <c r="KG152" s="60"/>
      <c r="KH152" s="60"/>
      <c r="KI152" s="60"/>
      <c r="KJ152" s="60"/>
      <c r="KK152" s="60"/>
      <c r="KL152" s="60"/>
      <c r="KM152" s="60"/>
      <c r="KN152" s="60"/>
      <c r="KO152" s="60"/>
      <c r="KP152" s="60"/>
      <c r="KQ152" s="60"/>
      <c r="KR152" s="60"/>
      <c r="KS152" s="60"/>
      <c r="KT152" s="60"/>
      <c r="KU152" s="60"/>
      <c r="KV152" s="60"/>
      <c r="KW152" s="60"/>
      <c r="KX152" s="60"/>
      <c r="KY152" s="60"/>
      <c r="KZ152" s="60"/>
      <c r="LA152" s="60"/>
      <c r="LB152" s="60"/>
      <c r="LC152" s="60"/>
      <c r="LD152" s="60"/>
      <c r="LE152" s="60"/>
      <c r="LF152" s="60"/>
      <c r="LG152" s="60"/>
      <c r="LH152" s="60"/>
    </row>
    <row r="154" spans="1:320" s="146" customFormat="1" ht="61.5" customHeight="1" x14ac:dyDescent="0.25">
      <c r="A154" s="147"/>
      <c r="C154" s="154"/>
      <c r="D154" s="154"/>
      <c r="E154" s="154"/>
      <c r="G154" s="153"/>
      <c r="H154" s="152"/>
      <c r="I154" s="151" t="str">
        <f>IF(AND(F7&lt;5,F7&gt;=3),"Minimum volume for 8 cycles of a Peggy/Sally/NanoPro run is 5µL",IF(F7&lt;5,"Minimum sample volume for a Jess run is 3µL"," "))</f>
        <v xml:space="preserve"> </v>
      </c>
      <c r="J154" s="150"/>
      <c r="K154" s="150"/>
      <c r="L154" s="149"/>
      <c r="M154" s="149"/>
      <c r="N154" s="149"/>
      <c r="O154" s="149"/>
      <c r="P154" s="149"/>
      <c r="T154" s="17"/>
      <c r="U154" s="17"/>
      <c r="V154" s="17"/>
      <c r="W154" s="17"/>
      <c r="X154" s="17"/>
      <c r="Y154" s="17"/>
      <c r="Z154" s="17"/>
      <c r="AA154" s="17"/>
      <c r="AB154" s="17"/>
      <c r="AC154" s="60"/>
      <c r="AD154" s="60"/>
      <c r="AE154" s="60"/>
      <c r="AF154" s="60"/>
      <c r="AG154" s="60"/>
      <c r="AH154" s="60"/>
      <c r="AI154" s="60"/>
      <c r="AJ154" s="60"/>
      <c r="AK154" s="60"/>
      <c r="AL154" s="60"/>
      <c r="AM154" s="60"/>
      <c r="AN154" s="60"/>
      <c r="AO154" s="60"/>
      <c r="AP154" s="60"/>
      <c r="AQ154" s="60"/>
      <c r="AR154" s="60"/>
      <c r="AS154" s="60"/>
      <c r="AT154" s="60"/>
      <c r="AU154" s="60"/>
      <c r="AV154" s="60"/>
      <c r="AW154" s="60"/>
      <c r="AX154" s="60"/>
      <c r="AY154" s="60"/>
      <c r="AZ154" s="60"/>
      <c r="BA154" s="60"/>
      <c r="BB154" s="60"/>
      <c r="BC154" s="60"/>
      <c r="BD154" s="60"/>
      <c r="BE154" s="60"/>
      <c r="BF154" s="60"/>
      <c r="BG154" s="60"/>
      <c r="BH154" s="60"/>
      <c r="BI154" s="60"/>
      <c r="BJ154" s="60"/>
      <c r="BK154" s="60"/>
      <c r="BL154" s="60"/>
      <c r="BM154" s="60"/>
      <c r="BN154" s="60"/>
      <c r="BO154" s="60"/>
      <c r="BP154" s="60"/>
      <c r="BQ154" s="60"/>
      <c r="BR154" s="60"/>
      <c r="BS154" s="60"/>
      <c r="BT154" s="60"/>
      <c r="BU154" s="60"/>
      <c r="BV154" s="60"/>
      <c r="BW154" s="60"/>
      <c r="BX154" s="60"/>
      <c r="BY154" s="60"/>
      <c r="BZ154" s="60"/>
      <c r="CA154" s="60"/>
      <c r="CB154" s="60"/>
      <c r="CC154" s="60"/>
      <c r="CD154" s="60"/>
      <c r="CE154" s="60"/>
      <c r="CF154" s="60"/>
      <c r="CG154" s="60"/>
      <c r="CH154" s="60"/>
      <c r="CI154" s="60"/>
      <c r="CJ154" s="60"/>
      <c r="CK154" s="60"/>
      <c r="CL154" s="60"/>
      <c r="CM154" s="60"/>
      <c r="CN154" s="60"/>
      <c r="CO154" s="60"/>
      <c r="CP154" s="60"/>
      <c r="CQ154" s="60"/>
      <c r="CR154" s="60"/>
      <c r="CS154" s="60"/>
      <c r="CT154" s="60"/>
      <c r="CU154" s="60"/>
      <c r="CV154" s="60"/>
      <c r="CW154" s="60"/>
      <c r="CX154" s="60"/>
      <c r="CY154" s="60"/>
      <c r="CZ154" s="60"/>
      <c r="DA154" s="60"/>
      <c r="DB154" s="60"/>
      <c r="DC154" s="60"/>
      <c r="DD154" s="60"/>
      <c r="DE154" s="60"/>
      <c r="DF154" s="60"/>
      <c r="DG154" s="60"/>
      <c r="DH154" s="60"/>
      <c r="DI154" s="60"/>
      <c r="DJ154" s="60"/>
      <c r="DK154" s="60"/>
      <c r="DL154" s="60"/>
      <c r="DM154" s="60"/>
      <c r="DN154" s="60"/>
      <c r="DO154" s="60"/>
      <c r="DP154" s="60"/>
      <c r="DQ154" s="60"/>
      <c r="DR154" s="60"/>
      <c r="DS154" s="60"/>
      <c r="DT154" s="60"/>
      <c r="DU154" s="60"/>
      <c r="DV154" s="60"/>
      <c r="DW154" s="60"/>
      <c r="DX154" s="60"/>
      <c r="DY154" s="60"/>
      <c r="DZ154" s="60"/>
      <c r="EA154" s="60"/>
      <c r="EB154" s="60"/>
      <c r="EC154" s="60"/>
      <c r="ED154" s="60"/>
      <c r="EE154" s="60"/>
      <c r="EF154" s="60"/>
      <c r="EG154" s="60"/>
      <c r="EH154" s="60"/>
      <c r="EI154" s="60"/>
      <c r="EJ154" s="60"/>
      <c r="EK154" s="60"/>
      <c r="EL154" s="60"/>
      <c r="EM154" s="60"/>
      <c r="EN154" s="60"/>
      <c r="EO154" s="60"/>
      <c r="EP154" s="60"/>
      <c r="EQ154" s="60"/>
      <c r="ER154" s="60"/>
      <c r="ES154" s="60"/>
      <c r="ET154" s="60"/>
      <c r="EU154" s="60"/>
      <c r="EV154" s="60"/>
      <c r="EW154" s="60"/>
      <c r="EX154" s="60"/>
      <c r="EY154" s="60"/>
      <c r="EZ154" s="60"/>
      <c r="FA154" s="60"/>
      <c r="FB154" s="60"/>
      <c r="FC154" s="60"/>
      <c r="FD154" s="60"/>
      <c r="FE154" s="60"/>
      <c r="FF154" s="60"/>
      <c r="FG154" s="60"/>
      <c r="FH154" s="60"/>
      <c r="FI154" s="60"/>
      <c r="FJ154" s="60"/>
      <c r="FK154" s="60"/>
      <c r="FL154" s="60"/>
      <c r="FM154" s="60"/>
      <c r="FN154" s="60"/>
      <c r="FO154" s="60"/>
      <c r="FP154" s="60"/>
      <c r="FQ154" s="60"/>
      <c r="FR154" s="60"/>
      <c r="FS154" s="60"/>
      <c r="FT154" s="60"/>
      <c r="FU154" s="60"/>
      <c r="FV154" s="60"/>
      <c r="FW154" s="60"/>
      <c r="FX154" s="60"/>
      <c r="FY154" s="60"/>
      <c r="FZ154" s="60"/>
      <c r="GA154" s="60"/>
      <c r="GB154" s="60"/>
      <c r="GC154" s="60"/>
      <c r="GD154" s="60"/>
      <c r="GE154" s="60"/>
      <c r="GF154" s="60"/>
      <c r="GG154" s="60"/>
      <c r="GH154" s="60"/>
      <c r="GI154" s="60"/>
      <c r="GJ154" s="60"/>
      <c r="GK154" s="60"/>
      <c r="GL154" s="60"/>
      <c r="GM154" s="60"/>
      <c r="GN154" s="60"/>
      <c r="GO154" s="60"/>
      <c r="GP154" s="60"/>
      <c r="GQ154" s="60"/>
      <c r="GR154" s="60"/>
      <c r="GS154" s="60"/>
      <c r="GT154" s="60"/>
      <c r="GU154" s="60"/>
      <c r="GV154" s="60"/>
      <c r="GW154" s="60"/>
      <c r="GX154" s="60"/>
      <c r="GY154" s="60"/>
      <c r="GZ154" s="60"/>
      <c r="HA154" s="60"/>
      <c r="HB154" s="60"/>
      <c r="HC154" s="60"/>
      <c r="HD154" s="60"/>
      <c r="HE154" s="60"/>
      <c r="HF154" s="60"/>
      <c r="HG154" s="60"/>
      <c r="HH154" s="60"/>
      <c r="HI154" s="60"/>
      <c r="HJ154" s="60"/>
      <c r="HK154" s="60"/>
      <c r="HL154" s="60"/>
      <c r="HM154" s="60"/>
      <c r="HN154" s="60"/>
      <c r="HO154" s="60"/>
      <c r="HP154" s="60"/>
      <c r="HQ154" s="60"/>
      <c r="HR154" s="60"/>
      <c r="HS154" s="60"/>
      <c r="HT154" s="60"/>
      <c r="HU154" s="60"/>
      <c r="HV154" s="60"/>
      <c r="HW154" s="60"/>
      <c r="HX154" s="60"/>
      <c r="HY154" s="60"/>
      <c r="HZ154" s="60"/>
      <c r="IA154" s="60"/>
      <c r="IB154" s="60"/>
      <c r="IC154" s="60"/>
      <c r="ID154" s="60"/>
      <c r="IE154" s="60"/>
      <c r="IF154" s="60"/>
      <c r="IG154" s="60"/>
      <c r="IH154" s="60"/>
      <c r="II154" s="60"/>
      <c r="IJ154" s="60"/>
      <c r="IK154" s="60"/>
      <c r="IL154" s="60"/>
      <c r="IM154" s="60"/>
      <c r="IN154" s="60"/>
      <c r="IO154" s="60"/>
      <c r="IP154" s="60"/>
      <c r="IQ154" s="60"/>
      <c r="IR154" s="60"/>
      <c r="IS154" s="60"/>
      <c r="IT154" s="60"/>
      <c r="IU154" s="60"/>
      <c r="IV154" s="60"/>
      <c r="IW154" s="60"/>
      <c r="IX154" s="60"/>
      <c r="IY154" s="60"/>
      <c r="IZ154" s="60"/>
      <c r="JA154" s="60"/>
      <c r="JB154" s="60"/>
      <c r="JC154" s="60"/>
      <c r="JD154" s="60"/>
      <c r="JE154" s="60"/>
      <c r="JF154" s="60"/>
      <c r="JG154" s="60"/>
      <c r="JH154" s="60"/>
      <c r="JI154" s="60"/>
      <c r="JJ154" s="60"/>
      <c r="JK154" s="60"/>
      <c r="JL154" s="60"/>
      <c r="JM154" s="60"/>
      <c r="JN154" s="60"/>
      <c r="JO154" s="60"/>
      <c r="JP154" s="60"/>
      <c r="JQ154" s="60"/>
      <c r="JR154" s="60"/>
      <c r="JS154" s="60"/>
      <c r="JT154" s="60"/>
      <c r="JU154" s="60"/>
      <c r="JV154" s="60"/>
      <c r="JW154" s="60"/>
      <c r="JX154" s="60"/>
      <c r="JY154" s="60"/>
      <c r="JZ154" s="60"/>
      <c r="KA154" s="60"/>
      <c r="KB154" s="60"/>
      <c r="KC154" s="60"/>
      <c r="KD154" s="60"/>
      <c r="KE154" s="60"/>
      <c r="KF154" s="60"/>
      <c r="KG154" s="60"/>
      <c r="KH154" s="60"/>
      <c r="KI154" s="60"/>
      <c r="KJ154" s="60"/>
      <c r="KK154" s="60"/>
      <c r="KL154" s="60"/>
      <c r="KM154" s="60"/>
      <c r="KN154" s="60"/>
      <c r="KO154" s="60"/>
      <c r="KP154" s="60"/>
      <c r="KQ154" s="60"/>
      <c r="KR154" s="60"/>
      <c r="KS154" s="60"/>
      <c r="KT154" s="60"/>
      <c r="KU154" s="60"/>
      <c r="KV154" s="60"/>
      <c r="KW154" s="60"/>
      <c r="KX154" s="60"/>
      <c r="KY154" s="60"/>
      <c r="KZ154" s="60"/>
      <c r="LA154" s="60"/>
      <c r="LB154" s="60"/>
      <c r="LC154" s="60"/>
      <c r="LD154" s="60"/>
      <c r="LE154" s="60"/>
      <c r="LF154" s="60"/>
      <c r="LG154" s="60"/>
      <c r="LH154" s="60"/>
    </row>
    <row r="155" spans="1:320" s="146" customFormat="1" x14ac:dyDescent="0.25">
      <c r="A155" s="147"/>
      <c r="B155" s="1"/>
      <c r="C155" s="1"/>
      <c r="D155" s="1"/>
      <c r="E155" s="1"/>
      <c r="F155" s="1"/>
      <c r="G155" s="1"/>
      <c r="H155" s="1"/>
      <c r="T155" s="17"/>
      <c r="U155" s="17"/>
      <c r="V155" s="17"/>
      <c r="W155" s="17"/>
      <c r="X155" s="17"/>
      <c r="Y155" s="17"/>
      <c r="Z155" s="17"/>
      <c r="AA155" s="17"/>
      <c r="AB155" s="17"/>
      <c r="AC155" s="60"/>
      <c r="AD155" s="60"/>
      <c r="AE155" s="60"/>
      <c r="AF155" s="60"/>
      <c r="AG155" s="60"/>
      <c r="AH155" s="60"/>
      <c r="AI155" s="60"/>
      <c r="AJ155" s="60"/>
      <c r="AK155" s="60"/>
      <c r="AL155" s="60"/>
      <c r="AM155" s="60"/>
      <c r="AN155" s="60"/>
      <c r="AO155" s="60"/>
      <c r="AP155" s="60"/>
      <c r="AQ155" s="60"/>
      <c r="AR155" s="60"/>
      <c r="AS155" s="60"/>
      <c r="AT155" s="60"/>
      <c r="AU155" s="60"/>
      <c r="AV155" s="60"/>
      <c r="AW155" s="60"/>
      <c r="AX155" s="60"/>
      <c r="AY155" s="60"/>
      <c r="AZ155" s="60"/>
      <c r="BA155" s="60"/>
      <c r="BB155" s="60"/>
      <c r="BC155" s="60"/>
      <c r="BD155" s="60"/>
      <c r="BE155" s="60"/>
      <c r="BF155" s="60"/>
      <c r="BG155" s="60"/>
      <c r="BH155" s="60"/>
      <c r="BI155" s="60"/>
      <c r="BJ155" s="60"/>
      <c r="BK155" s="60"/>
      <c r="BL155" s="60"/>
      <c r="BM155" s="60"/>
      <c r="BN155" s="60"/>
      <c r="BO155" s="60"/>
      <c r="BP155" s="60"/>
      <c r="BQ155" s="60"/>
      <c r="BR155" s="60"/>
      <c r="BS155" s="60"/>
      <c r="BT155" s="60"/>
      <c r="BU155" s="60"/>
      <c r="BV155" s="60"/>
      <c r="BW155" s="60"/>
      <c r="BX155" s="60"/>
      <c r="BY155" s="60"/>
      <c r="BZ155" s="60"/>
      <c r="CA155" s="60"/>
      <c r="CB155" s="60"/>
      <c r="CC155" s="60"/>
      <c r="CD155" s="60"/>
      <c r="CE155" s="60"/>
      <c r="CF155" s="60"/>
      <c r="CG155" s="60"/>
      <c r="CH155" s="60"/>
      <c r="CI155" s="60"/>
      <c r="CJ155" s="60"/>
      <c r="CK155" s="60"/>
      <c r="CL155" s="60"/>
      <c r="CM155" s="60"/>
      <c r="CN155" s="60"/>
      <c r="CO155" s="60"/>
      <c r="CP155" s="60"/>
      <c r="CQ155" s="60"/>
      <c r="CR155" s="60"/>
      <c r="CS155" s="60"/>
      <c r="CT155" s="60"/>
      <c r="CU155" s="60"/>
      <c r="CV155" s="60"/>
      <c r="CW155" s="60"/>
      <c r="CX155" s="60"/>
      <c r="CY155" s="60"/>
      <c r="CZ155" s="60"/>
      <c r="DA155" s="60"/>
      <c r="DB155" s="60"/>
      <c r="DC155" s="60"/>
      <c r="DD155" s="60"/>
      <c r="DE155" s="60"/>
      <c r="DF155" s="60"/>
      <c r="DG155" s="60"/>
      <c r="DH155" s="60"/>
      <c r="DI155" s="60"/>
      <c r="DJ155" s="60"/>
      <c r="DK155" s="60"/>
      <c r="DL155" s="60"/>
      <c r="DM155" s="60"/>
      <c r="DN155" s="60"/>
      <c r="DO155" s="60"/>
      <c r="DP155" s="60"/>
      <c r="DQ155" s="60"/>
      <c r="DR155" s="60"/>
      <c r="DS155" s="60"/>
      <c r="DT155" s="60"/>
      <c r="DU155" s="60"/>
      <c r="DV155" s="60"/>
      <c r="DW155" s="60"/>
      <c r="DX155" s="60"/>
      <c r="DY155" s="60"/>
      <c r="DZ155" s="60"/>
      <c r="EA155" s="60"/>
      <c r="EB155" s="60"/>
      <c r="EC155" s="60"/>
      <c r="ED155" s="60"/>
      <c r="EE155" s="60"/>
      <c r="EF155" s="60"/>
      <c r="EG155" s="60"/>
      <c r="EH155" s="60"/>
      <c r="EI155" s="60"/>
      <c r="EJ155" s="60"/>
      <c r="EK155" s="60"/>
      <c r="EL155" s="60"/>
      <c r="EM155" s="60"/>
      <c r="EN155" s="60"/>
      <c r="EO155" s="60"/>
      <c r="EP155" s="60"/>
      <c r="EQ155" s="60"/>
      <c r="ER155" s="60"/>
      <c r="ES155" s="60"/>
      <c r="ET155" s="60"/>
      <c r="EU155" s="60"/>
      <c r="EV155" s="60"/>
      <c r="EW155" s="60"/>
      <c r="EX155" s="60"/>
      <c r="EY155" s="60"/>
      <c r="EZ155" s="60"/>
      <c r="FA155" s="60"/>
      <c r="FB155" s="60"/>
      <c r="FC155" s="60"/>
      <c r="FD155" s="60"/>
      <c r="FE155" s="60"/>
      <c r="FF155" s="60"/>
      <c r="FG155" s="60"/>
      <c r="FH155" s="60"/>
      <c r="FI155" s="60"/>
      <c r="FJ155" s="60"/>
      <c r="FK155" s="60"/>
      <c r="FL155" s="60"/>
      <c r="FM155" s="60"/>
      <c r="FN155" s="60"/>
      <c r="FO155" s="60"/>
      <c r="FP155" s="60"/>
      <c r="FQ155" s="60"/>
      <c r="FR155" s="60"/>
      <c r="FS155" s="60"/>
      <c r="FT155" s="60"/>
      <c r="FU155" s="60"/>
      <c r="FV155" s="60"/>
      <c r="FW155" s="60"/>
      <c r="FX155" s="60"/>
      <c r="FY155" s="60"/>
      <c r="FZ155" s="60"/>
      <c r="GA155" s="60"/>
      <c r="GB155" s="60"/>
      <c r="GC155" s="60"/>
      <c r="GD155" s="60"/>
      <c r="GE155" s="60"/>
      <c r="GF155" s="60"/>
      <c r="GG155" s="60"/>
      <c r="GH155" s="60"/>
      <c r="GI155" s="60"/>
      <c r="GJ155" s="60"/>
      <c r="GK155" s="60"/>
      <c r="GL155" s="60"/>
      <c r="GM155" s="60"/>
      <c r="GN155" s="60"/>
      <c r="GO155" s="60"/>
      <c r="GP155" s="60"/>
      <c r="GQ155" s="60"/>
      <c r="GR155" s="60"/>
      <c r="GS155" s="60"/>
      <c r="GT155" s="60"/>
      <c r="GU155" s="60"/>
      <c r="GV155" s="60"/>
      <c r="GW155" s="60"/>
      <c r="GX155" s="60"/>
      <c r="GY155" s="60"/>
      <c r="GZ155" s="60"/>
      <c r="HA155" s="60"/>
      <c r="HB155" s="60"/>
      <c r="HC155" s="60"/>
      <c r="HD155" s="60"/>
      <c r="HE155" s="60"/>
      <c r="HF155" s="60"/>
      <c r="HG155" s="60"/>
      <c r="HH155" s="60"/>
      <c r="HI155" s="60"/>
      <c r="HJ155" s="60"/>
      <c r="HK155" s="60"/>
      <c r="HL155" s="60"/>
      <c r="HM155" s="60"/>
      <c r="HN155" s="60"/>
      <c r="HO155" s="60"/>
      <c r="HP155" s="60"/>
      <c r="HQ155" s="60"/>
      <c r="HR155" s="60"/>
      <c r="HS155" s="60"/>
      <c r="HT155" s="60"/>
      <c r="HU155" s="60"/>
      <c r="HV155" s="60"/>
      <c r="HW155" s="60"/>
      <c r="HX155" s="60"/>
      <c r="HY155" s="60"/>
      <c r="HZ155" s="60"/>
      <c r="IA155" s="60"/>
      <c r="IB155" s="60"/>
      <c r="IC155" s="60"/>
      <c r="ID155" s="60"/>
      <c r="IE155" s="60"/>
      <c r="IF155" s="60"/>
      <c r="IG155" s="60"/>
      <c r="IH155" s="60"/>
      <c r="II155" s="60"/>
      <c r="IJ155" s="60"/>
      <c r="IK155" s="60"/>
      <c r="IL155" s="60"/>
      <c r="IM155" s="60"/>
      <c r="IN155" s="60"/>
      <c r="IO155" s="60"/>
      <c r="IP155" s="60"/>
      <c r="IQ155" s="60"/>
      <c r="IR155" s="60"/>
      <c r="IS155" s="60"/>
      <c r="IT155" s="60"/>
      <c r="IU155" s="60"/>
      <c r="IV155" s="60"/>
      <c r="IW155" s="60"/>
      <c r="IX155" s="60"/>
      <c r="IY155" s="60"/>
      <c r="IZ155" s="60"/>
      <c r="JA155" s="60"/>
      <c r="JB155" s="60"/>
      <c r="JC155" s="60"/>
      <c r="JD155" s="60"/>
      <c r="JE155" s="60"/>
      <c r="JF155" s="60"/>
      <c r="JG155" s="60"/>
      <c r="JH155" s="60"/>
      <c r="JI155" s="60"/>
      <c r="JJ155" s="60"/>
      <c r="JK155" s="60"/>
      <c r="JL155" s="60"/>
      <c r="JM155" s="60"/>
      <c r="JN155" s="60"/>
      <c r="JO155" s="60"/>
      <c r="JP155" s="60"/>
      <c r="JQ155" s="60"/>
      <c r="JR155" s="60"/>
      <c r="JS155" s="60"/>
      <c r="JT155" s="60"/>
      <c r="JU155" s="60"/>
      <c r="JV155" s="60"/>
      <c r="JW155" s="60"/>
      <c r="JX155" s="60"/>
      <c r="JY155" s="60"/>
      <c r="JZ155" s="60"/>
      <c r="KA155" s="60"/>
      <c r="KB155" s="60"/>
      <c r="KC155" s="60"/>
      <c r="KD155" s="60"/>
      <c r="KE155" s="60"/>
      <c r="KF155" s="60"/>
      <c r="KG155" s="60"/>
      <c r="KH155" s="60"/>
      <c r="KI155" s="60"/>
      <c r="KJ155" s="60"/>
      <c r="KK155" s="60"/>
      <c r="KL155" s="60"/>
      <c r="KM155" s="60"/>
      <c r="KN155" s="60"/>
      <c r="KO155" s="60"/>
      <c r="KP155" s="60"/>
      <c r="KQ155" s="60"/>
      <c r="KR155" s="60"/>
      <c r="KS155" s="60"/>
      <c r="KT155" s="60"/>
      <c r="KU155" s="60"/>
      <c r="KV155" s="60"/>
      <c r="KW155" s="60"/>
      <c r="KX155" s="60"/>
      <c r="KY155" s="60"/>
      <c r="KZ155" s="60"/>
      <c r="LA155" s="60"/>
      <c r="LB155" s="60"/>
      <c r="LC155" s="60"/>
      <c r="LD155" s="60"/>
      <c r="LE155" s="60"/>
      <c r="LF155" s="60"/>
      <c r="LG155" s="60"/>
      <c r="LH155" s="60"/>
    </row>
    <row r="187" spans="1:320" s="146" customFormat="1" ht="23.25" x14ac:dyDescent="0.25">
      <c r="A187" s="147"/>
      <c r="B187" s="346" t="s">
        <v>100</v>
      </c>
      <c r="C187" s="346"/>
      <c r="D187" s="346"/>
      <c r="E187" s="346"/>
      <c r="F187" s="347" t="e">
        <f>IF(#REF!="No Master Mix",1,1-(1/#REF!))</f>
        <v>#REF!</v>
      </c>
      <c r="G187" s="347"/>
      <c r="H187" s="347"/>
      <c r="T187" s="17"/>
      <c r="U187" s="17"/>
      <c r="V187" s="17"/>
      <c r="W187" s="17"/>
      <c r="X187" s="17"/>
      <c r="Y187" s="17"/>
      <c r="Z187" s="17"/>
      <c r="AA187" s="17"/>
      <c r="AB187" s="17"/>
      <c r="AC187" s="60"/>
      <c r="AD187" s="60"/>
      <c r="AE187" s="60"/>
      <c r="AF187" s="60"/>
      <c r="AG187" s="60"/>
      <c r="AH187" s="60"/>
      <c r="AI187" s="60"/>
      <c r="AJ187" s="60"/>
      <c r="AK187" s="60"/>
      <c r="AL187" s="60"/>
      <c r="AM187" s="60"/>
      <c r="AN187" s="60"/>
      <c r="AO187" s="60"/>
      <c r="AP187" s="60"/>
      <c r="AQ187" s="60"/>
      <c r="AR187" s="60"/>
      <c r="AS187" s="60"/>
      <c r="AT187" s="60"/>
      <c r="AU187" s="60"/>
      <c r="AV187" s="60"/>
      <c r="AW187" s="60"/>
      <c r="AX187" s="60"/>
      <c r="AY187" s="60"/>
      <c r="AZ187" s="60"/>
      <c r="BA187" s="60"/>
      <c r="BB187" s="60"/>
      <c r="BC187" s="60"/>
      <c r="BD187" s="60"/>
      <c r="BE187" s="60"/>
      <c r="BF187" s="60"/>
      <c r="BG187" s="60"/>
      <c r="BH187" s="60"/>
      <c r="BI187" s="60"/>
      <c r="BJ187" s="60"/>
      <c r="BK187" s="60"/>
      <c r="BL187" s="60"/>
      <c r="BM187" s="60"/>
      <c r="BN187" s="60"/>
      <c r="BO187" s="60"/>
      <c r="BP187" s="60"/>
      <c r="BQ187" s="60"/>
      <c r="BR187" s="60"/>
      <c r="BS187" s="60"/>
      <c r="BT187" s="60"/>
      <c r="BU187" s="60"/>
      <c r="BV187" s="60"/>
      <c r="BW187" s="60"/>
      <c r="BX187" s="60"/>
      <c r="BY187" s="60"/>
      <c r="BZ187" s="60"/>
      <c r="CA187" s="60"/>
      <c r="CB187" s="60"/>
      <c r="CC187" s="60"/>
      <c r="CD187" s="60"/>
      <c r="CE187" s="60"/>
      <c r="CF187" s="60"/>
      <c r="CG187" s="60"/>
      <c r="CH187" s="60"/>
      <c r="CI187" s="60"/>
      <c r="CJ187" s="60"/>
      <c r="CK187" s="60"/>
      <c r="CL187" s="60"/>
      <c r="CM187" s="60"/>
      <c r="CN187" s="60"/>
      <c r="CO187" s="60"/>
      <c r="CP187" s="60"/>
      <c r="CQ187" s="60"/>
      <c r="CR187" s="60"/>
      <c r="CS187" s="60"/>
      <c r="CT187" s="60"/>
      <c r="CU187" s="60"/>
      <c r="CV187" s="60"/>
      <c r="CW187" s="60"/>
      <c r="CX187" s="60"/>
      <c r="CY187" s="60"/>
      <c r="CZ187" s="60"/>
      <c r="DA187" s="60"/>
      <c r="DB187" s="60"/>
      <c r="DC187" s="60"/>
      <c r="DD187" s="60"/>
      <c r="DE187" s="60"/>
      <c r="DF187" s="60"/>
      <c r="DG187" s="60"/>
      <c r="DH187" s="60"/>
      <c r="DI187" s="60"/>
      <c r="DJ187" s="60"/>
      <c r="DK187" s="60"/>
      <c r="DL187" s="60"/>
      <c r="DM187" s="60"/>
      <c r="DN187" s="60"/>
      <c r="DO187" s="60"/>
      <c r="DP187" s="60"/>
      <c r="DQ187" s="60"/>
      <c r="DR187" s="60"/>
      <c r="DS187" s="60"/>
      <c r="DT187" s="60"/>
      <c r="DU187" s="60"/>
      <c r="DV187" s="60"/>
      <c r="DW187" s="60"/>
      <c r="DX187" s="60"/>
      <c r="DY187" s="60"/>
      <c r="DZ187" s="60"/>
      <c r="EA187" s="60"/>
      <c r="EB187" s="60"/>
      <c r="EC187" s="60"/>
      <c r="ED187" s="60"/>
      <c r="EE187" s="60"/>
      <c r="EF187" s="60"/>
      <c r="EG187" s="60"/>
      <c r="EH187" s="60"/>
      <c r="EI187" s="60"/>
      <c r="EJ187" s="60"/>
      <c r="EK187" s="60"/>
      <c r="EL187" s="60"/>
      <c r="EM187" s="60"/>
      <c r="EN187" s="60"/>
      <c r="EO187" s="60"/>
      <c r="EP187" s="60"/>
      <c r="EQ187" s="60"/>
      <c r="ER187" s="60"/>
      <c r="ES187" s="60"/>
      <c r="ET187" s="60"/>
      <c r="EU187" s="60"/>
      <c r="EV187" s="60"/>
      <c r="EW187" s="60"/>
      <c r="EX187" s="60"/>
      <c r="EY187" s="60"/>
      <c r="EZ187" s="60"/>
      <c r="FA187" s="60"/>
      <c r="FB187" s="60"/>
      <c r="FC187" s="60"/>
      <c r="FD187" s="60"/>
      <c r="FE187" s="60"/>
      <c r="FF187" s="60"/>
      <c r="FG187" s="60"/>
      <c r="FH187" s="60"/>
      <c r="FI187" s="60"/>
      <c r="FJ187" s="60"/>
      <c r="FK187" s="60"/>
      <c r="FL187" s="60"/>
      <c r="FM187" s="60"/>
      <c r="FN187" s="60"/>
      <c r="FO187" s="60"/>
      <c r="FP187" s="60"/>
      <c r="FQ187" s="60"/>
      <c r="FR187" s="60"/>
      <c r="FS187" s="60"/>
      <c r="FT187" s="60"/>
      <c r="FU187" s="60"/>
      <c r="FV187" s="60"/>
      <c r="FW187" s="60"/>
      <c r="FX187" s="60"/>
      <c r="FY187" s="60"/>
      <c r="FZ187" s="60"/>
      <c r="GA187" s="60"/>
      <c r="GB187" s="60"/>
      <c r="GC187" s="60"/>
      <c r="GD187" s="60"/>
      <c r="GE187" s="60"/>
      <c r="GF187" s="60"/>
      <c r="GG187" s="60"/>
      <c r="GH187" s="60"/>
      <c r="GI187" s="60"/>
      <c r="GJ187" s="60"/>
      <c r="GK187" s="60"/>
      <c r="GL187" s="60"/>
      <c r="GM187" s="60"/>
      <c r="GN187" s="60"/>
      <c r="GO187" s="60"/>
      <c r="GP187" s="60"/>
      <c r="GQ187" s="60"/>
      <c r="GR187" s="60"/>
      <c r="GS187" s="60"/>
      <c r="GT187" s="60"/>
      <c r="GU187" s="60"/>
      <c r="GV187" s="60"/>
      <c r="GW187" s="60"/>
      <c r="GX187" s="60"/>
      <c r="GY187" s="60"/>
      <c r="GZ187" s="60"/>
      <c r="HA187" s="60"/>
      <c r="HB187" s="60"/>
      <c r="HC187" s="60"/>
      <c r="HD187" s="60"/>
      <c r="HE187" s="60"/>
      <c r="HF187" s="60"/>
      <c r="HG187" s="60"/>
      <c r="HH187" s="60"/>
      <c r="HI187" s="60"/>
      <c r="HJ187" s="60"/>
      <c r="HK187" s="60"/>
      <c r="HL187" s="60"/>
      <c r="HM187" s="60"/>
      <c r="HN187" s="60"/>
      <c r="HO187" s="60"/>
      <c r="HP187" s="60"/>
      <c r="HQ187" s="60"/>
      <c r="HR187" s="60"/>
      <c r="HS187" s="60"/>
      <c r="HT187" s="60"/>
      <c r="HU187" s="60"/>
      <c r="HV187" s="60"/>
      <c r="HW187" s="60"/>
      <c r="HX187" s="60"/>
      <c r="HY187" s="60"/>
      <c r="HZ187" s="60"/>
      <c r="IA187" s="60"/>
      <c r="IB187" s="60"/>
      <c r="IC187" s="60"/>
      <c r="ID187" s="60"/>
      <c r="IE187" s="60"/>
      <c r="IF187" s="60"/>
      <c r="IG187" s="60"/>
      <c r="IH187" s="60"/>
      <c r="II187" s="60"/>
      <c r="IJ187" s="60"/>
      <c r="IK187" s="60"/>
      <c r="IL187" s="60"/>
      <c r="IM187" s="60"/>
      <c r="IN187" s="60"/>
      <c r="IO187" s="60"/>
      <c r="IP187" s="60"/>
      <c r="IQ187" s="60"/>
      <c r="IR187" s="60"/>
      <c r="IS187" s="60"/>
      <c r="IT187" s="60"/>
      <c r="IU187" s="60"/>
      <c r="IV187" s="60"/>
      <c r="IW187" s="60"/>
      <c r="IX187" s="60"/>
      <c r="IY187" s="60"/>
      <c r="IZ187" s="60"/>
      <c r="JA187" s="60"/>
      <c r="JB187" s="60"/>
      <c r="JC187" s="60"/>
      <c r="JD187" s="60"/>
      <c r="JE187" s="60"/>
      <c r="JF187" s="60"/>
      <c r="JG187" s="60"/>
      <c r="JH187" s="60"/>
      <c r="JI187" s="60"/>
      <c r="JJ187" s="60"/>
      <c r="JK187" s="60"/>
      <c r="JL187" s="60"/>
      <c r="JM187" s="60"/>
      <c r="JN187" s="60"/>
      <c r="JO187" s="60"/>
      <c r="JP187" s="60"/>
      <c r="JQ187" s="60"/>
      <c r="JR187" s="60"/>
      <c r="JS187" s="60"/>
      <c r="JT187" s="60"/>
      <c r="JU187" s="60"/>
      <c r="JV187" s="60"/>
      <c r="JW187" s="60"/>
      <c r="JX187" s="60"/>
      <c r="JY187" s="60"/>
      <c r="JZ187" s="60"/>
      <c r="KA187" s="60"/>
      <c r="KB187" s="60"/>
      <c r="KC187" s="60"/>
      <c r="KD187" s="60"/>
      <c r="KE187" s="60"/>
      <c r="KF187" s="60"/>
      <c r="KG187" s="60"/>
      <c r="KH187" s="60"/>
      <c r="KI187" s="60"/>
      <c r="KJ187" s="60"/>
      <c r="KK187" s="60"/>
      <c r="KL187" s="60"/>
      <c r="KM187" s="60"/>
      <c r="KN187" s="60"/>
      <c r="KO187" s="60"/>
      <c r="KP187" s="60"/>
      <c r="KQ187" s="60"/>
      <c r="KR187" s="60"/>
      <c r="KS187" s="60"/>
      <c r="KT187" s="60"/>
      <c r="KU187" s="60"/>
      <c r="KV187" s="60"/>
      <c r="KW187" s="60"/>
      <c r="KX187" s="60"/>
      <c r="KY187" s="60"/>
      <c r="KZ187" s="60"/>
      <c r="LA187" s="60"/>
      <c r="LB187" s="60"/>
      <c r="LC187" s="60"/>
      <c r="LD187" s="60"/>
      <c r="LE187" s="60"/>
      <c r="LF187" s="60"/>
      <c r="LG187" s="60"/>
      <c r="LH187" s="60"/>
    </row>
    <row r="188" spans="1:320" s="146" customFormat="1" ht="23.25" x14ac:dyDescent="0.25">
      <c r="A188" s="147"/>
      <c r="B188" s="346" t="s">
        <v>99</v>
      </c>
      <c r="C188" s="346"/>
      <c r="D188" s="346"/>
      <c r="E188" s="346"/>
      <c r="F188" s="347" t="e">
        <f>10/F187</f>
        <v>#REF!</v>
      </c>
      <c r="G188" s="347"/>
      <c r="H188" s="347"/>
      <c r="T188" s="17"/>
      <c r="U188" s="17"/>
      <c r="V188" s="17"/>
      <c r="W188" s="17"/>
      <c r="X188" s="17"/>
      <c r="Y188" s="17"/>
      <c r="Z188" s="17"/>
      <c r="AA188" s="17"/>
      <c r="AB188" s="17"/>
      <c r="AC188" s="60"/>
      <c r="AD188" s="60"/>
      <c r="AE188" s="60"/>
      <c r="AF188" s="60"/>
      <c r="AG188" s="60"/>
      <c r="AH188" s="60"/>
      <c r="AI188" s="60"/>
      <c r="AJ188" s="60"/>
      <c r="AK188" s="60"/>
      <c r="AL188" s="60"/>
      <c r="AM188" s="60"/>
      <c r="AN188" s="60"/>
      <c r="AO188" s="60"/>
      <c r="AP188" s="60"/>
      <c r="AQ188" s="60"/>
      <c r="AR188" s="60"/>
      <c r="AS188" s="60"/>
      <c r="AT188" s="60"/>
      <c r="AU188" s="60"/>
      <c r="AV188" s="60"/>
      <c r="AW188" s="60"/>
      <c r="AX188" s="60"/>
      <c r="AY188" s="60"/>
      <c r="AZ188" s="60"/>
      <c r="BA188" s="60"/>
      <c r="BB188" s="60"/>
      <c r="BC188" s="60"/>
      <c r="BD188" s="60"/>
      <c r="BE188" s="60"/>
      <c r="BF188" s="60"/>
      <c r="BG188" s="60"/>
      <c r="BH188" s="60"/>
      <c r="BI188" s="60"/>
      <c r="BJ188" s="60"/>
      <c r="BK188" s="60"/>
      <c r="BL188" s="60"/>
      <c r="BM188" s="60"/>
      <c r="BN188" s="60"/>
      <c r="BO188" s="60"/>
      <c r="BP188" s="60"/>
      <c r="BQ188" s="60"/>
      <c r="BR188" s="60"/>
      <c r="BS188" s="60"/>
      <c r="BT188" s="60"/>
      <c r="BU188" s="60"/>
      <c r="BV188" s="60"/>
      <c r="BW188" s="60"/>
      <c r="BX188" s="60"/>
      <c r="BY188" s="60"/>
      <c r="BZ188" s="60"/>
      <c r="CA188" s="60"/>
      <c r="CB188" s="60"/>
      <c r="CC188" s="60"/>
      <c r="CD188" s="60"/>
      <c r="CE188" s="60"/>
      <c r="CF188" s="60"/>
      <c r="CG188" s="60"/>
      <c r="CH188" s="60"/>
      <c r="CI188" s="60"/>
      <c r="CJ188" s="60"/>
      <c r="CK188" s="60"/>
      <c r="CL188" s="60"/>
      <c r="CM188" s="60"/>
      <c r="CN188" s="60"/>
      <c r="CO188" s="60"/>
      <c r="CP188" s="60"/>
      <c r="CQ188" s="60"/>
      <c r="CR188" s="60"/>
      <c r="CS188" s="60"/>
      <c r="CT188" s="60"/>
      <c r="CU188" s="60"/>
      <c r="CV188" s="60"/>
      <c r="CW188" s="60"/>
      <c r="CX188" s="60"/>
      <c r="CY188" s="60"/>
      <c r="CZ188" s="60"/>
      <c r="DA188" s="60"/>
      <c r="DB188" s="60"/>
      <c r="DC188" s="60"/>
      <c r="DD188" s="60"/>
      <c r="DE188" s="60"/>
      <c r="DF188" s="60"/>
      <c r="DG188" s="60"/>
      <c r="DH188" s="60"/>
      <c r="DI188" s="60"/>
      <c r="DJ188" s="60"/>
      <c r="DK188" s="60"/>
      <c r="DL188" s="60"/>
      <c r="DM188" s="60"/>
      <c r="DN188" s="60"/>
      <c r="DO188" s="60"/>
      <c r="DP188" s="60"/>
      <c r="DQ188" s="60"/>
      <c r="DR188" s="60"/>
      <c r="DS188" s="60"/>
      <c r="DT188" s="60"/>
      <c r="DU188" s="60"/>
      <c r="DV188" s="60"/>
      <c r="DW188" s="60"/>
      <c r="DX188" s="60"/>
      <c r="DY188" s="60"/>
      <c r="DZ188" s="60"/>
      <c r="EA188" s="60"/>
      <c r="EB188" s="60"/>
      <c r="EC188" s="60"/>
      <c r="ED188" s="60"/>
      <c r="EE188" s="60"/>
      <c r="EF188" s="60"/>
      <c r="EG188" s="60"/>
      <c r="EH188" s="60"/>
      <c r="EI188" s="60"/>
      <c r="EJ188" s="60"/>
      <c r="EK188" s="60"/>
      <c r="EL188" s="60"/>
      <c r="EM188" s="60"/>
      <c r="EN188" s="60"/>
      <c r="EO188" s="60"/>
      <c r="EP188" s="60"/>
      <c r="EQ188" s="60"/>
      <c r="ER188" s="60"/>
      <c r="ES188" s="60"/>
      <c r="ET188" s="60"/>
      <c r="EU188" s="60"/>
      <c r="EV188" s="60"/>
      <c r="EW188" s="60"/>
      <c r="EX188" s="60"/>
      <c r="EY188" s="60"/>
      <c r="EZ188" s="60"/>
      <c r="FA188" s="60"/>
      <c r="FB188" s="60"/>
      <c r="FC188" s="60"/>
      <c r="FD188" s="60"/>
      <c r="FE188" s="60"/>
      <c r="FF188" s="60"/>
      <c r="FG188" s="60"/>
      <c r="FH188" s="60"/>
      <c r="FI188" s="60"/>
      <c r="FJ188" s="60"/>
      <c r="FK188" s="60"/>
      <c r="FL188" s="60"/>
      <c r="FM188" s="60"/>
      <c r="FN188" s="60"/>
      <c r="FO188" s="60"/>
      <c r="FP188" s="60"/>
      <c r="FQ188" s="60"/>
      <c r="FR188" s="60"/>
      <c r="FS188" s="60"/>
      <c r="FT188" s="60"/>
      <c r="FU188" s="60"/>
      <c r="FV188" s="60"/>
      <c r="FW188" s="60"/>
      <c r="FX188" s="60"/>
      <c r="FY188" s="60"/>
      <c r="FZ188" s="60"/>
      <c r="GA188" s="60"/>
      <c r="GB188" s="60"/>
      <c r="GC188" s="60"/>
      <c r="GD188" s="60"/>
      <c r="GE188" s="60"/>
      <c r="GF188" s="60"/>
      <c r="GG188" s="60"/>
      <c r="GH188" s="60"/>
      <c r="GI188" s="60"/>
      <c r="GJ188" s="60"/>
      <c r="GK188" s="60"/>
      <c r="GL188" s="60"/>
      <c r="GM188" s="60"/>
      <c r="GN188" s="60"/>
      <c r="GO188" s="60"/>
      <c r="GP188" s="60"/>
      <c r="GQ188" s="60"/>
      <c r="GR188" s="60"/>
      <c r="GS188" s="60"/>
      <c r="GT188" s="60"/>
      <c r="GU188" s="60"/>
      <c r="GV188" s="60"/>
      <c r="GW188" s="60"/>
      <c r="GX188" s="60"/>
      <c r="GY188" s="60"/>
      <c r="GZ188" s="60"/>
      <c r="HA188" s="60"/>
      <c r="HB188" s="60"/>
      <c r="HC188" s="60"/>
      <c r="HD188" s="60"/>
      <c r="HE188" s="60"/>
      <c r="HF188" s="60"/>
      <c r="HG188" s="60"/>
      <c r="HH188" s="60"/>
      <c r="HI188" s="60"/>
      <c r="HJ188" s="60"/>
      <c r="HK188" s="60"/>
      <c r="HL188" s="60"/>
      <c r="HM188" s="60"/>
      <c r="HN188" s="60"/>
      <c r="HO188" s="60"/>
      <c r="HP188" s="60"/>
      <c r="HQ188" s="60"/>
      <c r="HR188" s="60"/>
      <c r="HS188" s="60"/>
      <c r="HT188" s="60"/>
      <c r="HU188" s="60"/>
      <c r="HV188" s="60"/>
      <c r="HW188" s="60"/>
      <c r="HX188" s="60"/>
      <c r="HY188" s="60"/>
      <c r="HZ188" s="60"/>
      <c r="IA188" s="60"/>
      <c r="IB188" s="60"/>
      <c r="IC188" s="60"/>
      <c r="ID188" s="60"/>
      <c r="IE188" s="60"/>
      <c r="IF188" s="60"/>
      <c r="IG188" s="60"/>
      <c r="IH188" s="60"/>
      <c r="II188" s="60"/>
      <c r="IJ188" s="60"/>
      <c r="IK188" s="60"/>
      <c r="IL188" s="60"/>
      <c r="IM188" s="60"/>
      <c r="IN188" s="60"/>
      <c r="IO188" s="60"/>
      <c r="IP188" s="60"/>
      <c r="IQ188" s="60"/>
      <c r="IR188" s="60"/>
      <c r="IS188" s="60"/>
      <c r="IT188" s="60"/>
      <c r="IU188" s="60"/>
      <c r="IV188" s="60"/>
      <c r="IW188" s="60"/>
      <c r="IX188" s="60"/>
      <c r="IY188" s="60"/>
      <c r="IZ188" s="60"/>
      <c r="JA188" s="60"/>
      <c r="JB188" s="60"/>
      <c r="JC188" s="60"/>
      <c r="JD188" s="60"/>
      <c r="JE188" s="60"/>
      <c r="JF188" s="60"/>
      <c r="JG188" s="60"/>
      <c r="JH188" s="60"/>
      <c r="JI188" s="60"/>
      <c r="JJ188" s="60"/>
      <c r="JK188" s="60"/>
      <c r="JL188" s="60"/>
      <c r="JM188" s="60"/>
      <c r="JN188" s="60"/>
      <c r="JO188" s="60"/>
      <c r="JP188" s="60"/>
      <c r="JQ188" s="60"/>
      <c r="JR188" s="60"/>
      <c r="JS188" s="60"/>
      <c r="JT188" s="60"/>
      <c r="JU188" s="60"/>
      <c r="JV188" s="60"/>
      <c r="JW188" s="60"/>
      <c r="JX188" s="60"/>
      <c r="JY188" s="60"/>
      <c r="JZ188" s="60"/>
      <c r="KA188" s="60"/>
      <c r="KB188" s="60"/>
      <c r="KC188" s="60"/>
      <c r="KD188" s="60"/>
      <c r="KE188" s="60"/>
      <c r="KF188" s="60"/>
      <c r="KG188" s="60"/>
      <c r="KH188" s="60"/>
      <c r="KI188" s="60"/>
      <c r="KJ188" s="60"/>
      <c r="KK188" s="60"/>
      <c r="KL188" s="60"/>
      <c r="KM188" s="60"/>
      <c r="KN188" s="60"/>
      <c r="KO188" s="60"/>
      <c r="KP188" s="60"/>
      <c r="KQ188" s="60"/>
      <c r="KR188" s="60"/>
      <c r="KS188" s="60"/>
      <c r="KT188" s="60"/>
      <c r="KU188" s="60"/>
      <c r="KV188" s="60"/>
      <c r="KW188" s="60"/>
      <c r="KX188" s="60"/>
      <c r="KY188" s="60"/>
      <c r="KZ188" s="60"/>
      <c r="LA188" s="60"/>
      <c r="LB188" s="60"/>
      <c r="LC188" s="60"/>
      <c r="LD188" s="60"/>
      <c r="LE188" s="60"/>
      <c r="LF188" s="60"/>
      <c r="LG188" s="60"/>
      <c r="LH188" s="60"/>
    </row>
    <row r="217" spans="1:320" s="146" customFormat="1" x14ac:dyDescent="0.25">
      <c r="A217" s="147"/>
      <c r="B217" s="1"/>
      <c r="C217" s="1"/>
      <c r="D217" s="1"/>
      <c r="F217" s="148"/>
      <c r="G217" s="148"/>
      <c r="T217" s="17"/>
      <c r="U217" s="17"/>
      <c r="V217" s="17"/>
      <c r="W217" s="17"/>
      <c r="X217" s="17"/>
      <c r="Y217" s="17"/>
      <c r="Z217" s="17"/>
      <c r="AA217" s="17"/>
      <c r="AB217" s="17"/>
      <c r="AC217" s="60"/>
      <c r="AD217" s="60"/>
      <c r="AE217" s="60"/>
      <c r="AF217" s="60"/>
      <c r="AG217" s="60"/>
      <c r="AH217" s="60"/>
      <c r="AI217" s="60"/>
      <c r="AJ217" s="60"/>
      <c r="AK217" s="60"/>
      <c r="AL217" s="60"/>
      <c r="AM217" s="60"/>
      <c r="AN217" s="60"/>
      <c r="AO217" s="60"/>
      <c r="AP217" s="60"/>
      <c r="AQ217" s="60"/>
      <c r="AR217" s="60"/>
      <c r="AS217" s="60"/>
      <c r="AT217" s="60"/>
      <c r="AU217" s="60"/>
      <c r="AV217" s="60"/>
      <c r="AW217" s="60"/>
      <c r="AX217" s="60"/>
      <c r="AY217" s="60"/>
      <c r="AZ217" s="60"/>
      <c r="BA217" s="60"/>
      <c r="BB217" s="60"/>
      <c r="BC217" s="60"/>
      <c r="BD217" s="60"/>
      <c r="BE217" s="60"/>
      <c r="BF217" s="60"/>
      <c r="BG217" s="60"/>
      <c r="BH217" s="60"/>
      <c r="BI217" s="60"/>
      <c r="BJ217" s="60"/>
      <c r="BK217" s="60"/>
      <c r="BL217" s="60"/>
      <c r="BM217" s="60"/>
      <c r="BN217" s="60"/>
      <c r="BO217" s="60"/>
      <c r="BP217" s="60"/>
      <c r="BQ217" s="60"/>
      <c r="BR217" s="60"/>
      <c r="BS217" s="60"/>
      <c r="BT217" s="60"/>
      <c r="BU217" s="60"/>
      <c r="BV217" s="60"/>
      <c r="BW217" s="60"/>
      <c r="BX217" s="60"/>
      <c r="BY217" s="60"/>
      <c r="BZ217" s="60"/>
      <c r="CA217" s="60"/>
      <c r="CB217" s="60"/>
      <c r="CC217" s="60"/>
      <c r="CD217" s="60"/>
      <c r="CE217" s="60"/>
      <c r="CF217" s="60"/>
      <c r="CG217" s="60"/>
      <c r="CH217" s="60"/>
      <c r="CI217" s="60"/>
      <c r="CJ217" s="60"/>
      <c r="CK217" s="60"/>
      <c r="CL217" s="60"/>
      <c r="CM217" s="60"/>
      <c r="CN217" s="60"/>
      <c r="CO217" s="60"/>
      <c r="CP217" s="60"/>
      <c r="CQ217" s="60"/>
      <c r="CR217" s="60"/>
      <c r="CS217" s="60"/>
      <c r="CT217" s="60"/>
      <c r="CU217" s="60"/>
      <c r="CV217" s="60"/>
      <c r="CW217" s="60"/>
      <c r="CX217" s="60"/>
      <c r="CY217" s="60"/>
      <c r="CZ217" s="60"/>
      <c r="DA217" s="60"/>
      <c r="DB217" s="60"/>
      <c r="DC217" s="60"/>
      <c r="DD217" s="60"/>
      <c r="DE217" s="60"/>
      <c r="DF217" s="60"/>
      <c r="DG217" s="60"/>
      <c r="DH217" s="60"/>
      <c r="DI217" s="60"/>
      <c r="DJ217" s="60"/>
      <c r="DK217" s="60"/>
      <c r="DL217" s="60"/>
      <c r="DM217" s="60"/>
      <c r="DN217" s="60"/>
      <c r="DO217" s="60"/>
      <c r="DP217" s="60"/>
      <c r="DQ217" s="60"/>
      <c r="DR217" s="60"/>
      <c r="DS217" s="60"/>
      <c r="DT217" s="60"/>
      <c r="DU217" s="60"/>
      <c r="DV217" s="60"/>
      <c r="DW217" s="60"/>
      <c r="DX217" s="60"/>
      <c r="DY217" s="60"/>
      <c r="DZ217" s="60"/>
      <c r="EA217" s="60"/>
      <c r="EB217" s="60"/>
      <c r="EC217" s="60"/>
      <c r="ED217" s="60"/>
      <c r="EE217" s="60"/>
      <c r="EF217" s="60"/>
      <c r="EG217" s="60"/>
      <c r="EH217" s="60"/>
      <c r="EI217" s="60"/>
      <c r="EJ217" s="60"/>
      <c r="EK217" s="60"/>
      <c r="EL217" s="60"/>
      <c r="EM217" s="60"/>
      <c r="EN217" s="60"/>
      <c r="EO217" s="60"/>
      <c r="EP217" s="60"/>
      <c r="EQ217" s="60"/>
      <c r="ER217" s="60"/>
      <c r="ES217" s="60"/>
      <c r="ET217" s="60"/>
      <c r="EU217" s="60"/>
      <c r="EV217" s="60"/>
      <c r="EW217" s="60"/>
      <c r="EX217" s="60"/>
      <c r="EY217" s="60"/>
      <c r="EZ217" s="60"/>
      <c r="FA217" s="60"/>
      <c r="FB217" s="60"/>
      <c r="FC217" s="60"/>
      <c r="FD217" s="60"/>
      <c r="FE217" s="60"/>
      <c r="FF217" s="60"/>
      <c r="FG217" s="60"/>
      <c r="FH217" s="60"/>
      <c r="FI217" s="60"/>
      <c r="FJ217" s="60"/>
      <c r="FK217" s="60"/>
      <c r="FL217" s="60"/>
      <c r="FM217" s="60"/>
      <c r="FN217" s="60"/>
      <c r="FO217" s="60"/>
      <c r="FP217" s="60"/>
      <c r="FQ217" s="60"/>
      <c r="FR217" s="60"/>
      <c r="FS217" s="60"/>
      <c r="FT217" s="60"/>
      <c r="FU217" s="60"/>
      <c r="FV217" s="60"/>
      <c r="FW217" s="60"/>
      <c r="FX217" s="60"/>
      <c r="FY217" s="60"/>
      <c r="FZ217" s="60"/>
      <c r="GA217" s="60"/>
      <c r="GB217" s="60"/>
      <c r="GC217" s="60"/>
      <c r="GD217" s="60"/>
      <c r="GE217" s="60"/>
      <c r="GF217" s="60"/>
      <c r="GG217" s="60"/>
      <c r="GH217" s="60"/>
      <c r="GI217" s="60"/>
      <c r="GJ217" s="60"/>
      <c r="GK217" s="60"/>
      <c r="GL217" s="60"/>
      <c r="GM217" s="60"/>
      <c r="GN217" s="60"/>
      <c r="GO217" s="60"/>
      <c r="GP217" s="60"/>
      <c r="GQ217" s="60"/>
      <c r="GR217" s="60"/>
      <c r="GS217" s="60"/>
      <c r="GT217" s="60"/>
      <c r="GU217" s="60"/>
      <c r="GV217" s="60"/>
      <c r="GW217" s="60"/>
      <c r="GX217" s="60"/>
      <c r="GY217" s="60"/>
      <c r="GZ217" s="60"/>
      <c r="HA217" s="60"/>
      <c r="HB217" s="60"/>
      <c r="HC217" s="60"/>
      <c r="HD217" s="60"/>
      <c r="HE217" s="60"/>
      <c r="HF217" s="60"/>
      <c r="HG217" s="60"/>
      <c r="HH217" s="60"/>
      <c r="HI217" s="60"/>
      <c r="HJ217" s="60"/>
      <c r="HK217" s="60"/>
      <c r="HL217" s="60"/>
      <c r="HM217" s="60"/>
      <c r="HN217" s="60"/>
      <c r="HO217" s="60"/>
      <c r="HP217" s="60"/>
      <c r="HQ217" s="60"/>
      <c r="HR217" s="60"/>
      <c r="HS217" s="60"/>
      <c r="HT217" s="60"/>
      <c r="HU217" s="60"/>
      <c r="HV217" s="60"/>
      <c r="HW217" s="60"/>
      <c r="HX217" s="60"/>
      <c r="HY217" s="60"/>
      <c r="HZ217" s="60"/>
      <c r="IA217" s="60"/>
      <c r="IB217" s="60"/>
      <c r="IC217" s="60"/>
      <c r="ID217" s="60"/>
      <c r="IE217" s="60"/>
      <c r="IF217" s="60"/>
      <c r="IG217" s="60"/>
      <c r="IH217" s="60"/>
      <c r="II217" s="60"/>
      <c r="IJ217" s="60"/>
      <c r="IK217" s="60"/>
      <c r="IL217" s="60"/>
      <c r="IM217" s="60"/>
      <c r="IN217" s="60"/>
      <c r="IO217" s="60"/>
      <c r="IP217" s="60"/>
      <c r="IQ217" s="60"/>
      <c r="IR217" s="60"/>
      <c r="IS217" s="60"/>
      <c r="IT217" s="60"/>
      <c r="IU217" s="60"/>
      <c r="IV217" s="60"/>
      <c r="IW217" s="60"/>
      <c r="IX217" s="60"/>
      <c r="IY217" s="60"/>
      <c r="IZ217" s="60"/>
      <c r="JA217" s="60"/>
      <c r="JB217" s="60"/>
      <c r="JC217" s="60"/>
      <c r="JD217" s="60"/>
      <c r="JE217" s="60"/>
      <c r="JF217" s="60"/>
      <c r="JG217" s="60"/>
      <c r="JH217" s="60"/>
      <c r="JI217" s="60"/>
      <c r="JJ217" s="60"/>
      <c r="JK217" s="60"/>
      <c r="JL217" s="60"/>
      <c r="JM217" s="60"/>
      <c r="JN217" s="60"/>
      <c r="JO217" s="60"/>
      <c r="JP217" s="60"/>
      <c r="JQ217" s="60"/>
      <c r="JR217" s="60"/>
      <c r="JS217" s="60"/>
      <c r="JT217" s="60"/>
      <c r="JU217" s="60"/>
      <c r="JV217" s="60"/>
      <c r="JW217" s="60"/>
      <c r="JX217" s="60"/>
      <c r="JY217" s="60"/>
      <c r="JZ217" s="60"/>
      <c r="KA217" s="60"/>
      <c r="KB217" s="60"/>
      <c r="KC217" s="60"/>
      <c r="KD217" s="60"/>
      <c r="KE217" s="60"/>
      <c r="KF217" s="60"/>
      <c r="KG217" s="60"/>
      <c r="KH217" s="60"/>
      <c r="KI217" s="60"/>
      <c r="KJ217" s="60"/>
      <c r="KK217" s="60"/>
      <c r="KL217" s="60"/>
      <c r="KM217" s="60"/>
      <c r="KN217" s="60"/>
      <c r="KO217" s="60"/>
      <c r="KP217" s="60"/>
      <c r="KQ217" s="60"/>
      <c r="KR217" s="60"/>
      <c r="KS217" s="60"/>
      <c r="KT217" s="60"/>
      <c r="KU217" s="60"/>
      <c r="KV217" s="60"/>
      <c r="KW217" s="60"/>
      <c r="KX217" s="60"/>
      <c r="KY217" s="60"/>
      <c r="KZ217" s="60"/>
      <c r="LA217" s="60"/>
      <c r="LB217" s="60"/>
      <c r="LC217" s="60"/>
      <c r="LD217" s="60"/>
      <c r="LE217" s="60"/>
      <c r="LF217" s="60"/>
      <c r="LG217" s="60"/>
      <c r="LH217" s="60"/>
    </row>
    <row r="218" spans="1:320" s="146" customFormat="1" x14ac:dyDescent="0.25">
      <c r="A218" s="147"/>
      <c r="B218" s="1"/>
      <c r="C218" s="1"/>
      <c r="D218" s="1"/>
      <c r="F218" s="148"/>
      <c r="G218" s="148"/>
      <c r="T218" s="17"/>
      <c r="U218" s="17"/>
      <c r="V218" s="17"/>
      <c r="W218" s="17"/>
      <c r="X218" s="17"/>
      <c r="Y218" s="17"/>
      <c r="Z218" s="17"/>
      <c r="AA218" s="17"/>
      <c r="AB218" s="17"/>
      <c r="AC218" s="60"/>
      <c r="AD218" s="60"/>
      <c r="AE218" s="60"/>
      <c r="AF218" s="60"/>
      <c r="AG218" s="60"/>
      <c r="AH218" s="60"/>
      <c r="AI218" s="60"/>
      <c r="AJ218" s="60"/>
      <c r="AK218" s="60"/>
      <c r="AL218" s="60"/>
      <c r="AM218" s="60"/>
      <c r="AN218" s="60"/>
      <c r="AO218" s="60"/>
      <c r="AP218" s="60"/>
      <c r="AQ218" s="60"/>
      <c r="AR218" s="60"/>
      <c r="AS218" s="60"/>
      <c r="AT218" s="60"/>
      <c r="AU218" s="60"/>
      <c r="AV218" s="60"/>
      <c r="AW218" s="60"/>
      <c r="AX218" s="60"/>
      <c r="AY218" s="60"/>
      <c r="AZ218" s="60"/>
      <c r="BA218" s="60"/>
      <c r="BB218" s="60"/>
      <c r="BC218" s="60"/>
      <c r="BD218" s="60"/>
      <c r="BE218" s="60"/>
      <c r="BF218" s="60"/>
      <c r="BG218" s="60"/>
      <c r="BH218" s="60"/>
      <c r="BI218" s="60"/>
      <c r="BJ218" s="60"/>
      <c r="BK218" s="60"/>
      <c r="BL218" s="60"/>
      <c r="BM218" s="60"/>
      <c r="BN218" s="60"/>
      <c r="BO218" s="60"/>
      <c r="BP218" s="60"/>
      <c r="BQ218" s="60"/>
      <c r="BR218" s="60"/>
      <c r="BS218" s="60"/>
      <c r="BT218" s="60"/>
      <c r="BU218" s="60"/>
      <c r="BV218" s="60"/>
      <c r="BW218" s="60"/>
      <c r="BX218" s="60"/>
      <c r="BY218" s="60"/>
      <c r="BZ218" s="60"/>
      <c r="CA218" s="60"/>
      <c r="CB218" s="60"/>
      <c r="CC218" s="60"/>
      <c r="CD218" s="60"/>
      <c r="CE218" s="60"/>
      <c r="CF218" s="60"/>
      <c r="CG218" s="60"/>
      <c r="CH218" s="60"/>
      <c r="CI218" s="60"/>
      <c r="CJ218" s="60"/>
      <c r="CK218" s="60"/>
      <c r="CL218" s="60"/>
      <c r="CM218" s="60"/>
      <c r="CN218" s="60"/>
      <c r="CO218" s="60"/>
      <c r="CP218" s="60"/>
      <c r="CQ218" s="60"/>
      <c r="CR218" s="60"/>
      <c r="CS218" s="60"/>
      <c r="CT218" s="60"/>
      <c r="CU218" s="60"/>
      <c r="CV218" s="60"/>
      <c r="CW218" s="60"/>
      <c r="CX218" s="60"/>
      <c r="CY218" s="60"/>
      <c r="CZ218" s="60"/>
      <c r="DA218" s="60"/>
      <c r="DB218" s="60"/>
      <c r="DC218" s="60"/>
      <c r="DD218" s="60"/>
      <c r="DE218" s="60"/>
      <c r="DF218" s="60"/>
      <c r="DG218" s="60"/>
      <c r="DH218" s="60"/>
      <c r="DI218" s="60"/>
      <c r="DJ218" s="60"/>
      <c r="DK218" s="60"/>
      <c r="DL218" s="60"/>
      <c r="DM218" s="60"/>
      <c r="DN218" s="60"/>
      <c r="DO218" s="60"/>
      <c r="DP218" s="60"/>
      <c r="DQ218" s="60"/>
      <c r="DR218" s="60"/>
      <c r="DS218" s="60"/>
      <c r="DT218" s="60"/>
      <c r="DU218" s="60"/>
      <c r="DV218" s="60"/>
      <c r="DW218" s="60"/>
      <c r="DX218" s="60"/>
      <c r="DY218" s="60"/>
      <c r="DZ218" s="60"/>
      <c r="EA218" s="60"/>
      <c r="EB218" s="60"/>
      <c r="EC218" s="60"/>
      <c r="ED218" s="60"/>
      <c r="EE218" s="60"/>
      <c r="EF218" s="60"/>
      <c r="EG218" s="60"/>
      <c r="EH218" s="60"/>
      <c r="EI218" s="60"/>
      <c r="EJ218" s="60"/>
      <c r="EK218" s="60"/>
      <c r="EL218" s="60"/>
      <c r="EM218" s="60"/>
      <c r="EN218" s="60"/>
      <c r="EO218" s="60"/>
      <c r="EP218" s="60"/>
      <c r="EQ218" s="60"/>
      <c r="ER218" s="60"/>
      <c r="ES218" s="60"/>
      <c r="ET218" s="60"/>
      <c r="EU218" s="60"/>
      <c r="EV218" s="60"/>
      <c r="EW218" s="60"/>
      <c r="EX218" s="60"/>
      <c r="EY218" s="60"/>
      <c r="EZ218" s="60"/>
      <c r="FA218" s="60"/>
      <c r="FB218" s="60"/>
      <c r="FC218" s="60"/>
      <c r="FD218" s="60"/>
      <c r="FE218" s="60"/>
      <c r="FF218" s="60"/>
      <c r="FG218" s="60"/>
      <c r="FH218" s="60"/>
      <c r="FI218" s="60"/>
      <c r="FJ218" s="60"/>
      <c r="FK218" s="60"/>
      <c r="FL218" s="60"/>
      <c r="FM218" s="60"/>
      <c r="FN218" s="60"/>
      <c r="FO218" s="60"/>
      <c r="FP218" s="60"/>
      <c r="FQ218" s="60"/>
      <c r="FR218" s="60"/>
      <c r="FS218" s="60"/>
      <c r="FT218" s="60"/>
      <c r="FU218" s="60"/>
      <c r="FV218" s="60"/>
      <c r="FW218" s="60"/>
      <c r="FX218" s="60"/>
      <c r="FY218" s="60"/>
      <c r="FZ218" s="60"/>
      <c r="GA218" s="60"/>
      <c r="GB218" s="60"/>
      <c r="GC218" s="60"/>
      <c r="GD218" s="60"/>
      <c r="GE218" s="60"/>
      <c r="GF218" s="60"/>
      <c r="GG218" s="60"/>
      <c r="GH218" s="60"/>
      <c r="GI218" s="60"/>
      <c r="GJ218" s="60"/>
      <c r="GK218" s="60"/>
      <c r="GL218" s="60"/>
      <c r="GM218" s="60"/>
      <c r="GN218" s="60"/>
      <c r="GO218" s="60"/>
      <c r="GP218" s="60"/>
      <c r="GQ218" s="60"/>
      <c r="GR218" s="60"/>
      <c r="GS218" s="60"/>
      <c r="GT218" s="60"/>
      <c r="GU218" s="60"/>
      <c r="GV218" s="60"/>
      <c r="GW218" s="60"/>
      <c r="GX218" s="60"/>
      <c r="GY218" s="60"/>
      <c r="GZ218" s="60"/>
      <c r="HA218" s="60"/>
      <c r="HB218" s="60"/>
      <c r="HC218" s="60"/>
      <c r="HD218" s="60"/>
      <c r="HE218" s="60"/>
      <c r="HF218" s="60"/>
      <c r="HG218" s="60"/>
      <c r="HH218" s="60"/>
      <c r="HI218" s="60"/>
      <c r="HJ218" s="60"/>
      <c r="HK218" s="60"/>
      <c r="HL218" s="60"/>
      <c r="HM218" s="60"/>
      <c r="HN218" s="60"/>
      <c r="HO218" s="60"/>
      <c r="HP218" s="60"/>
      <c r="HQ218" s="60"/>
      <c r="HR218" s="60"/>
      <c r="HS218" s="60"/>
      <c r="HT218" s="60"/>
      <c r="HU218" s="60"/>
      <c r="HV218" s="60"/>
      <c r="HW218" s="60"/>
      <c r="HX218" s="60"/>
      <c r="HY218" s="60"/>
      <c r="HZ218" s="60"/>
      <c r="IA218" s="60"/>
      <c r="IB218" s="60"/>
      <c r="IC218" s="60"/>
      <c r="ID218" s="60"/>
      <c r="IE218" s="60"/>
      <c r="IF218" s="60"/>
      <c r="IG218" s="60"/>
      <c r="IH218" s="60"/>
      <c r="II218" s="60"/>
      <c r="IJ218" s="60"/>
      <c r="IK218" s="60"/>
      <c r="IL218" s="60"/>
      <c r="IM218" s="60"/>
      <c r="IN218" s="60"/>
      <c r="IO218" s="60"/>
      <c r="IP218" s="60"/>
      <c r="IQ218" s="60"/>
      <c r="IR218" s="60"/>
      <c r="IS218" s="60"/>
      <c r="IT218" s="60"/>
      <c r="IU218" s="60"/>
      <c r="IV218" s="60"/>
      <c r="IW218" s="60"/>
      <c r="IX218" s="60"/>
      <c r="IY218" s="60"/>
      <c r="IZ218" s="60"/>
      <c r="JA218" s="60"/>
      <c r="JB218" s="60"/>
      <c r="JC218" s="60"/>
      <c r="JD218" s="60"/>
      <c r="JE218" s="60"/>
      <c r="JF218" s="60"/>
      <c r="JG218" s="60"/>
      <c r="JH218" s="60"/>
      <c r="JI218" s="60"/>
      <c r="JJ218" s="60"/>
      <c r="JK218" s="60"/>
      <c r="JL218" s="60"/>
      <c r="JM218" s="60"/>
      <c r="JN218" s="60"/>
      <c r="JO218" s="60"/>
      <c r="JP218" s="60"/>
      <c r="JQ218" s="60"/>
      <c r="JR218" s="60"/>
      <c r="JS218" s="60"/>
      <c r="JT218" s="60"/>
      <c r="JU218" s="60"/>
      <c r="JV218" s="60"/>
      <c r="JW218" s="60"/>
      <c r="JX218" s="60"/>
      <c r="JY218" s="60"/>
      <c r="JZ218" s="60"/>
      <c r="KA218" s="60"/>
      <c r="KB218" s="60"/>
      <c r="KC218" s="60"/>
      <c r="KD218" s="60"/>
      <c r="KE218" s="60"/>
      <c r="KF218" s="60"/>
      <c r="KG218" s="60"/>
      <c r="KH218" s="60"/>
      <c r="KI218" s="60"/>
      <c r="KJ218" s="60"/>
      <c r="KK218" s="60"/>
      <c r="KL218" s="60"/>
      <c r="KM218" s="60"/>
      <c r="KN218" s="60"/>
      <c r="KO218" s="60"/>
      <c r="KP218" s="60"/>
      <c r="KQ218" s="60"/>
      <c r="KR218" s="60"/>
      <c r="KS218" s="60"/>
      <c r="KT218" s="60"/>
      <c r="KU218" s="60"/>
      <c r="KV218" s="60"/>
      <c r="KW218" s="60"/>
      <c r="KX218" s="60"/>
      <c r="KY218" s="60"/>
      <c r="KZ218" s="60"/>
      <c r="LA218" s="60"/>
      <c r="LB218" s="60"/>
      <c r="LC218" s="60"/>
      <c r="LD218" s="60"/>
      <c r="LE218" s="60"/>
      <c r="LF218" s="60"/>
      <c r="LG218" s="60"/>
      <c r="LH218" s="60"/>
    </row>
    <row r="219" spans="1:320" s="146" customFormat="1" x14ac:dyDescent="0.25">
      <c r="A219" s="147"/>
      <c r="B219" s="1"/>
      <c r="C219" s="1"/>
      <c r="D219" s="1"/>
      <c r="F219" s="1"/>
      <c r="G219" s="1"/>
      <c r="T219" s="17"/>
      <c r="U219" s="17"/>
      <c r="V219" s="17"/>
      <c r="W219" s="17"/>
      <c r="X219" s="17"/>
      <c r="Y219" s="17"/>
      <c r="Z219" s="17"/>
      <c r="AA219" s="17"/>
      <c r="AB219" s="17"/>
      <c r="AC219" s="60"/>
      <c r="AD219" s="60"/>
      <c r="AE219" s="60"/>
      <c r="AF219" s="60"/>
      <c r="AG219" s="60"/>
      <c r="AH219" s="60"/>
      <c r="AI219" s="60"/>
      <c r="AJ219" s="60"/>
      <c r="AK219" s="60"/>
      <c r="AL219" s="60"/>
      <c r="AM219" s="60"/>
      <c r="AN219" s="60"/>
      <c r="AO219" s="60"/>
      <c r="AP219" s="60"/>
      <c r="AQ219" s="60"/>
      <c r="AR219" s="60"/>
      <c r="AS219" s="60"/>
      <c r="AT219" s="60"/>
      <c r="AU219" s="60"/>
      <c r="AV219" s="60"/>
      <c r="AW219" s="60"/>
      <c r="AX219" s="60"/>
      <c r="AY219" s="60"/>
      <c r="AZ219" s="60"/>
      <c r="BA219" s="60"/>
      <c r="BB219" s="60"/>
      <c r="BC219" s="60"/>
      <c r="BD219" s="60"/>
      <c r="BE219" s="60"/>
      <c r="BF219" s="60"/>
      <c r="BG219" s="60"/>
      <c r="BH219" s="60"/>
      <c r="BI219" s="60"/>
      <c r="BJ219" s="60"/>
      <c r="BK219" s="60"/>
      <c r="BL219" s="60"/>
      <c r="BM219" s="60"/>
      <c r="BN219" s="60"/>
      <c r="BO219" s="60"/>
      <c r="BP219" s="60"/>
      <c r="BQ219" s="60"/>
      <c r="BR219" s="60"/>
      <c r="BS219" s="60"/>
      <c r="BT219" s="60"/>
      <c r="BU219" s="60"/>
      <c r="BV219" s="60"/>
      <c r="BW219" s="60"/>
      <c r="BX219" s="60"/>
      <c r="BY219" s="60"/>
      <c r="BZ219" s="60"/>
      <c r="CA219" s="60"/>
      <c r="CB219" s="60"/>
      <c r="CC219" s="60"/>
      <c r="CD219" s="60"/>
      <c r="CE219" s="60"/>
      <c r="CF219" s="60"/>
      <c r="CG219" s="60"/>
      <c r="CH219" s="60"/>
      <c r="CI219" s="60"/>
      <c r="CJ219" s="60"/>
      <c r="CK219" s="60"/>
      <c r="CL219" s="60"/>
      <c r="CM219" s="60"/>
      <c r="CN219" s="60"/>
      <c r="CO219" s="60"/>
      <c r="CP219" s="60"/>
      <c r="CQ219" s="60"/>
      <c r="CR219" s="60"/>
      <c r="CS219" s="60"/>
      <c r="CT219" s="60"/>
      <c r="CU219" s="60"/>
      <c r="CV219" s="60"/>
      <c r="CW219" s="60"/>
      <c r="CX219" s="60"/>
      <c r="CY219" s="60"/>
      <c r="CZ219" s="60"/>
      <c r="DA219" s="60"/>
      <c r="DB219" s="60"/>
      <c r="DC219" s="60"/>
      <c r="DD219" s="60"/>
      <c r="DE219" s="60"/>
      <c r="DF219" s="60"/>
      <c r="DG219" s="60"/>
      <c r="DH219" s="60"/>
      <c r="DI219" s="60"/>
      <c r="DJ219" s="60"/>
      <c r="DK219" s="60"/>
      <c r="DL219" s="60"/>
      <c r="DM219" s="60"/>
      <c r="DN219" s="60"/>
      <c r="DO219" s="60"/>
      <c r="DP219" s="60"/>
      <c r="DQ219" s="60"/>
      <c r="DR219" s="60"/>
      <c r="DS219" s="60"/>
      <c r="DT219" s="60"/>
      <c r="DU219" s="60"/>
      <c r="DV219" s="60"/>
      <c r="DW219" s="60"/>
      <c r="DX219" s="60"/>
      <c r="DY219" s="60"/>
      <c r="DZ219" s="60"/>
      <c r="EA219" s="60"/>
      <c r="EB219" s="60"/>
      <c r="EC219" s="60"/>
      <c r="ED219" s="60"/>
      <c r="EE219" s="60"/>
      <c r="EF219" s="60"/>
      <c r="EG219" s="60"/>
      <c r="EH219" s="60"/>
      <c r="EI219" s="60"/>
      <c r="EJ219" s="60"/>
      <c r="EK219" s="60"/>
      <c r="EL219" s="60"/>
      <c r="EM219" s="60"/>
      <c r="EN219" s="60"/>
      <c r="EO219" s="60"/>
      <c r="EP219" s="60"/>
      <c r="EQ219" s="60"/>
      <c r="ER219" s="60"/>
      <c r="ES219" s="60"/>
      <c r="ET219" s="60"/>
      <c r="EU219" s="60"/>
      <c r="EV219" s="60"/>
      <c r="EW219" s="60"/>
      <c r="EX219" s="60"/>
      <c r="EY219" s="60"/>
      <c r="EZ219" s="60"/>
      <c r="FA219" s="60"/>
      <c r="FB219" s="60"/>
      <c r="FC219" s="60"/>
      <c r="FD219" s="60"/>
      <c r="FE219" s="60"/>
      <c r="FF219" s="60"/>
      <c r="FG219" s="60"/>
      <c r="FH219" s="60"/>
      <c r="FI219" s="60"/>
      <c r="FJ219" s="60"/>
      <c r="FK219" s="60"/>
      <c r="FL219" s="60"/>
      <c r="FM219" s="60"/>
      <c r="FN219" s="60"/>
      <c r="FO219" s="60"/>
      <c r="FP219" s="60"/>
      <c r="FQ219" s="60"/>
      <c r="FR219" s="60"/>
      <c r="FS219" s="60"/>
      <c r="FT219" s="60"/>
      <c r="FU219" s="60"/>
      <c r="FV219" s="60"/>
      <c r="FW219" s="60"/>
      <c r="FX219" s="60"/>
      <c r="FY219" s="60"/>
      <c r="FZ219" s="60"/>
      <c r="GA219" s="60"/>
      <c r="GB219" s="60"/>
      <c r="GC219" s="60"/>
      <c r="GD219" s="60"/>
      <c r="GE219" s="60"/>
      <c r="GF219" s="60"/>
      <c r="GG219" s="60"/>
      <c r="GH219" s="60"/>
      <c r="GI219" s="60"/>
      <c r="GJ219" s="60"/>
      <c r="GK219" s="60"/>
      <c r="GL219" s="60"/>
      <c r="GM219" s="60"/>
      <c r="GN219" s="60"/>
      <c r="GO219" s="60"/>
      <c r="GP219" s="60"/>
      <c r="GQ219" s="60"/>
      <c r="GR219" s="60"/>
      <c r="GS219" s="60"/>
      <c r="GT219" s="60"/>
      <c r="GU219" s="60"/>
      <c r="GV219" s="60"/>
      <c r="GW219" s="60"/>
      <c r="GX219" s="60"/>
      <c r="GY219" s="60"/>
      <c r="GZ219" s="60"/>
      <c r="HA219" s="60"/>
      <c r="HB219" s="60"/>
      <c r="HC219" s="60"/>
      <c r="HD219" s="60"/>
      <c r="HE219" s="60"/>
      <c r="HF219" s="60"/>
      <c r="HG219" s="60"/>
      <c r="HH219" s="60"/>
      <c r="HI219" s="60"/>
      <c r="HJ219" s="60"/>
      <c r="HK219" s="60"/>
      <c r="HL219" s="60"/>
      <c r="HM219" s="60"/>
      <c r="HN219" s="60"/>
      <c r="HO219" s="60"/>
      <c r="HP219" s="60"/>
      <c r="HQ219" s="60"/>
      <c r="HR219" s="60"/>
      <c r="HS219" s="60"/>
      <c r="HT219" s="60"/>
      <c r="HU219" s="60"/>
      <c r="HV219" s="60"/>
      <c r="HW219" s="60"/>
      <c r="HX219" s="60"/>
      <c r="HY219" s="60"/>
      <c r="HZ219" s="60"/>
      <c r="IA219" s="60"/>
      <c r="IB219" s="60"/>
      <c r="IC219" s="60"/>
      <c r="ID219" s="60"/>
      <c r="IE219" s="60"/>
      <c r="IF219" s="60"/>
      <c r="IG219" s="60"/>
      <c r="IH219" s="60"/>
      <c r="II219" s="60"/>
      <c r="IJ219" s="60"/>
      <c r="IK219" s="60"/>
      <c r="IL219" s="60"/>
      <c r="IM219" s="60"/>
      <c r="IN219" s="60"/>
      <c r="IO219" s="60"/>
      <c r="IP219" s="60"/>
      <c r="IQ219" s="60"/>
      <c r="IR219" s="60"/>
      <c r="IS219" s="60"/>
      <c r="IT219" s="60"/>
      <c r="IU219" s="60"/>
      <c r="IV219" s="60"/>
      <c r="IW219" s="60"/>
      <c r="IX219" s="60"/>
      <c r="IY219" s="60"/>
      <c r="IZ219" s="60"/>
      <c r="JA219" s="60"/>
      <c r="JB219" s="60"/>
      <c r="JC219" s="60"/>
      <c r="JD219" s="60"/>
      <c r="JE219" s="60"/>
      <c r="JF219" s="60"/>
      <c r="JG219" s="60"/>
      <c r="JH219" s="60"/>
      <c r="JI219" s="60"/>
      <c r="JJ219" s="60"/>
      <c r="JK219" s="60"/>
      <c r="JL219" s="60"/>
      <c r="JM219" s="60"/>
      <c r="JN219" s="60"/>
      <c r="JO219" s="60"/>
      <c r="JP219" s="60"/>
      <c r="JQ219" s="60"/>
      <c r="JR219" s="60"/>
      <c r="JS219" s="60"/>
      <c r="JT219" s="60"/>
      <c r="JU219" s="60"/>
      <c r="JV219" s="60"/>
      <c r="JW219" s="60"/>
      <c r="JX219" s="60"/>
      <c r="JY219" s="60"/>
      <c r="JZ219" s="60"/>
      <c r="KA219" s="60"/>
      <c r="KB219" s="60"/>
      <c r="KC219" s="60"/>
      <c r="KD219" s="60"/>
      <c r="KE219" s="60"/>
      <c r="KF219" s="60"/>
      <c r="KG219" s="60"/>
      <c r="KH219" s="60"/>
      <c r="KI219" s="60"/>
      <c r="KJ219" s="60"/>
      <c r="KK219" s="60"/>
      <c r="KL219" s="60"/>
      <c r="KM219" s="60"/>
      <c r="KN219" s="60"/>
      <c r="KO219" s="60"/>
      <c r="KP219" s="60"/>
      <c r="KQ219" s="60"/>
      <c r="KR219" s="60"/>
      <c r="KS219" s="60"/>
      <c r="KT219" s="60"/>
      <c r="KU219" s="60"/>
      <c r="KV219" s="60"/>
      <c r="KW219" s="60"/>
      <c r="KX219" s="60"/>
      <c r="KY219" s="60"/>
      <c r="KZ219" s="60"/>
      <c r="LA219" s="60"/>
      <c r="LB219" s="60"/>
      <c r="LC219" s="60"/>
      <c r="LD219" s="60"/>
      <c r="LE219" s="60"/>
      <c r="LF219" s="60"/>
      <c r="LG219" s="60"/>
      <c r="LH219" s="60"/>
    </row>
    <row r="220" spans="1:320" s="146" customFormat="1" x14ac:dyDescent="0.25">
      <c r="A220" s="147"/>
      <c r="B220" s="1"/>
      <c r="C220" s="1"/>
      <c r="D220" s="1"/>
      <c r="F220" s="148" t="s">
        <v>94</v>
      </c>
      <c r="G220" s="148"/>
      <c r="T220" s="17"/>
      <c r="U220" s="17"/>
      <c r="V220" s="17"/>
      <c r="W220" s="17"/>
      <c r="X220" s="17"/>
      <c r="Y220" s="17"/>
      <c r="Z220" s="17"/>
      <c r="AA220" s="17"/>
      <c r="AB220" s="17"/>
      <c r="AC220" s="60"/>
      <c r="AD220" s="60"/>
      <c r="AE220" s="60"/>
      <c r="AF220" s="60"/>
      <c r="AG220" s="60"/>
      <c r="AH220" s="60"/>
      <c r="AI220" s="60"/>
      <c r="AJ220" s="60"/>
      <c r="AK220" s="60"/>
      <c r="AL220" s="60"/>
      <c r="AM220" s="60"/>
      <c r="AN220" s="60"/>
      <c r="AO220" s="60"/>
      <c r="AP220" s="60"/>
      <c r="AQ220" s="60"/>
      <c r="AR220" s="60"/>
      <c r="AS220" s="60"/>
      <c r="AT220" s="60"/>
      <c r="AU220" s="60"/>
      <c r="AV220" s="60"/>
      <c r="AW220" s="60"/>
      <c r="AX220" s="60"/>
      <c r="AY220" s="60"/>
      <c r="AZ220" s="60"/>
      <c r="BA220" s="60"/>
      <c r="BB220" s="60"/>
      <c r="BC220" s="60"/>
      <c r="BD220" s="60"/>
      <c r="BE220" s="60"/>
      <c r="BF220" s="60"/>
      <c r="BG220" s="60"/>
      <c r="BH220" s="60"/>
      <c r="BI220" s="60"/>
      <c r="BJ220" s="60"/>
      <c r="BK220" s="60"/>
      <c r="BL220" s="60"/>
      <c r="BM220" s="60"/>
      <c r="BN220" s="60"/>
      <c r="BO220" s="60"/>
      <c r="BP220" s="60"/>
      <c r="BQ220" s="60"/>
      <c r="BR220" s="60"/>
      <c r="BS220" s="60"/>
      <c r="BT220" s="60"/>
      <c r="BU220" s="60"/>
      <c r="BV220" s="60"/>
      <c r="BW220" s="60"/>
      <c r="BX220" s="60"/>
      <c r="BY220" s="60"/>
      <c r="BZ220" s="60"/>
      <c r="CA220" s="60"/>
      <c r="CB220" s="60"/>
      <c r="CC220" s="60"/>
      <c r="CD220" s="60"/>
      <c r="CE220" s="60"/>
      <c r="CF220" s="60"/>
      <c r="CG220" s="60"/>
      <c r="CH220" s="60"/>
      <c r="CI220" s="60"/>
      <c r="CJ220" s="60"/>
      <c r="CK220" s="60"/>
      <c r="CL220" s="60"/>
      <c r="CM220" s="60"/>
      <c r="CN220" s="60"/>
      <c r="CO220" s="60"/>
      <c r="CP220" s="60"/>
      <c r="CQ220" s="60"/>
      <c r="CR220" s="60"/>
      <c r="CS220" s="60"/>
      <c r="CT220" s="60"/>
      <c r="CU220" s="60"/>
      <c r="CV220" s="60"/>
      <c r="CW220" s="60"/>
      <c r="CX220" s="60"/>
      <c r="CY220" s="60"/>
      <c r="CZ220" s="60"/>
      <c r="DA220" s="60"/>
      <c r="DB220" s="60"/>
      <c r="DC220" s="60"/>
      <c r="DD220" s="60"/>
      <c r="DE220" s="60"/>
      <c r="DF220" s="60"/>
      <c r="DG220" s="60"/>
      <c r="DH220" s="60"/>
      <c r="DI220" s="60"/>
      <c r="DJ220" s="60"/>
      <c r="DK220" s="60"/>
      <c r="DL220" s="60"/>
      <c r="DM220" s="60"/>
      <c r="DN220" s="60"/>
      <c r="DO220" s="60"/>
      <c r="DP220" s="60"/>
      <c r="DQ220" s="60"/>
      <c r="DR220" s="60"/>
      <c r="DS220" s="60"/>
      <c r="DT220" s="60"/>
      <c r="DU220" s="60"/>
      <c r="DV220" s="60"/>
      <c r="DW220" s="60"/>
      <c r="DX220" s="60"/>
      <c r="DY220" s="60"/>
      <c r="DZ220" s="60"/>
      <c r="EA220" s="60"/>
      <c r="EB220" s="60"/>
      <c r="EC220" s="60"/>
      <c r="ED220" s="60"/>
      <c r="EE220" s="60"/>
      <c r="EF220" s="60"/>
      <c r="EG220" s="60"/>
      <c r="EH220" s="60"/>
      <c r="EI220" s="60"/>
      <c r="EJ220" s="60"/>
      <c r="EK220" s="60"/>
      <c r="EL220" s="60"/>
      <c r="EM220" s="60"/>
      <c r="EN220" s="60"/>
      <c r="EO220" s="60"/>
      <c r="EP220" s="60"/>
      <c r="EQ220" s="60"/>
      <c r="ER220" s="60"/>
      <c r="ES220" s="60"/>
      <c r="ET220" s="60"/>
      <c r="EU220" s="60"/>
      <c r="EV220" s="60"/>
      <c r="EW220" s="60"/>
      <c r="EX220" s="60"/>
      <c r="EY220" s="60"/>
      <c r="EZ220" s="60"/>
      <c r="FA220" s="60"/>
      <c r="FB220" s="60"/>
      <c r="FC220" s="60"/>
      <c r="FD220" s="60"/>
      <c r="FE220" s="60"/>
      <c r="FF220" s="60"/>
      <c r="FG220" s="60"/>
      <c r="FH220" s="60"/>
      <c r="FI220" s="60"/>
      <c r="FJ220" s="60"/>
      <c r="FK220" s="60"/>
      <c r="FL220" s="60"/>
      <c r="FM220" s="60"/>
      <c r="FN220" s="60"/>
      <c r="FO220" s="60"/>
      <c r="FP220" s="60"/>
      <c r="FQ220" s="60"/>
      <c r="FR220" s="60"/>
      <c r="FS220" s="60"/>
      <c r="FT220" s="60"/>
      <c r="FU220" s="60"/>
      <c r="FV220" s="60"/>
      <c r="FW220" s="60"/>
      <c r="FX220" s="60"/>
      <c r="FY220" s="60"/>
      <c r="FZ220" s="60"/>
      <c r="GA220" s="60"/>
      <c r="GB220" s="60"/>
      <c r="GC220" s="60"/>
      <c r="GD220" s="60"/>
      <c r="GE220" s="60"/>
      <c r="GF220" s="60"/>
      <c r="GG220" s="60"/>
      <c r="GH220" s="60"/>
      <c r="GI220" s="60"/>
      <c r="GJ220" s="60"/>
      <c r="GK220" s="60"/>
      <c r="GL220" s="60"/>
      <c r="GM220" s="60"/>
      <c r="GN220" s="60"/>
      <c r="GO220" s="60"/>
      <c r="GP220" s="60"/>
      <c r="GQ220" s="60"/>
      <c r="GR220" s="60"/>
      <c r="GS220" s="60"/>
      <c r="GT220" s="60"/>
      <c r="GU220" s="60"/>
      <c r="GV220" s="60"/>
      <c r="GW220" s="60"/>
      <c r="GX220" s="60"/>
      <c r="GY220" s="60"/>
      <c r="GZ220" s="60"/>
      <c r="HA220" s="60"/>
      <c r="HB220" s="60"/>
      <c r="HC220" s="60"/>
      <c r="HD220" s="60"/>
      <c r="HE220" s="60"/>
      <c r="HF220" s="60"/>
      <c r="HG220" s="60"/>
      <c r="HH220" s="60"/>
      <c r="HI220" s="60"/>
      <c r="HJ220" s="60"/>
      <c r="HK220" s="60"/>
      <c r="HL220" s="60"/>
      <c r="HM220" s="60"/>
      <c r="HN220" s="60"/>
      <c r="HO220" s="60"/>
      <c r="HP220" s="60"/>
      <c r="HQ220" s="60"/>
      <c r="HR220" s="60"/>
      <c r="HS220" s="60"/>
      <c r="HT220" s="60"/>
      <c r="HU220" s="60"/>
      <c r="HV220" s="60"/>
      <c r="HW220" s="60"/>
      <c r="HX220" s="60"/>
      <c r="HY220" s="60"/>
      <c r="HZ220" s="60"/>
      <c r="IA220" s="60"/>
      <c r="IB220" s="60"/>
      <c r="IC220" s="60"/>
      <c r="ID220" s="60"/>
      <c r="IE220" s="60"/>
      <c r="IF220" s="60"/>
      <c r="IG220" s="60"/>
      <c r="IH220" s="60"/>
      <c r="II220" s="60"/>
      <c r="IJ220" s="60"/>
      <c r="IK220" s="60"/>
      <c r="IL220" s="60"/>
      <c r="IM220" s="60"/>
      <c r="IN220" s="60"/>
      <c r="IO220" s="60"/>
      <c r="IP220" s="60"/>
      <c r="IQ220" s="60"/>
      <c r="IR220" s="60"/>
      <c r="IS220" s="60"/>
      <c r="IT220" s="60"/>
      <c r="IU220" s="60"/>
      <c r="IV220" s="60"/>
      <c r="IW220" s="60"/>
      <c r="IX220" s="60"/>
      <c r="IY220" s="60"/>
      <c r="IZ220" s="60"/>
      <c r="JA220" s="60"/>
      <c r="JB220" s="60"/>
      <c r="JC220" s="60"/>
      <c r="JD220" s="60"/>
      <c r="JE220" s="60"/>
      <c r="JF220" s="60"/>
      <c r="JG220" s="60"/>
      <c r="JH220" s="60"/>
      <c r="JI220" s="60"/>
      <c r="JJ220" s="60"/>
      <c r="JK220" s="60"/>
      <c r="JL220" s="60"/>
      <c r="JM220" s="60"/>
      <c r="JN220" s="60"/>
      <c r="JO220" s="60"/>
      <c r="JP220" s="60"/>
      <c r="JQ220" s="60"/>
      <c r="JR220" s="60"/>
      <c r="JS220" s="60"/>
      <c r="JT220" s="60"/>
      <c r="JU220" s="60"/>
      <c r="JV220" s="60"/>
      <c r="JW220" s="60"/>
      <c r="JX220" s="60"/>
      <c r="JY220" s="60"/>
      <c r="JZ220" s="60"/>
      <c r="KA220" s="60"/>
      <c r="KB220" s="60"/>
      <c r="KC220" s="60"/>
      <c r="KD220" s="60"/>
      <c r="KE220" s="60"/>
      <c r="KF220" s="60"/>
      <c r="KG220" s="60"/>
      <c r="KH220" s="60"/>
      <c r="KI220" s="60"/>
      <c r="KJ220" s="60"/>
      <c r="KK220" s="60"/>
      <c r="KL220" s="60"/>
      <c r="KM220" s="60"/>
      <c r="KN220" s="60"/>
      <c r="KO220" s="60"/>
      <c r="KP220" s="60"/>
      <c r="KQ220" s="60"/>
      <c r="KR220" s="60"/>
      <c r="KS220" s="60"/>
      <c r="KT220" s="60"/>
      <c r="KU220" s="60"/>
      <c r="KV220" s="60"/>
      <c r="KW220" s="60"/>
      <c r="KX220" s="60"/>
      <c r="KY220" s="60"/>
      <c r="KZ220" s="60"/>
      <c r="LA220" s="60"/>
      <c r="LB220" s="60"/>
      <c r="LC220" s="60"/>
      <c r="LD220" s="60"/>
      <c r="LE220" s="60"/>
      <c r="LF220" s="60"/>
      <c r="LG220" s="60"/>
      <c r="LH220" s="60"/>
    </row>
    <row r="221" spans="1:320" s="146" customFormat="1" x14ac:dyDescent="0.25">
      <c r="A221" s="147"/>
      <c r="B221" s="1"/>
      <c r="C221" s="1"/>
      <c r="D221" s="1"/>
      <c r="F221" s="148">
        <v>2</v>
      </c>
      <c r="G221" s="148"/>
      <c r="T221" s="17"/>
      <c r="U221" s="17"/>
      <c r="V221" s="17"/>
      <c r="W221" s="17"/>
      <c r="X221" s="17"/>
      <c r="Y221" s="17"/>
      <c r="Z221" s="17"/>
      <c r="AA221" s="17"/>
      <c r="AB221" s="17"/>
      <c r="AC221" s="60"/>
      <c r="AD221" s="60"/>
      <c r="AE221" s="60"/>
      <c r="AF221" s="60"/>
      <c r="AG221" s="60"/>
      <c r="AH221" s="60"/>
      <c r="AI221" s="60"/>
      <c r="AJ221" s="60"/>
      <c r="AK221" s="60"/>
      <c r="AL221" s="60"/>
      <c r="AM221" s="60"/>
      <c r="AN221" s="60"/>
      <c r="AO221" s="60"/>
      <c r="AP221" s="60"/>
      <c r="AQ221" s="60"/>
      <c r="AR221" s="60"/>
      <c r="AS221" s="60"/>
      <c r="AT221" s="60"/>
      <c r="AU221" s="60"/>
      <c r="AV221" s="60"/>
      <c r="AW221" s="60"/>
      <c r="AX221" s="60"/>
      <c r="AY221" s="60"/>
      <c r="AZ221" s="60"/>
      <c r="BA221" s="60"/>
      <c r="BB221" s="60"/>
      <c r="BC221" s="60"/>
      <c r="BD221" s="60"/>
      <c r="BE221" s="60"/>
      <c r="BF221" s="60"/>
      <c r="BG221" s="60"/>
      <c r="BH221" s="60"/>
      <c r="BI221" s="60"/>
      <c r="BJ221" s="60"/>
      <c r="BK221" s="60"/>
      <c r="BL221" s="60"/>
      <c r="BM221" s="60"/>
      <c r="BN221" s="60"/>
      <c r="BO221" s="60"/>
      <c r="BP221" s="60"/>
      <c r="BQ221" s="60"/>
      <c r="BR221" s="60"/>
      <c r="BS221" s="60"/>
      <c r="BT221" s="60"/>
      <c r="BU221" s="60"/>
      <c r="BV221" s="60"/>
      <c r="BW221" s="60"/>
      <c r="BX221" s="60"/>
      <c r="BY221" s="60"/>
      <c r="BZ221" s="60"/>
      <c r="CA221" s="60"/>
      <c r="CB221" s="60"/>
      <c r="CC221" s="60"/>
      <c r="CD221" s="60"/>
      <c r="CE221" s="60"/>
      <c r="CF221" s="60"/>
      <c r="CG221" s="60"/>
      <c r="CH221" s="60"/>
      <c r="CI221" s="60"/>
      <c r="CJ221" s="60"/>
      <c r="CK221" s="60"/>
      <c r="CL221" s="60"/>
      <c r="CM221" s="60"/>
      <c r="CN221" s="60"/>
      <c r="CO221" s="60"/>
      <c r="CP221" s="60"/>
      <c r="CQ221" s="60"/>
      <c r="CR221" s="60"/>
      <c r="CS221" s="60"/>
      <c r="CT221" s="60"/>
      <c r="CU221" s="60"/>
      <c r="CV221" s="60"/>
      <c r="CW221" s="60"/>
      <c r="CX221" s="60"/>
      <c r="CY221" s="60"/>
      <c r="CZ221" s="60"/>
      <c r="DA221" s="60"/>
      <c r="DB221" s="60"/>
      <c r="DC221" s="60"/>
      <c r="DD221" s="60"/>
      <c r="DE221" s="60"/>
      <c r="DF221" s="60"/>
      <c r="DG221" s="60"/>
      <c r="DH221" s="60"/>
      <c r="DI221" s="60"/>
      <c r="DJ221" s="60"/>
      <c r="DK221" s="60"/>
      <c r="DL221" s="60"/>
      <c r="DM221" s="60"/>
      <c r="DN221" s="60"/>
      <c r="DO221" s="60"/>
      <c r="DP221" s="60"/>
      <c r="DQ221" s="60"/>
      <c r="DR221" s="60"/>
      <c r="DS221" s="60"/>
      <c r="DT221" s="60"/>
      <c r="DU221" s="60"/>
      <c r="DV221" s="60"/>
      <c r="DW221" s="60"/>
      <c r="DX221" s="60"/>
      <c r="DY221" s="60"/>
      <c r="DZ221" s="60"/>
      <c r="EA221" s="60"/>
      <c r="EB221" s="60"/>
      <c r="EC221" s="60"/>
      <c r="ED221" s="60"/>
      <c r="EE221" s="60"/>
      <c r="EF221" s="60"/>
      <c r="EG221" s="60"/>
      <c r="EH221" s="60"/>
      <c r="EI221" s="60"/>
      <c r="EJ221" s="60"/>
      <c r="EK221" s="60"/>
      <c r="EL221" s="60"/>
      <c r="EM221" s="60"/>
      <c r="EN221" s="60"/>
      <c r="EO221" s="60"/>
      <c r="EP221" s="60"/>
      <c r="EQ221" s="60"/>
      <c r="ER221" s="60"/>
      <c r="ES221" s="60"/>
      <c r="ET221" s="60"/>
      <c r="EU221" s="60"/>
      <c r="EV221" s="60"/>
      <c r="EW221" s="60"/>
      <c r="EX221" s="60"/>
      <c r="EY221" s="60"/>
      <c r="EZ221" s="60"/>
      <c r="FA221" s="60"/>
      <c r="FB221" s="60"/>
      <c r="FC221" s="60"/>
      <c r="FD221" s="60"/>
      <c r="FE221" s="60"/>
      <c r="FF221" s="60"/>
      <c r="FG221" s="60"/>
      <c r="FH221" s="60"/>
      <c r="FI221" s="60"/>
      <c r="FJ221" s="60"/>
      <c r="FK221" s="60"/>
      <c r="FL221" s="60"/>
      <c r="FM221" s="60"/>
      <c r="FN221" s="60"/>
      <c r="FO221" s="60"/>
      <c r="FP221" s="60"/>
      <c r="FQ221" s="60"/>
      <c r="FR221" s="60"/>
      <c r="FS221" s="60"/>
      <c r="FT221" s="60"/>
      <c r="FU221" s="60"/>
      <c r="FV221" s="60"/>
      <c r="FW221" s="60"/>
      <c r="FX221" s="60"/>
      <c r="FY221" s="60"/>
      <c r="FZ221" s="60"/>
      <c r="GA221" s="60"/>
      <c r="GB221" s="60"/>
      <c r="GC221" s="60"/>
      <c r="GD221" s="60"/>
      <c r="GE221" s="60"/>
      <c r="GF221" s="60"/>
      <c r="GG221" s="60"/>
      <c r="GH221" s="60"/>
      <c r="GI221" s="60"/>
      <c r="GJ221" s="60"/>
      <c r="GK221" s="60"/>
      <c r="GL221" s="60"/>
      <c r="GM221" s="60"/>
      <c r="GN221" s="60"/>
      <c r="GO221" s="60"/>
      <c r="GP221" s="60"/>
      <c r="GQ221" s="60"/>
      <c r="GR221" s="60"/>
      <c r="GS221" s="60"/>
      <c r="GT221" s="60"/>
      <c r="GU221" s="60"/>
      <c r="GV221" s="60"/>
      <c r="GW221" s="60"/>
      <c r="GX221" s="60"/>
      <c r="GY221" s="60"/>
      <c r="GZ221" s="60"/>
      <c r="HA221" s="60"/>
      <c r="HB221" s="60"/>
      <c r="HC221" s="60"/>
      <c r="HD221" s="60"/>
      <c r="HE221" s="60"/>
      <c r="HF221" s="60"/>
      <c r="HG221" s="60"/>
      <c r="HH221" s="60"/>
      <c r="HI221" s="60"/>
      <c r="HJ221" s="60"/>
      <c r="HK221" s="60"/>
      <c r="HL221" s="60"/>
      <c r="HM221" s="60"/>
      <c r="HN221" s="60"/>
      <c r="HO221" s="60"/>
      <c r="HP221" s="60"/>
      <c r="HQ221" s="60"/>
      <c r="HR221" s="60"/>
      <c r="HS221" s="60"/>
      <c r="HT221" s="60"/>
      <c r="HU221" s="60"/>
      <c r="HV221" s="60"/>
      <c r="HW221" s="60"/>
      <c r="HX221" s="60"/>
      <c r="HY221" s="60"/>
      <c r="HZ221" s="60"/>
      <c r="IA221" s="60"/>
      <c r="IB221" s="60"/>
      <c r="IC221" s="60"/>
      <c r="ID221" s="60"/>
      <c r="IE221" s="60"/>
      <c r="IF221" s="60"/>
      <c r="IG221" s="60"/>
      <c r="IH221" s="60"/>
      <c r="II221" s="60"/>
      <c r="IJ221" s="60"/>
      <c r="IK221" s="60"/>
      <c r="IL221" s="60"/>
      <c r="IM221" s="60"/>
      <c r="IN221" s="60"/>
      <c r="IO221" s="60"/>
      <c r="IP221" s="60"/>
      <c r="IQ221" s="60"/>
      <c r="IR221" s="60"/>
      <c r="IS221" s="60"/>
      <c r="IT221" s="60"/>
      <c r="IU221" s="60"/>
      <c r="IV221" s="60"/>
      <c r="IW221" s="60"/>
      <c r="IX221" s="60"/>
      <c r="IY221" s="60"/>
      <c r="IZ221" s="60"/>
      <c r="JA221" s="60"/>
      <c r="JB221" s="60"/>
      <c r="JC221" s="60"/>
      <c r="JD221" s="60"/>
      <c r="JE221" s="60"/>
      <c r="JF221" s="60"/>
      <c r="JG221" s="60"/>
      <c r="JH221" s="60"/>
      <c r="JI221" s="60"/>
      <c r="JJ221" s="60"/>
      <c r="JK221" s="60"/>
      <c r="JL221" s="60"/>
      <c r="JM221" s="60"/>
      <c r="JN221" s="60"/>
      <c r="JO221" s="60"/>
      <c r="JP221" s="60"/>
      <c r="JQ221" s="60"/>
      <c r="JR221" s="60"/>
      <c r="JS221" s="60"/>
      <c r="JT221" s="60"/>
      <c r="JU221" s="60"/>
      <c r="JV221" s="60"/>
      <c r="JW221" s="60"/>
      <c r="JX221" s="60"/>
      <c r="JY221" s="60"/>
      <c r="JZ221" s="60"/>
      <c r="KA221" s="60"/>
      <c r="KB221" s="60"/>
      <c r="KC221" s="60"/>
      <c r="KD221" s="60"/>
      <c r="KE221" s="60"/>
      <c r="KF221" s="60"/>
      <c r="KG221" s="60"/>
      <c r="KH221" s="60"/>
      <c r="KI221" s="60"/>
      <c r="KJ221" s="60"/>
      <c r="KK221" s="60"/>
      <c r="KL221" s="60"/>
      <c r="KM221" s="60"/>
      <c r="KN221" s="60"/>
      <c r="KO221" s="60"/>
      <c r="KP221" s="60"/>
      <c r="KQ221" s="60"/>
      <c r="KR221" s="60"/>
      <c r="KS221" s="60"/>
      <c r="KT221" s="60"/>
      <c r="KU221" s="60"/>
      <c r="KV221" s="60"/>
      <c r="KW221" s="60"/>
      <c r="KX221" s="60"/>
      <c r="KY221" s="60"/>
      <c r="KZ221" s="60"/>
      <c r="LA221" s="60"/>
      <c r="LB221" s="60"/>
      <c r="LC221" s="60"/>
      <c r="LD221" s="60"/>
      <c r="LE221" s="60"/>
      <c r="LF221" s="60"/>
      <c r="LG221" s="60"/>
      <c r="LH221" s="60"/>
    </row>
    <row r="222" spans="1:320" s="146" customFormat="1" x14ac:dyDescent="0.25">
      <c r="A222" s="147"/>
      <c r="B222" s="1"/>
      <c r="C222" s="1"/>
      <c r="D222" s="1"/>
      <c r="F222" s="148">
        <v>3</v>
      </c>
      <c r="G222" s="148"/>
      <c r="T222" s="17"/>
      <c r="U222" s="17"/>
      <c r="V222" s="17"/>
      <c r="W222" s="17"/>
      <c r="X222" s="17"/>
      <c r="Y222" s="17"/>
      <c r="Z222" s="17"/>
      <c r="AA222" s="17"/>
      <c r="AB222" s="17"/>
      <c r="AC222" s="60"/>
      <c r="AD222" s="60"/>
      <c r="AE222" s="60"/>
      <c r="AF222" s="60"/>
      <c r="AG222" s="60"/>
      <c r="AH222" s="60"/>
      <c r="AI222" s="60"/>
      <c r="AJ222" s="60"/>
      <c r="AK222" s="60"/>
      <c r="AL222" s="60"/>
      <c r="AM222" s="60"/>
      <c r="AN222" s="60"/>
      <c r="AO222" s="60"/>
      <c r="AP222" s="60"/>
      <c r="AQ222" s="60"/>
      <c r="AR222" s="60"/>
      <c r="AS222" s="60"/>
      <c r="AT222" s="60"/>
      <c r="AU222" s="60"/>
      <c r="AV222" s="60"/>
      <c r="AW222" s="60"/>
      <c r="AX222" s="60"/>
      <c r="AY222" s="60"/>
      <c r="AZ222" s="60"/>
      <c r="BA222" s="60"/>
      <c r="BB222" s="60"/>
      <c r="BC222" s="60"/>
      <c r="BD222" s="60"/>
      <c r="BE222" s="60"/>
      <c r="BF222" s="60"/>
      <c r="BG222" s="60"/>
      <c r="BH222" s="60"/>
      <c r="BI222" s="60"/>
      <c r="BJ222" s="60"/>
      <c r="BK222" s="60"/>
      <c r="BL222" s="60"/>
      <c r="BM222" s="60"/>
      <c r="BN222" s="60"/>
      <c r="BO222" s="60"/>
      <c r="BP222" s="60"/>
      <c r="BQ222" s="60"/>
      <c r="BR222" s="60"/>
      <c r="BS222" s="60"/>
      <c r="BT222" s="60"/>
      <c r="BU222" s="60"/>
      <c r="BV222" s="60"/>
      <c r="BW222" s="60"/>
      <c r="BX222" s="60"/>
      <c r="BY222" s="60"/>
      <c r="BZ222" s="60"/>
      <c r="CA222" s="60"/>
      <c r="CB222" s="60"/>
      <c r="CC222" s="60"/>
      <c r="CD222" s="60"/>
      <c r="CE222" s="60"/>
      <c r="CF222" s="60"/>
      <c r="CG222" s="60"/>
      <c r="CH222" s="60"/>
      <c r="CI222" s="60"/>
      <c r="CJ222" s="60"/>
      <c r="CK222" s="60"/>
      <c r="CL222" s="60"/>
      <c r="CM222" s="60"/>
      <c r="CN222" s="60"/>
      <c r="CO222" s="60"/>
      <c r="CP222" s="60"/>
      <c r="CQ222" s="60"/>
      <c r="CR222" s="60"/>
      <c r="CS222" s="60"/>
      <c r="CT222" s="60"/>
      <c r="CU222" s="60"/>
      <c r="CV222" s="60"/>
      <c r="CW222" s="60"/>
      <c r="CX222" s="60"/>
      <c r="CY222" s="60"/>
      <c r="CZ222" s="60"/>
      <c r="DA222" s="60"/>
      <c r="DB222" s="60"/>
      <c r="DC222" s="60"/>
      <c r="DD222" s="60"/>
      <c r="DE222" s="60"/>
      <c r="DF222" s="60"/>
      <c r="DG222" s="60"/>
      <c r="DH222" s="60"/>
      <c r="DI222" s="60"/>
      <c r="DJ222" s="60"/>
      <c r="DK222" s="60"/>
      <c r="DL222" s="60"/>
      <c r="DM222" s="60"/>
      <c r="DN222" s="60"/>
      <c r="DO222" s="60"/>
      <c r="DP222" s="60"/>
      <c r="DQ222" s="60"/>
      <c r="DR222" s="60"/>
      <c r="DS222" s="60"/>
      <c r="DT222" s="60"/>
      <c r="DU222" s="60"/>
      <c r="DV222" s="60"/>
      <c r="DW222" s="60"/>
      <c r="DX222" s="60"/>
      <c r="DY222" s="60"/>
      <c r="DZ222" s="60"/>
      <c r="EA222" s="60"/>
      <c r="EB222" s="60"/>
      <c r="EC222" s="60"/>
      <c r="ED222" s="60"/>
      <c r="EE222" s="60"/>
      <c r="EF222" s="60"/>
      <c r="EG222" s="60"/>
      <c r="EH222" s="60"/>
      <c r="EI222" s="60"/>
      <c r="EJ222" s="60"/>
      <c r="EK222" s="60"/>
      <c r="EL222" s="60"/>
      <c r="EM222" s="60"/>
      <c r="EN222" s="60"/>
      <c r="EO222" s="60"/>
      <c r="EP222" s="60"/>
      <c r="EQ222" s="60"/>
      <c r="ER222" s="60"/>
      <c r="ES222" s="60"/>
      <c r="ET222" s="60"/>
      <c r="EU222" s="60"/>
      <c r="EV222" s="60"/>
      <c r="EW222" s="60"/>
      <c r="EX222" s="60"/>
      <c r="EY222" s="60"/>
      <c r="EZ222" s="60"/>
      <c r="FA222" s="60"/>
      <c r="FB222" s="60"/>
      <c r="FC222" s="60"/>
      <c r="FD222" s="60"/>
      <c r="FE222" s="60"/>
      <c r="FF222" s="60"/>
      <c r="FG222" s="60"/>
      <c r="FH222" s="60"/>
      <c r="FI222" s="60"/>
      <c r="FJ222" s="60"/>
      <c r="FK222" s="60"/>
      <c r="FL222" s="60"/>
      <c r="FM222" s="60"/>
      <c r="FN222" s="60"/>
      <c r="FO222" s="60"/>
      <c r="FP222" s="60"/>
      <c r="FQ222" s="60"/>
      <c r="FR222" s="60"/>
      <c r="FS222" s="60"/>
      <c r="FT222" s="60"/>
      <c r="FU222" s="60"/>
      <c r="FV222" s="60"/>
      <c r="FW222" s="60"/>
      <c r="FX222" s="60"/>
      <c r="FY222" s="60"/>
      <c r="FZ222" s="60"/>
      <c r="GA222" s="60"/>
      <c r="GB222" s="60"/>
      <c r="GC222" s="60"/>
      <c r="GD222" s="60"/>
      <c r="GE222" s="60"/>
      <c r="GF222" s="60"/>
      <c r="GG222" s="60"/>
      <c r="GH222" s="60"/>
      <c r="GI222" s="60"/>
      <c r="GJ222" s="60"/>
      <c r="GK222" s="60"/>
      <c r="GL222" s="60"/>
      <c r="GM222" s="60"/>
      <c r="GN222" s="60"/>
      <c r="GO222" s="60"/>
      <c r="GP222" s="60"/>
      <c r="GQ222" s="60"/>
      <c r="GR222" s="60"/>
      <c r="GS222" s="60"/>
      <c r="GT222" s="60"/>
      <c r="GU222" s="60"/>
      <c r="GV222" s="60"/>
      <c r="GW222" s="60"/>
      <c r="GX222" s="60"/>
      <c r="GY222" s="60"/>
      <c r="GZ222" s="60"/>
      <c r="HA222" s="60"/>
      <c r="HB222" s="60"/>
      <c r="HC222" s="60"/>
      <c r="HD222" s="60"/>
      <c r="HE222" s="60"/>
      <c r="HF222" s="60"/>
      <c r="HG222" s="60"/>
      <c r="HH222" s="60"/>
      <c r="HI222" s="60"/>
      <c r="HJ222" s="60"/>
      <c r="HK222" s="60"/>
      <c r="HL222" s="60"/>
      <c r="HM222" s="60"/>
      <c r="HN222" s="60"/>
      <c r="HO222" s="60"/>
      <c r="HP222" s="60"/>
      <c r="HQ222" s="60"/>
      <c r="HR222" s="60"/>
      <c r="HS222" s="60"/>
      <c r="HT222" s="60"/>
      <c r="HU222" s="60"/>
      <c r="HV222" s="60"/>
      <c r="HW222" s="60"/>
      <c r="HX222" s="60"/>
      <c r="HY222" s="60"/>
      <c r="HZ222" s="60"/>
      <c r="IA222" s="60"/>
      <c r="IB222" s="60"/>
      <c r="IC222" s="60"/>
      <c r="ID222" s="60"/>
      <c r="IE222" s="60"/>
      <c r="IF222" s="60"/>
      <c r="IG222" s="60"/>
      <c r="IH222" s="60"/>
      <c r="II222" s="60"/>
      <c r="IJ222" s="60"/>
      <c r="IK222" s="60"/>
      <c r="IL222" s="60"/>
      <c r="IM222" s="60"/>
      <c r="IN222" s="60"/>
      <c r="IO222" s="60"/>
      <c r="IP222" s="60"/>
      <c r="IQ222" s="60"/>
      <c r="IR222" s="60"/>
      <c r="IS222" s="60"/>
      <c r="IT222" s="60"/>
      <c r="IU222" s="60"/>
      <c r="IV222" s="60"/>
      <c r="IW222" s="60"/>
      <c r="IX222" s="60"/>
      <c r="IY222" s="60"/>
      <c r="IZ222" s="60"/>
      <c r="JA222" s="60"/>
      <c r="JB222" s="60"/>
      <c r="JC222" s="60"/>
      <c r="JD222" s="60"/>
      <c r="JE222" s="60"/>
      <c r="JF222" s="60"/>
      <c r="JG222" s="60"/>
      <c r="JH222" s="60"/>
      <c r="JI222" s="60"/>
      <c r="JJ222" s="60"/>
      <c r="JK222" s="60"/>
      <c r="JL222" s="60"/>
      <c r="JM222" s="60"/>
      <c r="JN222" s="60"/>
      <c r="JO222" s="60"/>
      <c r="JP222" s="60"/>
      <c r="JQ222" s="60"/>
      <c r="JR222" s="60"/>
      <c r="JS222" s="60"/>
      <c r="JT222" s="60"/>
      <c r="JU222" s="60"/>
      <c r="JV222" s="60"/>
      <c r="JW222" s="60"/>
      <c r="JX222" s="60"/>
      <c r="JY222" s="60"/>
      <c r="JZ222" s="60"/>
      <c r="KA222" s="60"/>
      <c r="KB222" s="60"/>
      <c r="KC222" s="60"/>
      <c r="KD222" s="60"/>
      <c r="KE222" s="60"/>
      <c r="KF222" s="60"/>
      <c r="KG222" s="60"/>
      <c r="KH222" s="60"/>
      <c r="KI222" s="60"/>
      <c r="KJ222" s="60"/>
      <c r="KK222" s="60"/>
      <c r="KL222" s="60"/>
      <c r="KM222" s="60"/>
      <c r="KN222" s="60"/>
      <c r="KO222" s="60"/>
      <c r="KP222" s="60"/>
      <c r="KQ222" s="60"/>
      <c r="KR222" s="60"/>
      <c r="KS222" s="60"/>
      <c r="KT222" s="60"/>
      <c r="KU222" s="60"/>
      <c r="KV222" s="60"/>
      <c r="KW222" s="60"/>
      <c r="KX222" s="60"/>
      <c r="KY222" s="60"/>
      <c r="KZ222" s="60"/>
      <c r="LA222" s="60"/>
      <c r="LB222" s="60"/>
      <c r="LC222" s="60"/>
      <c r="LD222" s="60"/>
      <c r="LE222" s="60"/>
      <c r="LF222" s="60"/>
      <c r="LG222" s="60"/>
      <c r="LH222" s="60"/>
    </row>
    <row r="223" spans="1:320" s="146" customFormat="1" x14ac:dyDescent="0.25">
      <c r="A223" s="147"/>
      <c r="B223" s="1"/>
      <c r="C223" s="1"/>
      <c r="D223" s="1"/>
      <c r="F223" s="148">
        <v>4</v>
      </c>
      <c r="G223" s="148"/>
      <c r="T223" s="17"/>
      <c r="U223" s="17"/>
      <c r="V223" s="17"/>
      <c r="W223" s="17"/>
      <c r="X223" s="17"/>
      <c r="Y223" s="17"/>
      <c r="Z223" s="17"/>
      <c r="AA223" s="17"/>
      <c r="AB223" s="17"/>
      <c r="AC223" s="60"/>
      <c r="AD223" s="60"/>
      <c r="AE223" s="60"/>
      <c r="AF223" s="60"/>
      <c r="AG223" s="60"/>
      <c r="AH223" s="60"/>
      <c r="AI223" s="60"/>
      <c r="AJ223" s="60"/>
      <c r="AK223" s="60"/>
      <c r="AL223" s="60"/>
      <c r="AM223" s="60"/>
      <c r="AN223" s="60"/>
      <c r="AO223" s="60"/>
      <c r="AP223" s="60"/>
      <c r="AQ223" s="60"/>
      <c r="AR223" s="60"/>
      <c r="AS223" s="60"/>
      <c r="AT223" s="60"/>
      <c r="AU223" s="60"/>
      <c r="AV223" s="60"/>
      <c r="AW223" s="60"/>
      <c r="AX223" s="60"/>
      <c r="AY223" s="60"/>
      <c r="AZ223" s="60"/>
      <c r="BA223" s="60"/>
      <c r="BB223" s="60"/>
      <c r="BC223" s="60"/>
      <c r="BD223" s="60"/>
      <c r="BE223" s="60"/>
      <c r="BF223" s="60"/>
      <c r="BG223" s="60"/>
      <c r="BH223" s="60"/>
      <c r="BI223" s="60"/>
      <c r="BJ223" s="60"/>
      <c r="BK223" s="60"/>
      <c r="BL223" s="60"/>
      <c r="BM223" s="60"/>
      <c r="BN223" s="60"/>
      <c r="BO223" s="60"/>
      <c r="BP223" s="60"/>
      <c r="BQ223" s="60"/>
      <c r="BR223" s="60"/>
      <c r="BS223" s="60"/>
      <c r="BT223" s="60"/>
      <c r="BU223" s="60"/>
      <c r="BV223" s="60"/>
      <c r="BW223" s="60"/>
      <c r="BX223" s="60"/>
      <c r="BY223" s="60"/>
      <c r="BZ223" s="60"/>
      <c r="CA223" s="60"/>
      <c r="CB223" s="60"/>
      <c r="CC223" s="60"/>
      <c r="CD223" s="60"/>
      <c r="CE223" s="60"/>
      <c r="CF223" s="60"/>
      <c r="CG223" s="60"/>
      <c r="CH223" s="60"/>
      <c r="CI223" s="60"/>
      <c r="CJ223" s="60"/>
      <c r="CK223" s="60"/>
      <c r="CL223" s="60"/>
      <c r="CM223" s="60"/>
      <c r="CN223" s="60"/>
      <c r="CO223" s="60"/>
      <c r="CP223" s="60"/>
      <c r="CQ223" s="60"/>
      <c r="CR223" s="60"/>
      <c r="CS223" s="60"/>
      <c r="CT223" s="60"/>
      <c r="CU223" s="60"/>
      <c r="CV223" s="60"/>
      <c r="CW223" s="60"/>
      <c r="CX223" s="60"/>
      <c r="CY223" s="60"/>
      <c r="CZ223" s="60"/>
      <c r="DA223" s="60"/>
      <c r="DB223" s="60"/>
      <c r="DC223" s="60"/>
      <c r="DD223" s="60"/>
      <c r="DE223" s="60"/>
      <c r="DF223" s="60"/>
      <c r="DG223" s="60"/>
      <c r="DH223" s="60"/>
      <c r="DI223" s="60"/>
      <c r="DJ223" s="60"/>
      <c r="DK223" s="60"/>
      <c r="DL223" s="60"/>
      <c r="DM223" s="60"/>
      <c r="DN223" s="60"/>
      <c r="DO223" s="60"/>
      <c r="DP223" s="60"/>
      <c r="DQ223" s="60"/>
      <c r="DR223" s="60"/>
      <c r="DS223" s="60"/>
      <c r="DT223" s="60"/>
      <c r="DU223" s="60"/>
      <c r="DV223" s="60"/>
      <c r="DW223" s="60"/>
      <c r="DX223" s="60"/>
      <c r="DY223" s="60"/>
      <c r="DZ223" s="60"/>
      <c r="EA223" s="60"/>
      <c r="EB223" s="60"/>
      <c r="EC223" s="60"/>
      <c r="ED223" s="60"/>
      <c r="EE223" s="60"/>
      <c r="EF223" s="60"/>
      <c r="EG223" s="60"/>
      <c r="EH223" s="60"/>
      <c r="EI223" s="60"/>
      <c r="EJ223" s="60"/>
      <c r="EK223" s="60"/>
      <c r="EL223" s="60"/>
      <c r="EM223" s="60"/>
      <c r="EN223" s="60"/>
      <c r="EO223" s="60"/>
      <c r="EP223" s="60"/>
      <c r="EQ223" s="60"/>
      <c r="ER223" s="60"/>
      <c r="ES223" s="60"/>
      <c r="ET223" s="60"/>
      <c r="EU223" s="60"/>
      <c r="EV223" s="60"/>
      <c r="EW223" s="60"/>
      <c r="EX223" s="60"/>
      <c r="EY223" s="60"/>
      <c r="EZ223" s="60"/>
      <c r="FA223" s="60"/>
      <c r="FB223" s="60"/>
      <c r="FC223" s="60"/>
      <c r="FD223" s="60"/>
      <c r="FE223" s="60"/>
      <c r="FF223" s="60"/>
      <c r="FG223" s="60"/>
      <c r="FH223" s="60"/>
      <c r="FI223" s="60"/>
      <c r="FJ223" s="60"/>
      <c r="FK223" s="60"/>
      <c r="FL223" s="60"/>
      <c r="FM223" s="60"/>
      <c r="FN223" s="60"/>
      <c r="FO223" s="60"/>
      <c r="FP223" s="60"/>
      <c r="FQ223" s="60"/>
      <c r="FR223" s="60"/>
      <c r="FS223" s="60"/>
      <c r="FT223" s="60"/>
      <c r="FU223" s="60"/>
      <c r="FV223" s="60"/>
      <c r="FW223" s="60"/>
      <c r="FX223" s="60"/>
      <c r="FY223" s="60"/>
      <c r="FZ223" s="60"/>
      <c r="GA223" s="60"/>
      <c r="GB223" s="60"/>
      <c r="GC223" s="60"/>
      <c r="GD223" s="60"/>
      <c r="GE223" s="60"/>
      <c r="GF223" s="60"/>
      <c r="GG223" s="60"/>
      <c r="GH223" s="60"/>
      <c r="GI223" s="60"/>
      <c r="GJ223" s="60"/>
      <c r="GK223" s="60"/>
      <c r="GL223" s="60"/>
      <c r="GM223" s="60"/>
      <c r="GN223" s="60"/>
      <c r="GO223" s="60"/>
      <c r="GP223" s="60"/>
      <c r="GQ223" s="60"/>
      <c r="GR223" s="60"/>
      <c r="GS223" s="60"/>
      <c r="GT223" s="60"/>
      <c r="GU223" s="60"/>
      <c r="GV223" s="60"/>
      <c r="GW223" s="60"/>
      <c r="GX223" s="60"/>
      <c r="GY223" s="60"/>
      <c r="GZ223" s="60"/>
      <c r="HA223" s="60"/>
      <c r="HB223" s="60"/>
      <c r="HC223" s="60"/>
      <c r="HD223" s="60"/>
      <c r="HE223" s="60"/>
      <c r="HF223" s="60"/>
      <c r="HG223" s="60"/>
      <c r="HH223" s="60"/>
      <c r="HI223" s="60"/>
      <c r="HJ223" s="60"/>
      <c r="HK223" s="60"/>
      <c r="HL223" s="60"/>
      <c r="HM223" s="60"/>
      <c r="HN223" s="60"/>
      <c r="HO223" s="60"/>
      <c r="HP223" s="60"/>
      <c r="HQ223" s="60"/>
      <c r="HR223" s="60"/>
      <c r="HS223" s="60"/>
      <c r="HT223" s="60"/>
      <c r="HU223" s="60"/>
      <c r="HV223" s="60"/>
      <c r="HW223" s="60"/>
      <c r="HX223" s="60"/>
      <c r="HY223" s="60"/>
      <c r="HZ223" s="60"/>
      <c r="IA223" s="60"/>
      <c r="IB223" s="60"/>
      <c r="IC223" s="60"/>
      <c r="ID223" s="60"/>
      <c r="IE223" s="60"/>
      <c r="IF223" s="60"/>
      <c r="IG223" s="60"/>
      <c r="IH223" s="60"/>
      <c r="II223" s="60"/>
      <c r="IJ223" s="60"/>
      <c r="IK223" s="60"/>
      <c r="IL223" s="60"/>
      <c r="IM223" s="60"/>
      <c r="IN223" s="60"/>
      <c r="IO223" s="60"/>
      <c r="IP223" s="60"/>
      <c r="IQ223" s="60"/>
      <c r="IR223" s="60"/>
      <c r="IS223" s="60"/>
      <c r="IT223" s="60"/>
      <c r="IU223" s="60"/>
      <c r="IV223" s="60"/>
      <c r="IW223" s="60"/>
      <c r="IX223" s="60"/>
      <c r="IY223" s="60"/>
      <c r="IZ223" s="60"/>
      <c r="JA223" s="60"/>
      <c r="JB223" s="60"/>
      <c r="JC223" s="60"/>
      <c r="JD223" s="60"/>
      <c r="JE223" s="60"/>
      <c r="JF223" s="60"/>
      <c r="JG223" s="60"/>
      <c r="JH223" s="60"/>
      <c r="JI223" s="60"/>
      <c r="JJ223" s="60"/>
      <c r="JK223" s="60"/>
      <c r="JL223" s="60"/>
      <c r="JM223" s="60"/>
      <c r="JN223" s="60"/>
      <c r="JO223" s="60"/>
      <c r="JP223" s="60"/>
      <c r="JQ223" s="60"/>
      <c r="JR223" s="60"/>
      <c r="JS223" s="60"/>
      <c r="JT223" s="60"/>
      <c r="JU223" s="60"/>
      <c r="JV223" s="60"/>
      <c r="JW223" s="60"/>
      <c r="JX223" s="60"/>
      <c r="JY223" s="60"/>
      <c r="JZ223" s="60"/>
      <c r="KA223" s="60"/>
      <c r="KB223" s="60"/>
      <c r="KC223" s="60"/>
      <c r="KD223" s="60"/>
      <c r="KE223" s="60"/>
      <c r="KF223" s="60"/>
      <c r="KG223" s="60"/>
      <c r="KH223" s="60"/>
      <c r="KI223" s="60"/>
      <c r="KJ223" s="60"/>
      <c r="KK223" s="60"/>
      <c r="KL223" s="60"/>
      <c r="KM223" s="60"/>
      <c r="KN223" s="60"/>
      <c r="KO223" s="60"/>
      <c r="KP223" s="60"/>
      <c r="KQ223" s="60"/>
      <c r="KR223" s="60"/>
      <c r="KS223" s="60"/>
      <c r="KT223" s="60"/>
      <c r="KU223" s="60"/>
      <c r="KV223" s="60"/>
      <c r="KW223" s="60"/>
      <c r="KX223" s="60"/>
      <c r="KY223" s="60"/>
      <c r="KZ223" s="60"/>
      <c r="LA223" s="60"/>
      <c r="LB223" s="60"/>
      <c r="LC223" s="60"/>
      <c r="LD223" s="60"/>
      <c r="LE223" s="60"/>
      <c r="LF223" s="60"/>
      <c r="LG223" s="60"/>
      <c r="LH223" s="60"/>
    </row>
    <row r="224" spans="1:320" s="146" customFormat="1" x14ac:dyDescent="0.25">
      <c r="A224" s="147"/>
      <c r="B224" s="1"/>
      <c r="C224" s="1"/>
      <c r="D224" s="1"/>
      <c r="F224" s="148">
        <v>5</v>
      </c>
      <c r="G224" s="148"/>
      <c r="T224" s="17"/>
      <c r="U224" s="17"/>
      <c r="V224" s="17"/>
      <c r="W224" s="17"/>
      <c r="X224" s="17"/>
      <c r="Y224" s="17"/>
      <c r="Z224" s="17"/>
      <c r="AA224" s="17"/>
      <c r="AB224" s="17"/>
      <c r="AC224" s="60"/>
      <c r="AD224" s="60"/>
      <c r="AE224" s="60"/>
      <c r="AF224" s="60"/>
      <c r="AG224" s="60"/>
      <c r="AH224" s="60"/>
      <c r="AI224" s="60"/>
      <c r="AJ224" s="60"/>
      <c r="AK224" s="60"/>
      <c r="AL224" s="60"/>
      <c r="AM224" s="60"/>
      <c r="AN224" s="60"/>
      <c r="AO224" s="60"/>
      <c r="AP224" s="60"/>
      <c r="AQ224" s="60"/>
      <c r="AR224" s="60"/>
      <c r="AS224" s="60"/>
      <c r="AT224" s="60"/>
      <c r="AU224" s="60"/>
      <c r="AV224" s="60"/>
      <c r="AW224" s="60"/>
      <c r="AX224" s="60"/>
      <c r="AY224" s="60"/>
      <c r="AZ224" s="60"/>
      <c r="BA224" s="60"/>
      <c r="BB224" s="60"/>
      <c r="BC224" s="60"/>
      <c r="BD224" s="60"/>
      <c r="BE224" s="60"/>
      <c r="BF224" s="60"/>
      <c r="BG224" s="60"/>
      <c r="BH224" s="60"/>
      <c r="BI224" s="60"/>
      <c r="BJ224" s="60"/>
      <c r="BK224" s="60"/>
      <c r="BL224" s="60"/>
      <c r="BM224" s="60"/>
      <c r="BN224" s="60"/>
      <c r="BO224" s="60"/>
      <c r="BP224" s="60"/>
      <c r="BQ224" s="60"/>
      <c r="BR224" s="60"/>
      <c r="BS224" s="60"/>
      <c r="BT224" s="60"/>
      <c r="BU224" s="60"/>
      <c r="BV224" s="60"/>
      <c r="BW224" s="60"/>
      <c r="BX224" s="60"/>
      <c r="BY224" s="60"/>
      <c r="BZ224" s="60"/>
      <c r="CA224" s="60"/>
      <c r="CB224" s="60"/>
      <c r="CC224" s="60"/>
      <c r="CD224" s="60"/>
      <c r="CE224" s="60"/>
      <c r="CF224" s="60"/>
      <c r="CG224" s="60"/>
      <c r="CH224" s="60"/>
      <c r="CI224" s="60"/>
      <c r="CJ224" s="60"/>
      <c r="CK224" s="60"/>
      <c r="CL224" s="60"/>
      <c r="CM224" s="60"/>
      <c r="CN224" s="60"/>
      <c r="CO224" s="60"/>
      <c r="CP224" s="60"/>
      <c r="CQ224" s="60"/>
      <c r="CR224" s="60"/>
      <c r="CS224" s="60"/>
      <c r="CT224" s="60"/>
      <c r="CU224" s="60"/>
      <c r="CV224" s="60"/>
      <c r="CW224" s="60"/>
      <c r="CX224" s="60"/>
      <c r="CY224" s="60"/>
      <c r="CZ224" s="60"/>
      <c r="DA224" s="60"/>
      <c r="DB224" s="60"/>
      <c r="DC224" s="60"/>
      <c r="DD224" s="60"/>
      <c r="DE224" s="60"/>
      <c r="DF224" s="60"/>
      <c r="DG224" s="60"/>
      <c r="DH224" s="60"/>
      <c r="DI224" s="60"/>
      <c r="DJ224" s="60"/>
      <c r="DK224" s="60"/>
      <c r="DL224" s="60"/>
      <c r="DM224" s="60"/>
      <c r="DN224" s="60"/>
      <c r="DO224" s="60"/>
      <c r="DP224" s="60"/>
      <c r="DQ224" s="60"/>
      <c r="DR224" s="60"/>
      <c r="DS224" s="60"/>
      <c r="DT224" s="60"/>
      <c r="DU224" s="60"/>
      <c r="DV224" s="60"/>
      <c r="DW224" s="60"/>
      <c r="DX224" s="60"/>
      <c r="DY224" s="60"/>
      <c r="DZ224" s="60"/>
      <c r="EA224" s="60"/>
      <c r="EB224" s="60"/>
      <c r="EC224" s="60"/>
      <c r="ED224" s="60"/>
      <c r="EE224" s="60"/>
      <c r="EF224" s="60"/>
      <c r="EG224" s="60"/>
      <c r="EH224" s="60"/>
      <c r="EI224" s="60"/>
      <c r="EJ224" s="60"/>
      <c r="EK224" s="60"/>
      <c r="EL224" s="60"/>
      <c r="EM224" s="60"/>
      <c r="EN224" s="60"/>
      <c r="EO224" s="60"/>
      <c r="EP224" s="60"/>
      <c r="EQ224" s="60"/>
      <c r="ER224" s="60"/>
      <c r="ES224" s="60"/>
      <c r="ET224" s="60"/>
      <c r="EU224" s="60"/>
      <c r="EV224" s="60"/>
      <c r="EW224" s="60"/>
      <c r="EX224" s="60"/>
      <c r="EY224" s="60"/>
      <c r="EZ224" s="60"/>
      <c r="FA224" s="60"/>
      <c r="FB224" s="60"/>
      <c r="FC224" s="60"/>
      <c r="FD224" s="60"/>
      <c r="FE224" s="60"/>
      <c r="FF224" s="60"/>
      <c r="FG224" s="60"/>
      <c r="FH224" s="60"/>
      <c r="FI224" s="60"/>
      <c r="FJ224" s="60"/>
      <c r="FK224" s="60"/>
      <c r="FL224" s="60"/>
      <c r="FM224" s="60"/>
      <c r="FN224" s="60"/>
      <c r="FO224" s="60"/>
      <c r="FP224" s="60"/>
      <c r="FQ224" s="60"/>
      <c r="FR224" s="60"/>
      <c r="FS224" s="60"/>
      <c r="FT224" s="60"/>
      <c r="FU224" s="60"/>
      <c r="FV224" s="60"/>
      <c r="FW224" s="60"/>
      <c r="FX224" s="60"/>
      <c r="FY224" s="60"/>
      <c r="FZ224" s="60"/>
      <c r="GA224" s="60"/>
      <c r="GB224" s="60"/>
      <c r="GC224" s="60"/>
      <c r="GD224" s="60"/>
      <c r="GE224" s="60"/>
      <c r="GF224" s="60"/>
      <c r="GG224" s="60"/>
      <c r="GH224" s="60"/>
      <c r="GI224" s="60"/>
      <c r="GJ224" s="60"/>
      <c r="GK224" s="60"/>
      <c r="GL224" s="60"/>
      <c r="GM224" s="60"/>
      <c r="GN224" s="60"/>
      <c r="GO224" s="60"/>
      <c r="GP224" s="60"/>
      <c r="GQ224" s="60"/>
      <c r="GR224" s="60"/>
      <c r="GS224" s="60"/>
      <c r="GT224" s="60"/>
      <c r="GU224" s="60"/>
      <c r="GV224" s="60"/>
      <c r="GW224" s="60"/>
      <c r="GX224" s="60"/>
      <c r="GY224" s="60"/>
      <c r="GZ224" s="60"/>
      <c r="HA224" s="60"/>
      <c r="HB224" s="60"/>
      <c r="HC224" s="60"/>
      <c r="HD224" s="60"/>
      <c r="HE224" s="60"/>
      <c r="HF224" s="60"/>
      <c r="HG224" s="60"/>
      <c r="HH224" s="60"/>
      <c r="HI224" s="60"/>
      <c r="HJ224" s="60"/>
      <c r="HK224" s="60"/>
      <c r="HL224" s="60"/>
      <c r="HM224" s="60"/>
      <c r="HN224" s="60"/>
      <c r="HO224" s="60"/>
      <c r="HP224" s="60"/>
      <c r="HQ224" s="60"/>
      <c r="HR224" s="60"/>
      <c r="HS224" s="60"/>
      <c r="HT224" s="60"/>
      <c r="HU224" s="60"/>
      <c r="HV224" s="60"/>
      <c r="HW224" s="60"/>
      <c r="HX224" s="60"/>
      <c r="HY224" s="60"/>
      <c r="HZ224" s="60"/>
      <c r="IA224" s="60"/>
      <c r="IB224" s="60"/>
      <c r="IC224" s="60"/>
      <c r="ID224" s="60"/>
      <c r="IE224" s="60"/>
      <c r="IF224" s="60"/>
      <c r="IG224" s="60"/>
      <c r="IH224" s="60"/>
      <c r="II224" s="60"/>
      <c r="IJ224" s="60"/>
      <c r="IK224" s="60"/>
      <c r="IL224" s="60"/>
      <c r="IM224" s="60"/>
      <c r="IN224" s="60"/>
      <c r="IO224" s="60"/>
      <c r="IP224" s="60"/>
      <c r="IQ224" s="60"/>
      <c r="IR224" s="60"/>
      <c r="IS224" s="60"/>
      <c r="IT224" s="60"/>
      <c r="IU224" s="60"/>
      <c r="IV224" s="60"/>
      <c r="IW224" s="60"/>
      <c r="IX224" s="60"/>
      <c r="IY224" s="60"/>
      <c r="IZ224" s="60"/>
      <c r="JA224" s="60"/>
      <c r="JB224" s="60"/>
      <c r="JC224" s="60"/>
      <c r="JD224" s="60"/>
      <c r="JE224" s="60"/>
      <c r="JF224" s="60"/>
      <c r="JG224" s="60"/>
      <c r="JH224" s="60"/>
      <c r="JI224" s="60"/>
      <c r="JJ224" s="60"/>
      <c r="JK224" s="60"/>
      <c r="JL224" s="60"/>
      <c r="JM224" s="60"/>
      <c r="JN224" s="60"/>
      <c r="JO224" s="60"/>
      <c r="JP224" s="60"/>
      <c r="JQ224" s="60"/>
      <c r="JR224" s="60"/>
      <c r="JS224" s="60"/>
      <c r="JT224" s="60"/>
      <c r="JU224" s="60"/>
      <c r="JV224" s="60"/>
      <c r="JW224" s="60"/>
      <c r="JX224" s="60"/>
      <c r="JY224" s="60"/>
      <c r="JZ224" s="60"/>
      <c r="KA224" s="60"/>
      <c r="KB224" s="60"/>
      <c r="KC224" s="60"/>
      <c r="KD224" s="60"/>
      <c r="KE224" s="60"/>
      <c r="KF224" s="60"/>
      <c r="KG224" s="60"/>
      <c r="KH224" s="60"/>
      <c r="KI224" s="60"/>
      <c r="KJ224" s="60"/>
      <c r="KK224" s="60"/>
      <c r="KL224" s="60"/>
      <c r="KM224" s="60"/>
      <c r="KN224" s="60"/>
      <c r="KO224" s="60"/>
      <c r="KP224" s="60"/>
      <c r="KQ224" s="60"/>
      <c r="KR224" s="60"/>
      <c r="KS224" s="60"/>
      <c r="KT224" s="60"/>
      <c r="KU224" s="60"/>
      <c r="KV224" s="60"/>
      <c r="KW224" s="60"/>
      <c r="KX224" s="60"/>
      <c r="KY224" s="60"/>
      <c r="KZ224" s="60"/>
      <c r="LA224" s="60"/>
      <c r="LB224" s="60"/>
      <c r="LC224" s="60"/>
      <c r="LD224" s="60"/>
      <c r="LE224" s="60"/>
      <c r="LF224" s="60"/>
      <c r="LG224" s="60"/>
      <c r="LH224" s="60"/>
    </row>
    <row r="225" spans="1:320" s="146" customFormat="1" x14ac:dyDescent="0.25">
      <c r="A225" s="147"/>
      <c r="B225" s="1"/>
      <c r="C225" s="1"/>
      <c r="D225" s="1"/>
      <c r="F225" s="148">
        <v>6</v>
      </c>
      <c r="G225" s="148"/>
      <c r="T225" s="17"/>
      <c r="U225" s="17"/>
      <c r="V225" s="17"/>
      <c r="W225" s="17"/>
      <c r="X225" s="17"/>
      <c r="Y225" s="17"/>
      <c r="Z225" s="17"/>
      <c r="AA225" s="17"/>
      <c r="AB225" s="17"/>
      <c r="AC225" s="60"/>
      <c r="AD225" s="60"/>
      <c r="AE225" s="60"/>
      <c r="AF225" s="60"/>
      <c r="AG225" s="60"/>
      <c r="AH225" s="60"/>
      <c r="AI225" s="60"/>
      <c r="AJ225" s="60"/>
      <c r="AK225" s="60"/>
      <c r="AL225" s="60"/>
      <c r="AM225" s="60"/>
      <c r="AN225" s="60"/>
      <c r="AO225" s="60"/>
      <c r="AP225" s="60"/>
      <c r="AQ225" s="60"/>
      <c r="AR225" s="60"/>
      <c r="AS225" s="60"/>
      <c r="AT225" s="60"/>
      <c r="AU225" s="60"/>
      <c r="AV225" s="60"/>
      <c r="AW225" s="60"/>
      <c r="AX225" s="60"/>
      <c r="AY225" s="60"/>
      <c r="AZ225" s="60"/>
      <c r="BA225" s="60"/>
      <c r="BB225" s="60"/>
      <c r="BC225" s="60"/>
      <c r="BD225" s="60"/>
      <c r="BE225" s="60"/>
      <c r="BF225" s="60"/>
      <c r="BG225" s="60"/>
      <c r="BH225" s="60"/>
      <c r="BI225" s="60"/>
      <c r="BJ225" s="60"/>
      <c r="BK225" s="60"/>
      <c r="BL225" s="60"/>
      <c r="BM225" s="60"/>
      <c r="BN225" s="60"/>
      <c r="BO225" s="60"/>
      <c r="BP225" s="60"/>
      <c r="BQ225" s="60"/>
      <c r="BR225" s="60"/>
      <c r="BS225" s="60"/>
      <c r="BT225" s="60"/>
      <c r="BU225" s="60"/>
      <c r="BV225" s="60"/>
      <c r="BW225" s="60"/>
      <c r="BX225" s="60"/>
      <c r="BY225" s="60"/>
      <c r="BZ225" s="60"/>
      <c r="CA225" s="60"/>
      <c r="CB225" s="60"/>
      <c r="CC225" s="60"/>
      <c r="CD225" s="60"/>
      <c r="CE225" s="60"/>
      <c r="CF225" s="60"/>
      <c r="CG225" s="60"/>
      <c r="CH225" s="60"/>
      <c r="CI225" s="60"/>
      <c r="CJ225" s="60"/>
      <c r="CK225" s="60"/>
      <c r="CL225" s="60"/>
      <c r="CM225" s="60"/>
      <c r="CN225" s="60"/>
      <c r="CO225" s="60"/>
      <c r="CP225" s="60"/>
      <c r="CQ225" s="60"/>
      <c r="CR225" s="60"/>
      <c r="CS225" s="60"/>
      <c r="CT225" s="60"/>
      <c r="CU225" s="60"/>
      <c r="CV225" s="60"/>
      <c r="CW225" s="60"/>
      <c r="CX225" s="60"/>
      <c r="CY225" s="60"/>
      <c r="CZ225" s="60"/>
      <c r="DA225" s="60"/>
      <c r="DB225" s="60"/>
      <c r="DC225" s="60"/>
      <c r="DD225" s="60"/>
      <c r="DE225" s="60"/>
      <c r="DF225" s="60"/>
      <c r="DG225" s="60"/>
      <c r="DH225" s="60"/>
      <c r="DI225" s="60"/>
      <c r="DJ225" s="60"/>
      <c r="DK225" s="60"/>
      <c r="DL225" s="60"/>
      <c r="DM225" s="60"/>
      <c r="DN225" s="60"/>
      <c r="DO225" s="60"/>
      <c r="DP225" s="60"/>
      <c r="DQ225" s="60"/>
      <c r="DR225" s="60"/>
      <c r="DS225" s="60"/>
      <c r="DT225" s="60"/>
      <c r="DU225" s="60"/>
      <c r="DV225" s="60"/>
      <c r="DW225" s="60"/>
      <c r="DX225" s="60"/>
      <c r="DY225" s="60"/>
      <c r="DZ225" s="60"/>
      <c r="EA225" s="60"/>
      <c r="EB225" s="60"/>
      <c r="EC225" s="60"/>
      <c r="ED225" s="60"/>
      <c r="EE225" s="60"/>
      <c r="EF225" s="60"/>
      <c r="EG225" s="60"/>
      <c r="EH225" s="60"/>
      <c r="EI225" s="60"/>
      <c r="EJ225" s="60"/>
      <c r="EK225" s="60"/>
      <c r="EL225" s="60"/>
      <c r="EM225" s="60"/>
      <c r="EN225" s="60"/>
      <c r="EO225" s="60"/>
      <c r="EP225" s="60"/>
      <c r="EQ225" s="60"/>
      <c r="ER225" s="60"/>
      <c r="ES225" s="60"/>
      <c r="ET225" s="60"/>
      <c r="EU225" s="60"/>
      <c r="EV225" s="60"/>
      <c r="EW225" s="60"/>
      <c r="EX225" s="60"/>
      <c r="EY225" s="60"/>
      <c r="EZ225" s="60"/>
      <c r="FA225" s="60"/>
      <c r="FB225" s="60"/>
      <c r="FC225" s="60"/>
      <c r="FD225" s="60"/>
      <c r="FE225" s="60"/>
      <c r="FF225" s="60"/>
      <c r="FG225" s="60"/>
      <c r="FH225" s="60"/>
      <c r="FI225" s="60"/>
      <c r="FJ225" s="60"/>
      <c r="FK225" s="60"/>
      <c r="FL225" s="60"/>
      <c r="FM225" s="60"/>
      <c r="FN225" s="60"/>
      <c r="FO225" s="60"/>
      <c r="FP225" s="60"/>
      <c r="FQ225" s="60"/>
      <c r="FR225" s="60"/>
      <c r="FS225" s="60"/>
      <c r="FT225" s="60"/>
      <c r="FU225" s="60"/>
      <c r="FV225" s="60"/>
      <c r="FW225" s="60"/>
      <c r="FX225" s="60"/>
      <c r="FY225" s="60"/>
      <c r="FZ225" s="60"/>
      <c r="GA225" s="60"/>
      <c r="GB225" s="60"/>
      <c r="GC225" s="60"/>
      <c r="GD225" s="60"/>
      <c r="GE225" s="60"/>
      <c r="GF225" s="60"/>
      <c r="GG225" s="60"/>
      <c r="GH225" s="60"/>
      <c r="GI225" s="60"/>
      <c r="GJ225" s="60"/>
      <c r="GK225" s="60"/>
      <c r="GL225" s="60"/>
      <c r="GM225" s="60"/>
      <c r="GN225" s="60"/>
      <c r="GO225" s="60"/>
      <c r="GP225" s="60"/>
      <c r="GQ225" s="60"/>
      <c r="GR225" s="60"/>
      <c r="GS225" s="60"/>
      <c r="GT225" s="60"/>
      <c r="GU225" s="60"/>
      <c r="GV225" s="60"/>
      <c r="GW225" s="60"/>
      <c r="GX225" s="60"/>
      <c r="GY225" s="60"/>
      <c r="GZ225" s="60"/>
      <c r="HA225" s="60"/>
      <c r="HB225" s="60"/>
      <c r="HC225" s="60"/>
      <c r="HD225" s="60"/>
      <c r="HE225" s="60"/>
      <c r="HF225" s="60"/>
      <c r="HG225" s="60"/>
      <c r="HH225" s="60"/>
      <c r="HI225" s="60"/>
      <c r="HJ225" s="60"/>
      <c r="HK225" s="60"/>
      <c r="HL225" s="60"/>
      <c r="HM225" s="60"/>
      <c r="HN225" s="60"/>
      <c r="HO225" s="60"/>
      <c r="HP225" s="60"/>
      <c r="HQ225" s="60"/>
      <c r="HR225" s="60"/>
      <c r="HS225" s="60"/>
      <c r="HT225" s="60"/>
      <c r="HU225" s="60"/>
      <c r="HV225" s="60"/>
      <c r="HW225" s="60"/>
      <c r="HX225" s="60"/>
      <c r="HY225" s="60"/>
      <c r="HZ225" s="60"/>
      <c r="IA225" s="60"/>
      <c r="IB225" s="60"/>
      <c r="IC225" s="60"/>
      <c r="ID225" s="60"/>
      <c r="IE225" s="60"/>
      <c r="IF225" s="60"/>
      <c r="IG225" s="60"/>
      <c r="IH225" s="60"/>
      <c r="II225" s="60"/>
      <c r="IJ225" s="60"/>
      <c r="IK225" s="60"/>
      <c r="IL225" s="60"/>
      <c r="IM225" s="60"/>
      <c r="IN225" s="60"/>
      <c r="IO225" s="60"/>
      <c r="IP225" s="60"/>
      <c r="IQ225" s="60"/>
      <c r="IR225" s="60"/>
      <c r="IS225" s="60"/>
      <c r="IT225" s="60"/>
      <c r="IU225" s="60"/>
      <c r="IV225" s="60"/>
      <c r="IW225" s="60"/>
      <c r="IX225" s="60"/>
      <c r="IY225" s="60"/>
      <c r="IZ225" s="60"/>
      <c r="JA225" s="60"/>
      <c r="JB225" s="60"/>
      <c r="JC225" s="60"/>
      <c r="JD225" s="60"/>
      <c r="JE225" s="60"/>
      <c r="JF225" s="60"/>
      <c r="JG225" s="60"/>
      <c r="JH225" s="60"/>
      <c r="JI225" s="60"/>
      <c r="JJ225" s="60"/>
      <c r="JK225" s="60"/>
      <c r="JL225" s="60"/>
      <c r="JM225" s="60"/>
      <c r="JN225" s="60"/>
      <c r="JO225" s="60"/>
      <c r="JP225" s="60"/>
      <c r="JQ225" s="60"/>
      <c r="JR225" s="60"/>
      <c r="JS225" s="60"/>
      <c r="JT225" s="60"/>
      <c r="JU225" s="60"/>
      <c r="JV225" s="60"/>
      <c r="JW225" s="60"/>
      <c r="JX225" s="60"/>
      <c r="JY225" s="60"/>
      <c r="JZ225" s="60"/>
      <c r="KA225" s="60"/>
      <c r="KB225" s="60"/>
      <c r="KC225" s="60"/>
      <c r="KD225" s="60"/>
      <c r="KE225" s="60"/>
      <c r="KF225" s="60"/>
      <c r="KG225" s="60"/>
      <c r="KH225" s="60"/>
      <c r="KI225" s="60"/>
      <c r="KJ225" s="60"/>
      <c r="KK225" s="60"/>
      <c r="KL225" s="60"/>
      <c r="KM225" s="60"/>
      <c r="KN225" s="60"/>
      <c r="KO225" s="60"/>
      <c r="KP225" s="60"/>
      <c r="KQ225" s="60"/>
      <c r="KR225" s="60"/>
      <c r="KS225" s="60"/>
      <c r="KT225" s="60"/>
      <c r="KU225" s="60"/>
      <c r="KV225" s="60"/>
      <c r="KW225" s="60"/>
      <c r="KX225" s="60"/>
      <c r="KY225" s="60"/>
      <c r="KZ225" s="60"/>
      <c r="LA225" s="60"/>
      <c r="LB225" s="60"/>
      <c r="LC225" s="60"/>
      <c r="LD225" s="60"/>
      <c r="LE225" s="60"/>
      <c r="LF225" s="60"/>
      <c r="LG225" s="60"/>
      <c r="LH225" s="60"/>
    </row>
    <row r="226" spans="1:320" s="146" customFormat="1" x14ac:dyDescent="0.25">
      <c r="A226" s="147"/>
      <c r="B226" s="1"/>
      <c r="C226" s="1"/>
      <c r="D226" s="1"/>
      <c r="F226" s="148">
        <v>7</v>
      </c>
      <c r="G226" s="148"/>
      <c r="T226" s="17"/>
      <c r="U226" s="17"/>
      <c r="V226" s="17"/>
      <c r="W226" s="17"/>
      <c r="X226" s="17"/>
      <c r="Y226" s="17"/>
      <c r="Z226" s="17"/>
      <c r="AA226" s="17"/>
      <c r="AB226" s="17"/>
      <c r="AC226" s="60"/>
      <c r="AD226" s="60"/>
      <c r="AE226" s="60"/>
      <c r="AF226" s="60"/>
      <c r="AG226" s="60"/>
      <c r="AH226" s="60"/>
      <c r="AI226" s="60"/>
      <c r="AJ226" s="60"/>
      <c r="AK226" s="60"/>
      <c r="AL226" s="60"/>
      <c r="AM226" s="60"/>
      <c r="AN226" s="60"/>
      <c r="AO226" s="60"/>
      <c r="AP226" s="60"/>
      <c r="AQ226" s="60"/>
      <c r="AR226" s="60"/>
      <c r="AS226" s="60"/>
      <c r="AT226" s="60"/>
      <c r="AU226" s="60"/>
      <c r="AV226" s="60"/>
      <c r="AW226" s="60"/>
      <c r="AX226" s="60"/>
      <c r="AY226" s="60"/>
      <c r="AZ226" s="60"/>
      <c r="BA226" s="60"/>
      <c r="BB226" s="60"/>
      <c r="BC226" s="60"/>
      <c r="BD226" s="60"/>
      <c r="BE226" s="60"/>
      <c r="BF226" s="60"/>
      <c r="BG226" s="60"/>
      <c r="BH226" s="60"/>
      <c r="BI226" s="60"/>
      <c r="BJ226" s="60"/>
      <c r="BK226" s="60"/>
      <c r="BL226" s="60"/>
      <c r="BM226" s="60"/>
      <c r="BN226" s="60"/>
      <c r="BO226" s="60"/>
      <c r="BP226" s="60"/>
      <c r="BQ226" s="60"/>
      <c r="BR226" s="60"/>
      <c r="BS226" s="60"/>
      <c r="BT226" s="60"/>
      <c r="BU226" s="60"/>
      <c r="BV226" s="60"/>
      <c r="BW226" s="60"/>
      <c r="BX226" s="60"/>
      <c r="BY226" s="60"/>
      <c r="BZ226" s="60"/>
      <c r="CA226" s="60"/>
      <c r="CB226" s="60"/>
      <c r="CC226" s="60"/>
      <c r="CD226" s="60"/>
      <c r="CE226" s="60"/>
      <c r="CF226" s="60"/>
      <c r="CG226" s="60"/>
      <c r="CH226" s="60"/>
      <c r="CI226" s="60"/>
      <c r="CJ226" s="60"/>
      <c r="CK226" s="60"/>
      <c r="CL226" s="60"/>
      <c r="CM226" s="60"/>
      <c r="CN226" s="60"/>
      <c r="CO226" s="60"/>
      <c r="CP226" s="60"/>
      <c r="CQ226" s="60"/>
      <c r="CR226" s="60"/>
      <c r="CS226" s="60"/>
      <c r="CT226" s="60"/>
      <c r="CU226" s="60"/>
      <c r="CV226" s="60"/>
      <c r="CW226" s="60"/>
      <c r="CX226" s="60"/>
      <c r="CY226" s="60"/>
      <c r="CZ226" s="60"/>
      <c r="DA226" s="60"/>
      <c r="DB226" s="60"/>
      <c r="DC226" s="60"/>
      <c r="DD226" s="60"/>
      <c r="DE226" s="60"/>
      <c r="DF226" s="60"/>
      <c r="DG226" s="60"/>
      <c r="DH226" s="60"/>
      <c r="DI226" s="60"/>
      <c r="DJ226" s="60"/>
      <c r="DK226" s="60"/>
      <c r="DL226" s="60"/>
      <c r="DM226" s="60"/>
      <c r="DN226" s="60"/>
      <c r="DO226" s="60"/>
      <c r="DP226" s="60"/>
      <c r="DQ226" s="60"/>
      <c r="DR226" s="60"/>
      <c r="DS226" s="60"/>
      <c r="DT226" s="60"/>
      <c r="DU226" s="60"/>
      <c r="DV226" s="60"/>
      <c r="DW226" s="60"/>
      <c r="DX226" s="60"/>
      <c r="DY226" s="60"/>
      <c r="DZ226" s="60"/>
      <c r="EA226" s="60"/>
      <c r="EB226" s="60"/>
      <c r="EC226" s="60"/>
      <c r="ED226" s="60"/>
      <c r="EE226" s="60"/>
      <c r="EF226" s="60"/>
      <c r="EG226" s="60"/>
      <c r="EH226" s="60"/>
      <c r="EI226" s="60"/>
      <c r="EJ226" s="60"/>
      <c r="EK226" s="60"/>
      <c r="EL226" s="60"/>
      <c r="EM226" s="60"/>
      <c r="EN226" s="60"/>
      <c r="EO226" s="60"/>
      <c r="EP226" s="60"/>
      <c r="EQ226" s="60"/>
      <c r="ER226" s="60"/>
      <c r="ES226" s="60"/>
      <c r="ET226" s="60"/>
      <c r="EU226" s="60"/>
      <c r="EV226" s="60"/>
      <c r="EW226" s="60"/>
      <c r="EX226" s="60"/>
      <c r="EY226" s="60"/>
      <c r="EZ226" s="60"/>
      <c r="FA226" s="60"/>
      <c r="FB226" s="60"/>
      <c r="FC226" s="60"/>
      <c r="FD226" s="60"/>
      <c r="FE226" s="60"/>
      <c r="FF226" s="60"/>
      <c r="FG226" s="60"/>
      <c r="FH226" s="60"/>
      <c r="FI226" s="60"/>
      <c r="FJ226" s="60"/>
      <c r="FK226" s="60"/>
      <c r="FL226" s="60"/>
      <c r="FM226" s="60"/>
      <c r="FN226" s="60"/>
      <c r="FO226" s="60"/>
      <c r="FP226" s="60"/>
      <c r="FQ226" s="60"/>
      <c r="FR226" s="60"/>
      <c r="FS226" s="60"/>
      <c r="FT226" s="60"/>
      <c r="FU226" s="60"/>
      <c r="FV226" s="60"/>
      <c r="FW226" s="60"/>
      <c r="FX226" s="60"/>
      <c r="FY226" s="60"/>
      <c r="FZ226" s="60"/>
      <c r="GA226" s="60"/>
      <c r="GB226" s="60"/>
      <c r="GC226" s="60"/>
      <c r="GD226" s="60"/>
      <c r="GE226" s="60"/>
      <c r="GF226" s="60"/>
      <c r="GG226" s="60"/>
      <c r="GH226" s="60"/>
      <c r="GI226" s="60"/>
      <c r="GJ226" s="60"/>
      <c r="GK226" s="60"/>
      <c r="GL226" s="60"/>
      <c r="GM226" s="60"/>
      <c r="GN226" s="60"/>
      <c r="GO226" s="60"/>
      <c r="GP226" s="60"/>
      <c r="GQ226" s="60"/>
      <c r="GR226" s="60"/>
      <c r="GS226" s="60"/>
      <c r="GT226" s="60"/>
      <c r="GU226" s="60"/>
      <c r="GV226" s="60"/>
      <c r="GW226" s="60"/>
      <c r="GX226" s="60"/>
      <c r="GY226" s="60"/>
      <c r="GZ226" s="60"/>
      <c r="HA226" s="60"/>
      <c r="HB226" s="60"/>
      <c r="HC226" s="60"/>
      <c r="HD226" s="60"/>
      <c r="HE226" s="60"/>
      <c r="HF226" s="60"/>
      <c r="HG226" s="60"/>
      <c r="HH226" s="60"/>
      <c r="HI226" s="60"/>
      <c r="HJ226" s="60"/>
      <c r="HK226" s="60"/>
      <c r="HL226" s="60"/>
      <c r="HM226" s="60"/>
      <c r="HN226" s="60"/>
      <c r="HO226" s="60"/>
      <c r="HP226" s="60"/>
      <c r="HQ226" s="60"/>
      <c r="HR226" s="60"/>
      <c r="HS226" s="60"/>
      <c r="HT226" s="60"/>
      <c r="HU226" s="60"/>
      <c r="HV226" s="60"/>
      <c r="HW226" s="60"/>
      <c r="HX226" s="60"/>
      <c r="HY226" s="60"/>
      <c r="HZ226" s="60"/>
      <c r="IA226" s="60"/>
      <c r="IB226" s="60"/>
      <c r="IC226" s="60"/>
      <c r="ID226" s="60"/>
      <c r="IE226" s="60"/>
      <c r="IF226" s="60"/>
      <c r="IG226" s="60"/>
      <c r="IH226" s="60"/>
      <c r="II226" s="60"/>
      <c r="IJ226" s="60"/>
      <c r="IK226" s="60"/>
      <c r="IL226" s="60"/>
      <c r="IM226" s="60"/>
      <c r="IN226" s="60"/>
      <c r="IO226" s="60"/>
      <c r="IP226" s="60"/>
      <c r="IQ226" s="60"/>
      <c r="IR226" s="60"/>
      <c r="IS226" s="60"/>
      <c r="IT226" s="60"/>
      <c r="IU226" s="60"/>
      <c r="IV226" s="60"/>
      <c r="IW226" s="60"/>
      <c r="IX226" s="60"/>
      <c r="IY226" s="60"/>
      <c r="IZ226" s="60"/>
      <c r="JA226" s="60"/>
      <c r="JB226" s="60"/>
      <c r="JC226" s="60"/>
      <c r="JD226" s="60"/>
      <c r="JE226" s="60"/>
      <c r="JF226" s="60"/>
      <c r="JG226" s="60"/>
      <c r="JH226" s="60"/>
      <c r="JI226" s="60"/>
      <c r="JJ226" s="60"/>
      <c r="JK226" s="60"/>
      <c r="JL226" s="60"/>
      <c r="JM226" s="60"/>
      <c r="JN226" s="60"/>
      <c r="JO226" s="60"/>
      <c r="JP226" s="60"/>
      <c r="JQ226" s="60"/>
      <c r="JR226" s="60"/>
      <c r="JS226" s="60"/>
      <c r="JT226" s="60"/>
      <c r="JU226" s="60"/>
      <c r="JV226" s="60"/>
      <c r="JW226" s="60"/>
      <c r="JX226" s="60"/>
      <c r="JY226" s="60"/>
      <c r="JZ226" s="60"/>
      <c r="KA226" s="60"/>
      <c r="KB226" s="60"/>
      <c r="KC226" s="60"/>
      <c r="KD226" s="60"/>
      <c r="KE226" s="60"/>
      <c r="KF226" s="60"/>
      <c r="KG226" s="60"/>
      <c r="KH226" s="60"/>
      <c r="KI226" s="60"/>
      <c r="KJ226" s="60"/>
      <c r="KK226" s="60"/>
      <c r="KL226" s="60"/>
      <c r="KM226" s="60"/>
      <c r="KN226" s="60"/>
      <c r="KO226" s="60"/>
      <c r="KP226" s="60"/>
      <c r="KQ226" s="60"/>
      <c r="KR226" s="60"/>
      <c r="KS226" s="60"/>
      <c r="KT226" s="60"/>
      <c r="KU226" s="60"/>
      <c r="KV226" s="60"/>
      <c r="KW226" s="60"/>
      <c r="KX226" s="60"/>
      <c r="KY226" s="60"/>
      <c r="KZ226" s="60"/>
      <c r="LA226" s="60"/>
      <c r="LB226" s="60"/>
      <c r="LC226" s="60"/>
      <c r="LD226" s="60"/>
      <c r="LE226" s="60"/>
      <c r="LF226" s="60"/>
      <c r="LG226" s="60"/>
      <c r="LH226" s="60"/>
    </row>
    <row r="227" spans="1:320" s="146" customFormat="1" x14ac:dyDescent="0.25">
      <c r="A227" s="147"/>
      <c r="B227" s="1"/>
      <c r="C227" s="1"/>
      <c r="D227" s="1"/>
      <c r="F227" s="148">
        <v>8</v>
      </c>
      <c r="G227" s="148"/>
      <c r="T227" s="17"/>
      <c r="U227" s="17"/>
      <c r="V227" s="17"/>
      <c r="W227" s="17"/>
      <c r="X227" s="17"/>
      <c r="Y227" s="17"/>
      <c r="Z227" s="17"/>
      <c r="AA227" s="17"/>
      <c r="AB227" s="17"/>
      <c r="AC227" s="60"/>
      <c r="AD227" s="60"/>
      <c r="AE227" s="60"/>
      <c r="AF227" s="60"/>
      <c r="AG227" s="60"/>
      <c r="AH227" s="60"/>
      <c r="AI227" s="60"/>
      <c r="AJ227" s="60"/>
      <c r="AK227" s="60"/>
      <c r="AL227" s="60"/>
      <c r="AM227" s="60"/>
      <c r="AN227" s="60"/>
      <c r="AO227" s="60"/>
      <c r="AP227" s="60"/>
      <c r="AQ227" s="60"/>
      <c r="AR227" s="60"/>
      <c r="AS227" s="60"/>
      <c r="AT227" s="60"/>
      <c r="AU227" s="60"/>
      <c r="AV227" s="60"/>
      <c r="AW227" s="60"/>
      <c r="AX227" s="60"/>
      <c r="AY227" s="60"/>
      <c r="AZ227" s="60"/>
      <c r="BA227" s="60"/>
      <c r="BB227" s="60"/>
      <c r="BC227" s="60"/>
      <c r="BD227" s="60"/>
      <c r="BE227" s="60"/>
      <c r="BF227" s="60"/>
      <c r="BG227" s="60"/>
      <c r="BH227" s="60"/>
      <c r="BI227" s="60"/>
      <c r="BJ227" s="60"/>
      <c r="BK227" s="60"/>
      <c r="BL227" s="60"/>
      <c r="BM227" s="60"/>
      <c r="BN227" s="60"/>
      <c r="BO227" s="60"/>
      <c r="BP227" s="60"/>
      <c r="BQ227" s="60"/>
      <c r="BR227" s="60"/>
      <c r="BS227" s="60"/>
      <c r="BT227" s="60"/>
      <c r="BU227" s="60"/>
      <c r="BV227" s="60"/>
      <c r="BW227" s="60"/>
      <c r="BX227" s="60"/>
      <c r="BY227" s="60"/>
      <c r="BZ227" s="60"/>
      <c r="CA227" s="60"/>
      <c r="CB227" s="60"/>
      <c r="CC227" s="60"/>
      <c r="CD227" s="60"/>
      <c r="CE227" s="60"/>
      <c r="CF227" s="60"/>
      <c r="CG227" s="60"/>
      <c r="CH227" s="60"/>
      <c r="CI227" s="60"/>
      <c r="CJ227" s="60"/>
      <c r="CK227" s="60"/>
      <c r="CL227" s="60"/>
      <c r="CM227" s="60"/>
      <c r="CN227" s="60"/>
      <c r="CO227" s="60"/>
      <c r="CP227" s="60"/>
      <c r="CQ227" s="60"/>
      <c r="CR227" s="60"/>
      <c r="CS227" s="60"/>
      <c r="CT227" s="60"/>
      <c r="CU227" s="60"/>
      <c r="CV227" s="60"/>
      <c r="CW227" s="60"/>
      <c r="CX227" s="60"/>
      <c r="CY227" s="60"/>
      <c r="CZ227" s="60"/>
      <c r="DA227" s="60"/>
      <c r="DB227" s="60"/>
      <c r="DC227" s="60"/>
      <c r="DD227" s="60"/>
      <c r="DE227" s="60"/>
      <c r="DF227" s="60"/>
      <c r="DG227" s="60"/>
      <c r="DH227" s="60"/>
      <c r="DI227" s="60"/>
      <c r="DJ227" s="60"/>
      <c r="DK227" s="60"/>
      <c r="DL227" s="60"/>
      <c r="DM227" s="60"/>
      <c r="DN227" s="60"/>
      <c r="DO227" s="60"/>
      <c r="DP227" s="60"/>
      <c r="DQ227" s="60"/>
      <c r="DR227" s="60"/>
      <c r="DS227" s="60"/>
      <c r="DT227" s="60"/>
      <c r="DU227" s="60"/>
      <c r="DV227" s="60"/>
      <c r="DW227" s="60"/>
      <c r="DX227" s="60"/>
      <c r="DY227" s="60"/>
      <c r="DZ227" s="60"/>
      <c r="EA227" s="60"/>
      <c r="EB227" s="60"/>
      <c r="EC227" s="60"/>
      <c r="ED227" s="60"/>
      <c r="EE227" s="60"/>
      <c r="EF227" s="60"/>
      <c r="EG227" s="60"/>
      <c r="EH227" s="60"/>
      <c r="EI227" s="60"/>
      <c r="EJ227" s="60"/>
      <c r="EK227" s="60"/>
      <c r="EL227" s="60"/>
      <c r="EM227" s="60"/>
      <c r="EN227" s="60"/>
      <c r="EO227" s="60"/>
      <c r="EP227" s="60"/>
      <c r="EQ227" s="60"/>
      <c r="ER227" s="60"/>
      <c r="ES227" s="60"/>
      <c r="ET227" s="60"/>
      <c r="EU227" s="60"/>
      <c r="EV227" s="60"/>
      <c r="EW227" s="60"/>
      <c r="EX227" s="60"/>
      <c r="EY227" s="60"/>
      <c r="EZ227" s="60"/>
      <c r="FA227" s="60"/>
      <c r="FB227" s="60"/>
      <c r="FC227" s="60"/>
      <c r="FD227" s="60"/>
      <c r="FE227" s="60"/>
      <c r="FF227" s="60"/>
      <c r="FG227" s="60"/>
      <c r="FH227" s="60"/>
      <c r="FI227" s="60"/>
      <c r="FJ227" s="60"/>
      <c r="FK227" s="60"/>
      <c r="FL227" s="60"/>
      <c r="FM227" s="60"/>
      <c r="FN227" s="60"/>
      <c r="FO227" s="60"/>
      <c r="FP227" s="60"/>
      <c r="FQ227" s="60"/>
      <c r="FR227" s="60"/>
      <c r="FS227" s="60"/>
      <c r="FT227" s="60"/>
      <c r="FU227" s="60"/>
      <c r="FV227" s="60"/>
      <c r="FW227" s="60"/>
      <c r="FX227" s="60"/>
      <c r="FY227" s="60"/>
      <c r="FZ227" s="60"/>
      <c r="GA227" s="60"/>
      <c r="GB227" s="60"/>
      <c r="GC227" s="60"/>
      <c r="GD227" s="60"/>
      <c r="GE227" s="60"/>
      <c r="GF227" s="60"/>
      <c r="GG227" s="60"/>
      <c r="GH227" s="60"/>
      <c r="GI227" s="60"/>
      <c r="GJ227" s="60"/>
      <c r="GK227" s="60"/>
      <c r="GL227" s="60"/>
      <c r="GM227" s="60"/>
      <c r="GN227" s="60"/>
      <c r="GO227" s="60"/>
      <c r="GP227" s="60"/>
      <c r="GQ227" s="60"/>
      <c r="GR227" s="60"/>
      <c r="GS227" s="60"/>
      <c r="GT227" s="60"/>
      <c r="GU227" s="60"/>
      <c r="GV227" s="60"/>
      <c r="GW227" s="60"/>
      <c r="GX227" s="60"/>
      <c r="GY227" s="60"/>
      <c r="GZ227" s="60"/>
      <c r="HA227" s="60"/>
      <c r="HB227" s="60"/>
      <c r="HC227" s="60"/>
      <c r="HD227" s="60"/>
      <c r="HE227" s="60"/>
      <c r="HF227" s="60"/>
      <c r="HG227" s="60"/>
      <c r="HH227" s="60"/>
      <c r="HI227" s="60"/>
      <c r="HJ227" s="60"/>
      <c r="HK227" s="60"/>
      <c r="HL227" s="60"/>
      <c r="HM227" s="60"/>
      <c r="HN227" s="60"/>
      <c r="HO227" s="60"/>
      <c r="HP227" s="60"/>
      <c r="HQ227" s="60"/>
      <c r="HR227" s="60"/>
      <c r="HS227" s="60"/>
      <c r="HT227" s="60"/>
      <c r="HU227" s="60"/>
      <c r="HV227" s="60"/>
      <c r="HW227" s="60"/>
      <c r="HX227" s="60"/>
      <c r="HY227" s="60"/>
      <c r="HZ227" s="60"/>
      <c r="IA227" s="60"/>
      <c r="IB227" s="60"/>
      <c r="IC227" s="60"/>
      <c r="ID227" s="60"/>
      <c r="IE227" s="60"/>
      <c r="IF227" s="60"/>
      <c r="IG227" s="60"/>
      <c r="IH227" s="60"/>
      <c r="II227" s="60"/>
      <c r="IJ227" s="60"/>
      <c r="IK227" s="60"/>
      <c r="IL227" s="60"/>
      <c r="IM227" s="60"/>
      <c r="IN227" s="60"/>
      <c r="IO227" s="60"/>
      <c r="IP227" s="60"/>
      <c r="IQ227" s="60"/>
      <c r="IR227" s="60"/>
      <c r="IS227" s="60"/>
      <c r="IT227" s="60"/>
      <c r="IU227" s="60"/>
      <c r="IV227" s="60"/>
      <c r="IW227" s="60"/>
      <c r="IX227" s="60"/>
      <c r="IY227" s="60"/>
      <c r="IZ227" s="60"/>
      <c r="JA227" s="60"/>
      <c r="JB227" s="60"/>
      <c r="JC227" s="60"/>
      <c r="JD227" s="60"/>
      <c r="JE227" s="60"/>
      <c r="JF227" s="60"/>
      <c r="JG227" s="60"/>
      <c r="JH227" s="60"/>
      <c r="JI227" s="60"/>
      <c r="JJ227" s="60"/>
      <c r="JK227" s="60"/>
      <c r="JL227" s="60"/>
      <c r="JM227" s="60"/>
      <c r="JN227" s="60"/>
      <c r="JO227" s="60"/>
      <c r="JP227" s="60"/>
      <c r="JQ227" s="60"/>
      <c r="JR227" s="60"/>
      <c r="JS227" s="60"/>
      <c r="JT227" s="60"/>
      <c r="JU227" s="60"/>
      <c r="JV227" s="60"/>
      <c r="JW227" s="60"/>
      <c r="JX227" s="60"/>
      <c r="JY227" s="60"/>
      <c r="JZ227" s="60"/>
      <c r="KA227" s="60"/>
      <c r="KB227" s="60"/>
      <c r="KC227" s="60"/>
      <c r="KD227" s="60"/>
      <c r="KE227" s="60"/>
      <c r="KF227" s="60"/>
      <c r="KG227" s="60"/>
      <c r="KH227" s="60"/>
      <c r="KI227" s="60"/>
      <c r="KJ227" s="60"/>
      <c r="KK227" s="60"/>
      <c r="KL227" s="60"/>
      <c r="KM227" s="60"/>
      <c r="KN227" s="60"/>
      <c r="KO227" s="60"/>
      <c r="KP227" s="60"/>
      <c r="KQ227" s="60"/>
      <c r="KR227" s="60"/>
      <c r="KS227" s="60"/>
      <c r="KT227" s="60"/>
      <c r="KU227" s="60"/>
      <c r="KV227" s="60"/>
      <c r="KW227" s="60"/>
      <c r="KX227" s="60"/>
      <c r="KY227" s="60"/>
      <c r="KZ227" s="60"/>
      <c r="LA227" s="60"/>
      <c r="LB227" s="60"/>
      <c r="LC227" s="60"/>
      <c r="LD227" s="60"/>
      <c r="LE227" s="60"/>
      <c r="LF227" s="60"/>
      <c r="LG227" s="60"/>
      <c r="LH227" s="60"/>
    </row>
    <row r="228" spans="1:320" s="146" customFormat="1" x14ac:dyDescent="0.25">
      <c r="A228" s="147"/>
      <c r="B228" s="1"/>
      <c r="C228" s="1"/>
      <c r="D228" s="1"/>
      <c r="F228" s="148">
        <v>9</v>
      </c>
      <c r="G228" s="148"/>
      <c r="T228" s="17"/>
      <c r="U228" s="17"/>
      <c r="V228" s="17"/>
      <c r="W228" s="17"/>
      <c r="X228" s="17"/>
      <c r="Y228" s="17"/>
      <c r="Z228" s="17"/>
      <c r="AA228" s="17"/>
      <c r="AB228" s="17"/>
      <c r="AC228" s="60"/>
      <c r="AD228" s="60"/>
      <c r="AE228" s="60"/>
      <c r="AF228" s="60"/>
      <c r="AG228" s="60"/>
      <c r="AH228" s="60"/>
      <c r="AI228" s="60"/>
      <c r="AJ228" s="60"/>
      <c r="AK228" s="60"/>
      <c r="AL228" s="60"/>
      <c r="AM228" s="60"/>
      <c r="AN228" s="60"/>
      <c r="AO228" s="60"/>
      <c r="AP228" s="60"/>
      <c r="AQ228" s="60"/>
      <c r="AR228" s="60"/>
      <c r="AS228" s="60"/>
      <c r="AT228" s="60"/>
      <c r="AU228" s="60"/>
      <c r="AV228" s="60"/>
      <c r="AW228" s="60"/>
      <c r="AX228" s="60"/>
      <c r="AY228" s="60"/>
      <c r="AZ228" s="60"/>
      <c r="BA228" s="60"/>
      <c r="BB228" s="60"/>
      <c r="BC228" s="60"/>
      <c r="BD228" s="60"/>
      <c r="BE228" s="60"/>
      <c r="BF228" s="60"/>
      <c r="BG228" s="60"/>
      <c r="BH228" s="60"/>
      <c r="BI228" s="60"/>
      <c r="BJ228" s="60"/>
      <c r="BK228" s="60"/>
      <c r="BL228" s="60"/>
      <c r="BM228" s="60"/>
      <c r="BN228" s="60"/>
      <c r="BO228" s="60"/>
      <c r="BP228" s="60"/>
      <c r="BQ228" s="60"/>
      <c r="BR228" s="60"/>
      <c r="BS228" s="60"/>
      <c r="BT228" s="60"/>
      <c r="BU228" s="60"/>
      <c r="BV228" s="60"/>
      <c r="BW228" s="60"/>
      <c r="BX228" s="60"/>
      <c r="BY228" s="60"/>
      <c r="BZ228" s="60"/>
      <c r="CA228" s="60"/>
      <c r="CB228" s="60"/>
      <c r="CC228" s="60"/>
      <c r="CD228" s="60"/>
      <c r="CE228" s="60"/>
      <c r="CF228" s="60"/>
      <c r="CG228" s="60"/>
      <c r="CH228" s="60"/>
      <c r="CI228" s="60"/>
      <c r="CJ228" s="60"/>
      <c r="CK228" s="60"/>
      <c r="CL228" s="60"/>
      <c r="CM228" s="60"/>
      <c r="CN228" s="60"/>
      <c r="CO228" s="60"/>
      <c r="CP228" s="60"/>
      <c r="CQ228" s="60"/>
      <c r="CR228" s="60"/>
      <c r="CS228" s="60"/>
      <c r="CT228" s="60"/>
      <c r="CU228" s="60"/>
      <c r="CV228" s="60"/>
      <c r="CW228" s="60"/>
      <c r="CX228" s="60"/>
      <c r="CY228" s="60"/>
      <c r="CZ228" s="60"/>
      <c r="DA228" s="60"/>
      <c r="DB228" s="60"/>
      <c r="DC228" s="60"/>
      <c r="DD228" s="60"/>
      <c r="DE228" s="60"/>
      <c r="DF228" s="60"/>
      <c r="DG228" s="60"/>
      <c r="DH228" s="60"/>
      <c r="DI228" s="60"/>
      <c r="DJ228" s="60"/>
      <c r="DK228" s="60"/>
      <c r="DL228" s="60"/>
      <c r="DM228" s="60"/>
      <c r="DN228" s="60"/>
      <c r="DO228" s="60"/>
      <c r="DP228" s="60"/>
      <c r="DQ228" s="60"/>
      <c r="DR228" s="60"/>
      <c r="DS228" s="60"/>
      <c r="DT228" s="60"/>
      <c r="DU228" s="60"/>
      <c r="DV228" s="60"/>
      <c r="DW228" s="60"/>
      <c r="DX228" s="60"/>
      <c r="DY228" s="60"/>
      <c r="DZ228" s="60"/>
      <c r="EA228" s="60"/>
      <c r="EB228" s="60"/>
      <c r="EC228" s="60"/>
      <c r="ED228" s="60"/>
      <c r="EE228" s="60"/>
      <c r="EF228" s="60"/>
      <c r="EG228" s="60"/>
      <c r="EH228" s="60"/>
      <c r="EI228" s="60"/>
      <c r="EJ228" s="60"/>
      <c r="EK228" s="60"/>
      <c r="EL228" s="60"/>
      <c r="EM228" s="60"/>
      <c r="EN228" s="60"/>
      <c r="EO228" s="60"/>
      <c r="EP228" s="60"/>
      <c r="EQ228" s="60"/>
      <c r="ER228" s="60"/>
      <c r="ES228" s="60"/>
      <c r="ET228" s="60"/>
      <c r="EU228" s="60"/>
      <c r="EV228" s="60"/>
      <c r="EW228" s="60"/>
      <c r="EX228" s="60"/>
      <c r="EY228" s="60"/>
      <c r="EZ228" s="60"/>
      <c r="FA228" s="60"/>
      <c r="FB228" s="60"/>
      <c r="FC228" s="60"/>
      <c r="FD228" s="60"/>
      <c r="FE228" s="60"/>
      <c r="FF228" s="60"/>
      <c r="FG228" s="60"/>
      <c r="FH228" s="60"/>
      <c r="FI228" s="60"/>
      <c r="FJ228" s="60"/>
      <c r="FK228" s="60"/>
      <c r="FL228" s="60"/>
      <c r="FM228" s="60"/>
      <c r="FN228" s="60"/>
      <c r="FO228" s="60"/>
      <c r="FP228" s="60"/>
      <c r="FQ228" s="60"/>
      <c r="FR228" s="60"/>
      <c r="FS228" s="60"/>
      <c r="FT228" s="60"/>
      <c r="FU228" s="60"/>
      <c r="FV228" s="60"/>
      <c r="FW228" s="60"/>
      <c r="FX228" s="60"/>
      <c r="FY228" s="60"/>
      <c r="FZ228" s="60"/>
      <c r="GA228" s="60"/>
      <c r="GB228" s="60"/>
      <c r="GC228" s="60"/>
      <c r="GD228" s="60"/>
      <c r="GE228" s="60"/>
      <c r="GF228" s="60"/>
      <c r="GG228" s="60"/>
      <c r="GH228" s="60"/>
      <c r="GI228" s="60"/>
      <c r="GJ228" s="60"/>
      <c r="GK228" s="60"/>
      <c r="GL228" s="60"/>
      <c r="GM228" s="60"/>
      <c r="GN228" s="60"/>
      <c r="GO228" s="60"/>
      <c r="GP228" s="60"/>
      <c r="GQ228" s="60"/>
      <c r="GR228" s="60"/>
      <c r="GS228" s="60"/>
      <c r="GT228" s="60"/>
      <c r="GU228" s="60"/>
      <c r="GV228" s="60"/>
      <c r="GW228" s="60"/>
      <c r="GX228" s="60"/>
      <c r="GY228" s="60"/>
      <c r="GZ228" s="60"/>
      <c r="HA228" s="60"/>
      <c r="HB228" s="60"/>
      <c r="HC228" s="60"/>
      <c r="HD228" s="60"/>
      <c r="HE228" s="60"/>
      <c r="HF228" s="60"/>
      <c r="HG228" s="60"/>
      <c r="HH228" s="60"/>
      <c r="HI228" s="60"/>
      <c r="HJ228" s="60"/>
      <c r="HK228" s="60"/>
      <c r="HL228" s="60"/>
      <c r="HM228" s="60"/>
      <c r="HN228" s="60"/>
      <c r="HO228" s="60"/>
      <c r="HP228" s="60"/>
      <c r="HQ228" s="60"/>
      <c r="HR228" s="60"/>
      <c r="HS228" s="60"/>
      <c r="HT228" s="60"/>
      <c r="HU228" s="60"/>
      <c r="HV228" s="60"/>
      <c r="HW228" s="60"/>
      <c r="HX228" s="60"/>
      <c r="HY228" s="60"/>
      <c r="HZ228" s="60"/>
      <c r="IA228" s="60"/>
      <c r="IB228" s="60"/>
      <c r="IC228" s="60"/>
      <c r="ID228" s="60"/>
      <c r="IE228" s="60"/>
      <c r="IF228" s="60"/>
      <c r="IG228" s="60"/>
      <c r="IH228" s="60"/>
      <c r="II228" s="60"/>
      <c r="IJ228" s="60"/>
      <c r="IK228" s="60"/>
      <c r="IL228" s="60"/>
      <c r="IM228" s="60"/>
      <c r="IN228" s="60"/>
      <c r="IO228" s="60"/>
      <c r="IP228" s="60"/>
      <c r="IQ228" s="60"/>
      <c r="IR228" s="60"/>
      <c r="IS228" s="60"/>
      <c r="IT228" s="60"/>
      <c r="IU228" s="60"/>
      <c r="IV228" s="60"/>
      <c r="IW228" s="60"/>
      <c r="IX228" s="60"/>
      <c r="IY228" s="60"/>
      <c r="IZ228" s="60"/>
      <c r="JA228" s="60"/>
      <c r="JB228" s="60"/>
      <c r="JC228" s="60"/>
      <c r="JD228" s="60"/>
      <c r="JE228" s="60"/>
      <c r="JF228" s="60"/>
      <c r="JG228" s="60"/>
      <c r="JH228" s="60"/>
      <c r="JI228" s="60"/>
      <c r="JJ228" s="60"/>
      <c r="JK228" s="60"/>
      <c r="JL228" s="60"/>
      <c r="JM228" s="60"/>
      <c r="JN228" s="60"/>
      <c r="JO228" s="60"/>
      <c r="JP228" s="60"/>
      <c r="JQ228" s="60"/>
      <c r="JR228" s="60"/>
      <c r="JS228" s="60"/>
      <c r="JT228" s="60"/>
      <c r="JU228" s="60"/>
      <c r="JV228" s="60"/>
      <c r="JW228" s="60"/>
      <c r="JX228" s="60"/>
      <c r="JY228" s="60"/>
      <c r="JZ228" s="60"/>
      <c r="KA228" s="60"/>
      <c r="KB228" s="60"/>
      <c r="KC228" s="60"/>
      <c r="KD228" s="60"/>
      <c r="KE228" s="60"/>
      <c r="KF228" s="60"/>
      <c r="KG228" s="60"/>
      <c r="KH228" s="60"/>
      <c r="KI228" s="60"/>
      <c r="KJ228" s="60"/>
      <c r="KK228" s="60"/>
      <c r="KL228" s="60"/>
      <c r="KM228" s="60"/>
      <c r="KN228" s="60"/>
      <c r="KO228" s="60"/>
      <c r="KP228" s="60"/>
      <c r="KQ228" s="60"/>
      <c r="KR228" s="60"/>
      <c r="KS228" s="60"/>
      <c r="KT228" s="60"/>
      <c r="KU228" s="60"/>
      <c r="KV228" s="60"/>
      <c r="KW228" s="60"/>
      <c r="KX228" s="60"/>
      <c r="KY228" s="60"/>
      <c r="KZ228" s="60"/>
      <c r="LA228" s="60"/>
      <c r="LB228" s="60"/>
      <c r="LC228" s="60"/>
      <c r="LD228" s="60"/>
      <c r="LE228" s="60"/>
      <c r="LF228" s="60"/>
      <c r="LG228" s="60"/>
      <c r="LH228" s="60"/>
    </row>
    <row r="229" spans="1:320" s="146" customFormat="1" x14ac:dyDescent="0.25">
      <c r="A229" s="147"/>
      <c r="B229" s="1"/>
      <c r="C229" s="1"/>
      <c r="D229" s="1"/>
      <c r="F229" s="148">
        <v>10</v>
      </c>
      <c r="G229" s="148"/>
      <c r="T229" s="17"/>
      <c r="U229" s="17"/>
      <c r="V229" s="17"/>
      <c r="W229" s="17"/>
      <c r="X229" s="17"/>
      <c r="Y229" s="17"/>
      <c r="Z229" s="17"/>
      <c r="AA229" s="17"/>
      <c r="AB229" s="17"/>
      <c r="AC229" s="60"/>
      <c r="AD229" s="60"/>
      <c r="AE229" s="60"/>
      <c r="AF229" s="60"/>
      <c r="AG229" s="60"/>
      <c r="AH229" s="60"/>
      <c r="AI229" s="60"/>
      <c r="AJ229" s="60"/>
      <c r="AK229" s="60"/>
      <c r="AL229" s="60"/>
      <c r="AM229" s="60"/>
      <c r="AN229" s="60"/>
      <c r="AO229" s="60"/>
      <c r="AP229" s="60"/>
      <c r="AQ229" s="60"/>
      <c r="AR229" s="60"/>
      <c r="AS229" s="60"/>
      <c r="AT229" s="60"/>
      <c r="AU229" s="60"/>
      <c r="AV229" s="60"/>
      <c r="AW229" s="60"/>
      <c r="AX229" s="60"/>
      <c r="AY229" s="60"/>
      <c r="AZ229" s="60"/>
      <c r="BA229" s="60"/>
      <c r="BB229" s="60"/>
      <c r="BC229" s="60"/>
      <c r="BD229" s="60"/>
      <c r="BE229" s="60"/>
      <c r="BF229" s="60"/>
      <c r="BG229" s="60"/>
      <c r="BH229" s="60"/>
      <c r="BI229" s="60"/>
      <c r="BJ229" s="60"/>
      <c r="BK229" s="60"/>
      <c r="BL229" s="60"/>
      <c r="BM229" s="60"/>
      <c r="BN229" s="60"/>
      <c r="BO229" s="60"/>
      <c r="BP229" s="60"/>
      <c r="BQ229" s="60"/>
      <c r="BR229" s="60"/>
      <c r="BS229" s="60"/>
      <c r="BT229" s="60"/>
      <c r="BU229" s="60"/>
      <c r="BV229" s="60"/>
      <c r="BW229" s="60"/>
      <c r="BX229" s="60"/>
      <c r="BY229" s="60"/>
      <c r="BZ229" s="60"/>
      <c r="CA229" s="60"/>
      <c r="CB229" s="60"/>
      <c r="CC229" s="60"/>
      <c r="CD229" s="60"/>
      <c r="CE229" s="60"/>
      <c r="CF229" s="60"/>
      <c r="CG229" s="60"/>
      <c r="CH229" s="60"/>
      <c r="CI229" s="60"/>
      <c r="CJ229" s="60"/>
      <c r="CK229" s="60"/>
      <c r="CL229" s="60"/>
      <c r="CM229" s="60"/>
      <c r="CN229" s="60"/>
      <c r="CO229" s="60"/>
      <c r="CP229" s="60"/>
      <c r="CQ229" s="60"/>
      <c r="CR229" s="60"/>
      <c r="CS229" s="60"/>
      <c r="CT229" s="60"/>
      <c r="CU229" s="60"/>
      <c r="CV229" s="60"/>
      <c r="CW229" s="60"/>
      <c r="CX229" s="60"/>
      <c r="CY229" s="60"/>
      <c r="CZ229" s="60"/>
      <c r="DA229" s="60"/>
      <c r="DB229" s="60"/>
      <c r="DC229" s="60"/>
      <c r="DD229" s="60"/>
      <c r="DE229" s="60"/>
      <c r="DF229" s="60"/>
      <c r="DG229" s="60"/>
      <c r="DH229" s="60"/>
      <c r="DI229" s="60"/>
      <c r="DJ229" s="60"/>
      <c r="DK229" s="60"/>
      <c r="DL229" s="60"/>
      <c r="DM229" s="60"/>
      <c r="DN229" s="60"/>
      <c r="DO229" s="60"/>
      <c r="DP229" s="60"/>
      <c r="DQ229" s="60"/>
      <c r="DR229" s="60"/>
      <c r="DS229" s="60"/>
      <c r="DT229" s="60"/>
      <c r="DU229" s="60"/>
      <c r="DV229" s="60"/>
      <c r="DW229" s="60"/>
      <c r="DX229" s="60"/>
      <c r="DY229" s="60"/>
      <c r="DZ229" s="60"/>
      <c r="EA229" s="60"/>
      <c r="EB229" s="60"/>
      <c r="EC229" s="60"/>
      <c r="ED229" s="60"/>
      <c r="EE229" s="60"/>
      <c r="EF229" s="60"/>
      <c r="EG229" s="60"/>
      <c r="EH229" s="60"/>
      <c r="EI229" s="60"/>
      <c r="EJ229" s="60"/>
      <c r="EK229" s="60"/>
      <c r="EL229" s="60"/>
      <c r="EM229" s="60"/>
      <c r="EN229" s="60"/>
      <c r="EO229" s="60"/>
      <c r="EP229" s="60"/>
      <c r="EQ229" s="60"/>
      <c r="ER229" s="60"/>
      <c r="ES229" s="60"/>
      <c r="ET229" s="60"/>
      <c r="EU229" s="60"/>
      <c r="EV229" s="60"/>
      <c r="EW229" s="60"/>
      <c r="EX229" s="60"/>
      <c r="EY229" s="60"/>
      <c r="EZ229" s="60"/>
      <c r="FA229" s="60"/>
      <c r="FB229" s="60"/>
      <c r="FC229" s="60"/>
      <c r="FD229" s="60"/>
      <c r="FE229" s="60"/>
      <c r="FF229" s="60"/>
      <c r="FG229" s="60"/>
      <c r="FH229" s="60"/>
      <c r="FI229" s="60"/>
      <c r="FJ229" s="60"/>
      <c r="FK229" s="60"/>
      <c r="FL229" s="60"/>
      <c r="FM229" s="60"/>
      <c r="FN229" s="60"/>
      <c r="FO229" s="60"/>
      <c r="FP229" s="60"/>
      <c r="FQ229" s="60"/>
      <c r="FR229" s="60"/>
      <c r="FS229" s="60"/>
      <c r="FT229" s="60"/>
      <c r="FU229" s="60"/>
      <c r="FV229" s="60"/>
      <c r="FW229" s="60"/>
      <c r="FX229" s="60"/>
      <c r="FY229" s="60"/>
      <c r="FZ229" s="60"/>
      <c r="GA229" s="60"/>
      <c r="GB229" s="60"/>
      <c r="GC229" s="60"/>
      <c r="GD229" s="60"/>
      <c r="GE229" s="60"/>
      <c r="GF229" s="60"/>
      <c r="GG229" s="60"/>
      <c r="GH229" s="60"/>
      <c r="GI229" s="60"/>
      <c r="GJ229" s="60"/>
      <c r="GK229" s="60"/>
      <c r="GL229" s="60"/>
      <c r="GM229" s="60"/>
      <c r="GN229" s="60"/>
      <c r="GO229" s="60"/>
      <c r="GP229" s="60"/>
      <c r="GQ229" s="60"/>
      <c r="GR229" s="60"/>
      <c r="GS229" s="60"/>
      <c r="GT229" s="60"/>
      <c r="GU229" s="60"/>
      <c r="GV229" s="60"/>
      <c r="GW229" s="60"/>
      <c r="GX229" s="60"/>
      <c r="GY229" s="60"/>
      <c r="GZ229" s="60"/>
      <c r="HA229" s="60"/>
      <c r="HB229" s="60"/>
      <c r="HC229" s="60"/>
      <c r="HD229" s="60"/>
      <c r="HE229" s="60"/>
      <c r="HF229" s="60"/>
      <c r="HG229" s="60"/>
      <c r="HH229" s="60"/>
      <c r="HI229" s="60"/>
      <c r="HJ229" s="60"/>
      <c r="HK229" s="60"/>
      <c r="HL229" s="60"/>
      <c r="HM229" s="60"/>
      <c r="HN229" s="60"/>
      <c r="HO229" s="60"/>
      <c r="HP229" s="60"/>
      <c r="HQ229" s="60"/>
      <c r="HR229" s="60"/>
      <c r="HS229" s="60"/>
      <c r="HT229" s="60"/>
      <c r="HU229" s="60"/>
      <c r="HV229" s="60"/>
      <c r="HW229" s="60"/>
      <c r="HX229" s="60"/>
      <c r="HY229" s="60"/>
      <c r="HZ229" s="60"/>
      <c r="IA229" s="60"/>
      <c r="IB229" s="60"/>
      <c r="IC229" s="60"/>
      <c r="ID229" s="60"/>
      <c r="IE229" s="60"/>
      <c r="IF229" s="60"/>
      <c r="IG229" s="60"/>
      <c r="IH229" s="60"/>
      <c r="II229" s="60"/>
      <c r="IJ229" s="60"/>
      <c r="IK229" s="60"/>
      <c r="IL229" s="60"/>
      <c r="IM229" s="60"/>
      <c r="IN229" s="60"/>
      <c r="IO229" s="60"/>
      <c r="IP229" s="60"/>
      <c r="IQ229" s="60"/>
      <c r="IR229" s="60"/>
      <c r="IS229" s="60"/>
      <c r="IT229" s="60"/>
      <c r="IU229" s="60"/>
      <c r="IV229" s="60"/>
      <c r="IW229" s="60"/>
      <c r="IX229" s="60"/>
      <c r="IY229" s="60"/>
      <c r="IZ229" s="60"/>
      <c r="JA229" s="60"/>
      <c r="JB229" s="60"/>
      <c r="JC229" s="60"/>
      <c r="JD229" s="60"/>
      <c r="JE229" s="60"/>
      <c r="JF229" s="60"/>
      <c r="JG229" s="60"/>
      <c r="JH229" s="60"/>
      <c r="JI229" s="60"/>
      <c r="JJ229" s="60"/>
      <c r="JK229" s="60"/>
      <c r="JL229" s="60"/>
      <c r="JM229" s="60"/>
      <c r="JN229" s="60"/>
      <c r="JO229" s="60"/>
      <c r="JP229" s="60"/>
      <c r="JQ229" s="60"/>
      <c r="JR229" s="60"/>
      <c r="JS229" s="60"/>
      <c r="JT229" s="60"/>
      <c r="JU229" s="60"/>
      <c r="JV229" s="60"/>
      <c r="JW229" s="60"/>
      <c r="JX229" s="60"/>
      <c r="JY229" s="60"/>
      <c r="JZ229" s="60"/>
      <c r="KA229" s="60"/>
      <c r="KB229" s="60"/>
      <c r="KC229" s="60"/>
      <c r="KD229" s="60"/>
      <c r="KE229" s="60"/>
      <c r="KF229" s="60"/>
      <c r="KG229" s="60"/>
      <c r="KH229" s="60"/>
      <c r="KI229" s="60"/>
      <c r="KJ229" s="60"/>
      <c r="KK229" s="60"/>
      <c r="KL229" s="60"/>
      <c r="KM229" s="60"/>
      <c r="KN229" s="60"/>
      <c r="KO229" s="60"/>
      <c r="KP229" s="60"/>
      <c r="KQ229" s="60"/>
      <c r="KR229" s="60"/>
      <c r="KS229" s="60"/>
      <c r="KT229" s="60"/>
      <c r="KU229" s="60"/>
      <c r="KV229" s="60"/>
      <c r="KW229" s="60"/>
      <c r="KX229" s="60"/>
      <c r="KY229" s="60"/>
      <c r="KZ229" s="60"/>
      <c r="LA229" s="60"/>
      <c r="LB229" s="60"/>
      <c r="LC229" s="60"/>
      <c r="LD229" s="60"/>
      <c r="LE229" s="60"/>
      <c r="LF229" s="60"/>
      <c r="LG229" s="60"/>
      <c r="LH229" s="60"/>
    </row>
    <row r="230" spans="1:320" s="146" customFormat="1" x14ac:dyDescent="0.25">
      <c r="A230" s="147"/>
      <c r="B230" s="1"/>
      <c r="C230" s="1"/>
      <c r="D230" s="1"/>
      <c r="F230" s="148">
        <v>11</v>
      </c>
      <c r="G230" s="148"/>
      <c r="T230" s="17"/>
      <c r="U230" s="17"/>
      <c r="V230" s="17"/>
      <c r="W230" s="17"/>
      <c r="X230" s="17"/>
      <c r="Y230" s="17"/>
      <c r="Z230" s="17"/>
      <c r="AA230" s="17"/>
      <c r="AB230" s="17"/>
      <c r="AC230" s="60"/>
      <c r="AD230" s="60"/>
      <c r="AE230" s="60"/>
      <c r="AF230" s="60"/>
      <c r="AG230" s="60"/>
      <c r="AH230" s="60"/>
      <c r="AI230" s="60"/>
      <c r="AJ230" s="60"/>
      <c r="AK230" s="60"/>
      <c r="AL230" s="60"/>
      <c r="AM230" s="60"/>
      <c r="AN230" s="60"/>
      <c r="AO230" s="60"/>
      <c r="AP230" s="60"/>
      <c r="AQ230" s="60"/>
      <c r="AR230" s="60"/>
      <c r="AS230" s="60"/>
      <c r="AT230" s="60"/>
      <c r="AU230" s="60"/>
      <c r="AV230" s="60"/>
      <c r="AW230" s="60"/>
      <c r="AX230" s="60"/>
      <c r="AY230" s="60"/>
      <c r="AZ230" s="60"/>
      <c r="BA230" s="60"/>
      <c r="BB230" s="60"/>
      <c r="BC230" s="60"/>
      <c r="BD230" s="60"/>
      <c r="BE230" s="60"/>
      <c r="BF230" s="60"/>
      <c r="BG230" s="60"/>
      <c r="BH230" s="60"/>
      <c r="BI230" s="60"/>
      <c r="BJ230" s="60"/>
      <c r="BK230" s="60"/>
      <c r="BL230" s="60"/>
      <c r="BM230" s="60"/>
      <c r="BN230" s="60"/>
      <c r="BO230" s="60"/>
      <c r="BP230" s="60"/>
      <c r="BQ230" s="60"/>
      <c r="BR230" s="60"/>
      <c r="BS230" s="60"/>
      <c r="BT230" s="60"/>
      <c r="BU230" s="60"/>
      <c r="BV230" s="60"/>
      <c r="BW230" s="60"/>
      <c r="BX230" s="60"/>
      <c r="BY230" s="60"/>
      <c r="BZ230" s="60"/>
      <c r="CA230" s="60"/>
      <c r="CB230" s="60"/>
      <c r="CC230" s="60"/>
      <c r="CD230" s="60"/>
      <c r="CE230" s="60"/>
      <c r="CF230" s="60"/>
      <c r="CG230" s="60"/>
      <c r="CH230" s="60"/>
      <c r="CI230" s="60"/>
      <c r="CJ230" s="60"/>
      <c r="CK230" s="60"/>
      <c r="CL230" s="60"/>
      <c r="CM230" s="60"/>
      <c r="CN230" s="60"/>
      <c r="CO230" s="60"/>
      <c r="CP230" s="60"/>
      <c r="CQ230" s="60"/>
      <c r="CR230" s="60"/>
      <c r="CS230" s="60"/>
      <c r="CT230" s="60"/>
      <c r="CU230" s="60"/>
      <c r="CV230" s="60"/>
      <c r="CW230" s="60"/>
      <c r="CX230" s="60"/>
      <c r="CY230" s="60"/>
      <c r="CZ230" s="60"/>
      <c r="DA230" s="60"/>
      <c r="DB230" s="60"/>
      <c r="DC230" s="60"/>
      <c r="DD230" s="60"/>
      <c r="DE230" s="60"/>
      <c r="DF230" s="60"/>
      <c r="DG230" s="60"/>
      <c r="DH230" s="60"/>
      <c r="DI230" s="60"/>
      <c r="DJ230" s="60"/>
      <c r="DK230" s="60"/>
      <c r="DL230" s="60"/>
      <c r="DM230" s="60"/>
      <c r="DN230" s="60"/>
      <c r="DO230" s="60"/>
      <c r="DP230" s="60"/>
      <c r="DQ230" s="60"/>
      <c r="DR230" s="60"/>
      <c r="DS230" s="60"/>
      <c r="DT230" s="60"/>
      <c r="DU230" s="60"/>
      <c r="DV230" s="60"/>
      <c r="DW230" s="60"/>
      <c r="DX230" s="60"/>
      <c r="DY230" s="60"/>
      <c r="DZ230" s="60"/>
      <c r="EA230" s="60"/>
      <c r="EB230" s="60"/>
      <c r="EC230" s="60"/>
      <c r="ED230" s="60"/>
      <c r="EE230" s="60"/>
      <c r="EF230" s="60"/>
      <c r="EG230" s="60"/>
      <c r="EH230" s="60"/>
      <c r="EI230" s="60"/>
      <c r="EJ230" s="60"/>
      <c r="EK230" s="60"/>
      <c r="EL230" s="60"/>
      <c r="EM230" s="60"/>
      <c r="EN230" s="60"/>
      <c r="EO230" s="60"/>
      <c r="EP230" s="60"/>
      <c r="EQ230" s="60"/>
      <c r="ER230" s="60"/>
      <c r="ES230" s="60"/>
      <c r="ET230" s="60"/>
      <c r="EU230" s="60"/>
      <c r="EV230" s="60"/>
      <c r="EW230" s="60"/>
      <c r="EX230" s="60"/>
      <c r="EY230" s="60"/>
      <c r="EZ230" s="60"/>
      <c r="FA230" s="60"/>
      <c r="FB230" s="60"/>
      <c r="FC230" s="60"/>
      <c r="FD230" s="60"/>
      <c r="FE230" s="60"/>
      <c r="FF230" s="60"/>
      <c r="FG230" s="60"/>
      <c r="FH230" s="60"/>
      <c r="FI230" s="60"/>
      <c r="FJ230" s="60"/>
      <c r="FK230" s="60"/>
      <c r="FL230" s="60"/>
      <c r="FM230" s="60"/>
      <c r="FN230" s="60"/>
      <c r="FO230" s="60"/>
      <c r="FP230" s="60"/>
      <c r="FQ230" s="60"/>
      <c r="FR230" s="60"/>
      <c r="FS230" s="60"/>
      <c r="FT230" s="60"/>
      <c r="FU230" s="60"/>
      <c r="FV230" s="60"/>
      <c r="FW230" s="60"/>
      <c r="FX230" s="60"/>
      <c r="FY230" s="60"/>
      <c r="FZ230" s="60"/>
      <c r="GA230" s="60"/>
      <c r="GB230" s="60"/>
      <c r="GC230" s="60"/>
      <c r="GD230" s="60"/>
      <c r="GE230" s="60"/>
      <c r="GF230" s="60"/>
      <c r="GG230" s="60"/>
      <c r="GH230" s="60"/>
      <c r="GI230" s="60"/>
      <c r="GJ230" s="60"/>
      <c r="GK230" s="60"/>
      <c r="GL230" s="60"/>
      <c r="GM230" s="60"/>
      <c r="GN230" s="60"/>
      <c r="GO230" s="60"/>
      <c r="GP230" s="60"/>
      <c r="GQ230" s="60"/>
      <c r="GR230" s="60"/>
      <c r="GS230" s="60"/>
      <c r="GT230" s="60"/>
      <c r="GU230" s="60"/>
      <c r="GV230" s="60"/>
      <c r="GW230" s="60"/>
      <c r="GX230" s="60"/>
      <c r="GY230" s="60"/>
      <c r="GZ230" s="60"/>
      <c r="HA230" s="60"/>
      <c r="HB230" s="60"/>
      <c r="HC230" s="60"/>
      <c r="HD230" s="60"/>
      <c r="HE230" s="60"/>
      <c r="HF230" s="60"/>
      <c r="HG230" s="60"/>
      <c r="HH230" s="60"/>
      <c r="HI230" s="60"/>
      <c r="HJ230" s="60"/>
      <c r="HK230" s="60"/>
      <c r="HL230" s="60"/>
      <c r="HM230" s="60"/>
      <c r="HN230" s="60"/>
      <c r="HO230" s="60"/>
      <c r="HP230" s="60"/>
      <c r="HQ230" s="60"/>
      <c r="HR230" s="60"/>
      <c r="HS230" s="60"/>
      <c r="HT230" s="60"/>
      <c r="HU230" s="60"/>
      <c r="HV230" s="60"/>
      <c r="HW230" s="60"/>
      <c r="HX230" s="60"/>
      <c r="HY230" s="60"/>
      <c r="HZ230" s="60"/>
      <c r="IA230" s="60"/>
      <c r="IB230" s="60"/>
      <c r="IC230" s="60"/>
      <c r="ID230" s="60"/>
      <c r="IE230" s="60"/>
      <c r="IF230" s="60"/>
      <c r="IG230" s="60"/>
      <c r="IH230" s="60"/>
      <c r="II230" s="60"/>
      <c r="IJ230" s="60"/>
      <c r="IK230" s="60"/>
      <c r="IL230" s="60"/>
      <c r="IM230" s="60"/>
      <c r="IN230" s="60"/>
      <c r="IO230" s="60"/>
      <c r="IP230" s="60"/>
      <c r="IQ230" s="60"/>
      <c r="IR230" s="60"/>
      <c r="IS230" s="60"/>
      <c r="IT230" s="60"/>
      <c r="IU230" s="60"/>
      <c r="IV230" s="60"/>
      <c r="IW230" s="60"/>
      <c r="IX230" s="60"/>
      <c r="IY230" s="60"/>
      <c r="IZ230" s="60"/>
      <c r="JA230" s="60"/>
      <c r="JB230" s="60"/>
      <c r="JC230" s="60"/>
      <c r="JD230" s="60"/>
      <c r="JE230" s="60"/>
      <c r="JF230" s="60"/>
      <c r="JG230" s="60"/>
      <c r="JH230" s="60"/>
      <c r="JI230" s="60"/>
      <c r="JJ230" s="60"/>
      <c r="JK230" s="60"/>
      <c r="JL230" s="60"/>
      <c r="JM230" s="60"/>
      <c r="JN230" s="60"/>
      <c r="JO230" s="60"/>
      <c r="JP230" s="60"/>
      <c r="JQ230" s="60"/>
      <c r="JR230" s="60"/>
      <c r="JS230" s="60"/>
      <c r="JT230" s="60"/>
      <c r="JU230" s="60"/>
      <c r="JV230" s="60"/>
      <c r="JW230" s="60"/>
      <c r="JX230" s="60"/>
      <c r="JY230" s="60"/>
      <c r="JZ230" s="60"/>
      <c r="KA230" s="60"/>
      <c r="KB230" s="60"/>
      <c r="KC230" s="60"/>
      <c r="KD230" s="60"/>
      <c r="KE230" s="60"/>
      <c r="KF230" s="60"/>
      <c r="KG230" s="60"/>
      <c r="KH230" s="60"/>
      <c r="KI230" s="60"/>
      <c r="KJ230" s="60"/>
      <c r="KK230" s="60"/>
      <c r="KL230" s="60"/>
      <c r="KM230" s="60"/>
      <c r="KN230" s="60"/>
      <c r="KO230" s="60"/>
      <c r="KP230" s="60"/>
      <c r="KQ230" s="60"/>
      <c r="KR230" s="60"/>
      <c r="KS230" s="60"/>
      <c r="KT230" s="60"/>
      <c r="KU230" s="60"/>
      <c r="KV230" s="60"/>
      <c r="KW230" s="60"/>
      <c r="KX230" s="60"/>
      <c r="KY230" s="60"/>
      <c r="KZ230" s="60"/>
      <c r="LA230" s="60"/>
      <c r="LB230" s="60"/>
      <c r="LC230" s="60"/>
      <c r="LD230" s="60"/>
      <c r="LE230" s="60"/>
      <c r="LF230" s="60"/>
      <c r="LG230" s="60"/>
      <c r="LH230" s="60"/>
    </row>
    <row r="231" spans="1:320" s="146" customFormat="1" x14ac:dyDescent="0.25">
      <c r="A231" s="147"/>
      <c r="B231" s="1"/>
      <c r="C231" s="1"/>
      <c r="D231" s="1"/>
      <c r="F231" s="148" t="s">
        <v>94</v>
      </c>
      <c r="G231" s="148"/>
      <c r="T231" s="17"/>
      <c r="U231" s="17"/>
      <c r="V231" s="17"/>
      <c r="W231" s="17"/>
      <c r="X231" s="17"/>
      <c r="Y231" s="17"/>
      <c r="Z231" s="17"/>
      <c r="AA231" s="17"/>
      <c r="AB231" s="17"/>
      <c r="AC231" s="60"/>
      <c r="AD231" s="60"/>
      <c r="AE231" s="60"/>
      <c r="AF231" s="60"/>
      <c r="AG231" s="60"/>
      <c r="AH231" s="60"/>
      <c r="AI231" s="60"/>
      <c r="AJ231" s="60"/>
      <c r="AK231" s="60"/>
      <c r="AL231" s="60"/>
      <c r="AM231" s="60"/>
      <c r="AN231" s="60"/>
      <c r="AO231" s="60"/>
      <c r="AP231" s="60"/>
      <c r="AQ231" s="60"/>
      <c r="AR231" s="60"/>
      <c r="AS231" s="60"/>
      <c r="AT231" s="60"/>
      <c r="AU231" s="60"/>
      <c r="AV231" s="60"/>
      <c r="AW231" s="60"/>
      <c r="AX231" s="60"/>
      <c r="AY231" s="60"/>
      <c r="AZ231" s="60"/>
      <c r="BA231" s="60"/>
      <c r="BB231" s="60"/>
      <c r="BC231" s="60"/>
      <c r="BD231" s="60"/>
      <c r="BE231" s="60"/>
      <c r="BF231" s="60"/>
      <c r="BG231" s="60"/>
      <c r="BH231" s="60"/>
      <c r="BI231" s="60"/>
      <c r="BJ231" s="60"/>
      <c r="BK231" s="60"/>
      <c r="BL231" s="60"/>
      <c r="BM231" s="60"/>
      <c r="BN231" s="60"/>
      <c r="BO231" s="60"/>
      <c r="BP231" s="60"/>
      <c r="BQ231" s="60"/>
      <c r="BR231" s="60"/>
      <c r="BS231" s="60"/>
      <c r="BT231" s="60"/>
      <c r="BU231" s="60"/>
      <c r="BV231" s="60"/>
      <c r="BW231" s="60"/>
      <c r="BX231" s="60"/>
      <c r="BY231" s="60"/>
      <c r="BZ231" s="60"/>
      <c r="CA231" s="60"/>
      <c r="CB231" s="60"/>
      <c r="CC231" s="60"/>
      <c r="CD231" s="60"/>
      <c r="CE231" s="60"/>
      <c r="CF231" s="60"/>
      <c r="CG231" s="60"/>
      <c r="CH231" s="60"/>
      <c r="CI231" s="60"/>
      <c r="CJ231" s="60"/>
      <c r="CK231" s="60"/>
      <c r="CL231" s="60"/>
      <c r="CM231" s="60"/>
      <c r="CN231" s="60"/>
      <c r="CO231" s="60"/>
      <c r="CP231" s="60"/>
      <c r="CQ231" s="60"/>
      <c r="CR231" s="60"/>
      <c r="CS231" s="60"/>
      <c r="CT231" s="60"/>
      <c r="CU231" s="60"/>
      <c r="CV231" s="60"/>
      <c r="CW231" s="60"/>
      <c r="CX231" s="60"/>
      <c r="CY231" s="60"/>
      <c r="CZ231" s="60"/>
      <c r="DA231" s="60"/>
      <c r="DB231" s="60"/>
      <c r="DC231" s="60"/>
      <c r="DD231" s="60"/>
      <c r="DE231" s="60"/>
      <c r="DF231" s="60"/>
      <c r="DG231" s="60"/>
      <c r="DH231" s="60"/>
      <c r="DI231" s="60"/>
      <c r="DJ231" s="60"/>
      <c r="DK231" s="60"/>
      <c r="DL231" s="60"/>
      <c r="DM231" s="60"/>
      <c r="DN231" s="60"/>
      <c r="DO231" s="60"/>
      <c r="DP231" s="60"/>
      <c r="DQ231" s="60"/>
      <c r="DR231" s="60"/>
      <c r="DS231" s="60"/>
      <c r="DT231" s="60"/>
      <c r="DU231" s="60"/>
      <c r="DV231" s="60"/>
      <c r="DW231" s="60"/>
      <c r="DX231" s="60"/>
      <c r="DY231" s="60"/>
      <c r="DZ231" s="60"/>
      <c r="EA231" s="60"/>
      <c r="EB231" s="60"/>
      <c r="EC231" s="60"/>
      <c r="ED231" s="60"/>
      <c r="EE231" s="60"/>
      <c r="EF231" s="60"/>
      <c r="EG231" s="60"/>
      <c r="EH231" s="60"/>
      <c r="EI231" s="60"/>
      <c r="EJ231" s="60"/>
      <c r="EK231" s="60"/>
      <c r="EL231" s="60"/>
      <c r="EM231" s="60"/>
      <c r="EN231" s="60"/>
      <c r="EO231" s="60"/>
      <c r="EP231" s="60"/>
      <c r="EQ231" s="60"/>
      <c r="ER231" s="60"/>
      <c r="ES231" s="60"/>
      <c r="ET231" s="60"/>
      <c r="EU231" s="60"/>
      <c r="EV231" s="60"/>
      <c r="EW231" s="60"/>
      <c r="EX231" s="60"/>
      <c r="EY231" s="60"/>
      <c r="EZ231" s="60"/>
      <c r="FA231" s="60"/>
      <c r="FB231" s="60"/>
      <c r="FC231" s="60"/>
      <c r="FD231" s="60"/>
      <c r="FE231" s="60"/>
      <c r="FF231" s="60"/>
      <c r="FG231" s="60"/>
      <c r="FH231" s="60"/>
      <c r="FI231" s="60"/>
      <c r="FJ231" s="60"/>
      <c r="FK231" s="60"/>
      <c r="FL231" s="60"/>
      <c r="FM231" s="60"/>
      <c r="FN231" s="60"/>
      <c r="FO231" s="60"/>
      <c r="FP231" s="60"/>
      <c r="FQ231" s="60"/>
      <c r="FR231" s="60"/>
      <c r="FS231" s="60"/>
      <c r="FT231" s="60"/>
      <c r="FU231" s="60"/>
      <c r="FV231" s="60"/>
      <c r="FW231" s="60"/>
      <c r="FX231" s="60"/>
      <c r="FY231" s="60"/>
      <c r="FZ231" s="60"/>
      <c r="GA231" s="60"/>
      <c r="GB231" s="60"/>
      <c r="GC231" s="60"/>
      <c r="GD231" s="60"/>
      <c r="GE231" s="60"/>
      <c r="GF231" s="60"/>
      <c r="GG231" s="60"/>
      <c r="GH231" s="60"/>
      <c r="GI231" s="60"/>
      <c r="GJ231" s="60"/>
      <c r="GK231" s="60"/>
      <c r="GL231" s="60"/>
      <c r="GM231" s="60"/>
      <c r="GN231" s="60"/>
      <c r="GO231" s="60"/>
      <c r="GP231" s="60"/>
      <c r="GQ231" s="60"/>
      <c r="GR231" s="60"/>
      <c r="GS231" s="60"/>
      <c r="GT231" s="60"/>
      <c r="GU231" s="60"/>
      <c r="GV231" s="60"/>
      <c r="GW231" s="60"/>
      <c r="GX231" s="60"/>
      <c r="GY231" s="60"/>
      <c r="GZ231" s="60"/>
      <c r="HA231" s="60"/>
      <c r="HB231" s="60"/>
      <c r="HC231" s="60"/>
      <c r="HD231" s="60"/>
      <c r="HE231" s="60"/>
      <c r="HF231" s="60"/>
      <c r="HG231" s="60"/>
      <c r="HH231" s="60"/>
      <c r="HI231" s="60"/>
      <c r="HJ231" s="60"/>
      <c r="HK231" s="60"/>
      <c r="HL231" s="60"/>
      <c r="HM231" s="60"/>
      <c r="HN231" s="60"/>
      <c r="HO231" s="60"/>
      <c r="HP231" s="60"/>
      <c r="HQ231" s="60"/>
      <c r="HR231" s="60"/>
      <c r="HS231" s="60"/>
      <c r="HT231" s="60"/>
      <c r="HU231" s="60"/>
      <c r="HV231" s="60"/>
      <c r="HW231" s="60"/>
      <c r="HX231" s="60"/>
      <c r="HY231" s="60"/>
      <c r="HZ231" s="60"/>
      <c r="IA231" s="60"/>
      <c r="IB231" s="60"/>
      <c r="IC231" s="60"/>
      <c r="ID231" s="60"/>
      <c r="IE231" s="60"/>
      <c r="IF231" s="60"/>
      <c r="IG231" s="60"/>
      <c r="IH231" s="60"/>
      <c r="II231" s="60"/>
      <c r="IJ231" s="60"/>
      <c r="IK231" s="60"/>
      <c r="IL231" s="60"/>
      <c r="IM231" s="60"/>
      <c r="IN231" s="60"/>
      <c r="IO231" s="60"/>
      <c r="IP231" s="60"/>
      <c r="IQ231" s="60"/>
      <c r="IR231" s="60"/>
      <c r="IS231" s="60"/>
      <c r="IT231" s="60"/>
      <c r="IU231" s="60"/>
      <c r="IV231" s="60"/>
      <c r="IW231" s="60"/>
      <c r="IX231" s="60"/>
      <c r="IY231" s="60"/>
      <c r="IZ231" s="60"/>
      <c r="JA231" s="60"/>
      <c r="JB231" s="60"/>
      <c r="JC231" s="60"/>
      <c r="JD231" s="60"/>
      <c r="JE231" s="60"/>
      <c r="JF231" s="60"/>
      <c r="JG231" s="60"/>
      <c r="JH231" s="60"/>
      <c r="JI231" s="60"/>
      <c r="JJ231" s="60"/>
      <c r="JK231" s="60"/>
      <c r="JL231" s="60"/>
      <c r="JM231" s="60"/>
      <c r="JN231" s="60"/>
      <c r="JO231" s="60"/>
      <c r="JP231" s="60"/>
      <c r="JQ231" s="60"/>
      <c r="JR231" s="60"/>
      <c r="JS231" s="60"/>
      <c r="JT231" s="60"/>
      <c r="JU231" s="60"/>
      <c r="JV231" s="60"/>
      <c r="JW231" s="60"/>
      <c r="JX231" s="60"/>
      <c r="JY231" s="60"/>
      <c r="JZ231" s="60"/>
      <c r="KA231" s="60"/>
      <c r="KB231" s="60"/>
      <c r="KC231" s="60"/>
      <c r="KD231" s="60"/>
      <c r="KE231" s="60"/>
      <c r="KF231" s="60"/>
      <c r="KG231" s="60"/>
      <c r="KH231" s="60"/>
      <c r="KI231" s="60"/>
      <c r="KJ231" s="60"/>
      <c r="KK231" s="60"/>
      <c r="KL231" s="60"/>
      <c r="KM231" s="60"/>
      <c r="KN231" s="60"/>
      <c r="KO231" s="60"/>
      <c r="KP231" s="60"/>
      <c r="KQ231" s="60"/>
      <c r="KR231" s="60"/>
      <c r="KS231" s="60"/>
      <c r="KT231" s="60"/>
      <c r="KU231" s="60"/>
      <c r="KV231" s="60"/>
      <c r="KW231" s="60"/>
      <c r="KX231" s="60"/>
      <c r="KY231" s="60"/>
      <c r="KZ231" s="60"/>
      <c r="LA231" s="60"/>
      <c r="LB231" s="60"/>
      <c r="LC231" s="60"/>
      <c r="LD231" s="60"/>
      <c r="LE231" s="60"/>
      <c r="LF231" s="60"/>
      <c r="LG231" s="60"/>
      <c r="LH231" s="60"/>
    </row>
    <row r="232" spans="1:320" s="146" customFormat="1" x14ac:dyDescent="0.25">
      <c r="A232" s="147"/>
      <c r="B232" s="1"/>
      <c r="C232" s="1"/>
      <c r="D232" s="1"/>
      <c r="F232" s="148">
        <v>13</v>
      </c>
      <c r="G232" s="148"/>
      <c r="T232" s="17"/>
      <c r="U232" s="17"/>
      <c r="V232" s="17"/>
      <c r="W232" s="17"/>
      <c r="X232" s="17"/>
      <c r="Y232" s="17"/>
      <c r="Z232" s="17"/>
      <c r="AA232" s="17"/>
      <c r="AB232" s="17"/>
      <c r="AC232" s="60"/>
      <c r="AD232" s="60"/>
      <c r="AE232" s="60"/>
      <c r="AF232" s="60"/>
      <c r="AG232" s="60"/>
      <c r="AH232" s="60"/>
      <c r="AI232" s="60"/>
      <c r="AJ232" s="60"/>
      <c r="AK232" s="60"/>
      <c r="AL232" s="60"/>
      <c r="AM232" s="60"/>
      <c r="AN232" s="60"/>
      <c r="AO232" s="60"/>
      <c r="AP232" s="60"/>
      <c r="AQ232" s="60"/>
      <c r="AR232" s="60"/>
      <c r="AS232" s="60"/>
      <c r="AT232" s="60"/>
      <c r="AU232" s="60"/>
      <c r="AV232" s="60"/>
      <c r="AW232" s="60"/>
      <c r="AX232" s="60"/>
      <c r="AY232" s="60"/>
      <c r="AZ232" s="60"/>
      <c r="BA232" s="60"/>
      <c r="BB232" s="60"/>
      <c r="BC232" s="60"/>
      <c r="BD232" s="60"/>
      <c r="BE232" s="60"/>
      <c r="BF232" s="60"/>
      <c r="BG232" s="60"/>
      <c r="BH232" s="60"/>
      <c r="BI232" s="60"/>
      <c r="BJ232" s="60"/>
      <c r="BK232" s="60"/>
      <c r="BL232" s="60"/>
      <c r="BM232" s="60"/>
      <c r="BN232" s="60"/>
      <c r="BO232" s="60"/>
      <c r="BP232" s="60"/>
      <c r="BQ232" s="60"/>
      <c r="BR232" s="60"/>
      <c r="BS232" s="60"/>
      <c r="BT232" s="60"/>
      <c r="BU232" s="60"/>
      <c r="BV232" s="60"/>
      <c r="BW232" s="60"/>
      <c r="BX232" s="60"/>
      <c r="BY232" s="60"/>
      <c r="BZ232" s="60"/>
      <c r="CA232" s="60"/>
      <c r="CB232" s="60"/>
      <c r="CC232" s="60"/>
      <c r="CD232" s="60"/>
      <c r="CE232" s="60"/>
      <c r="CF232" s="60"/>
      <c r="CG232" s="60"/>
      <c r="CH232" s="60"/>
      <c r="CI232" s="60"/>
      <c r="CJ232" s="60"/>
      <c r="CK232" s="60"/>
      <c r="CL232" s="60"/>
      <c r="CM232" s="60"/>
      <c r="CN232" s="60"/>
      <c r="CO232" s="60"/>
      <c r="CP232" s="60"/>
      <c r="CQ232" s="60"/>
      <c r="CR232" s="60"/>
      <c r="CS232" s="60"/>
      <c r="CT232" s="60"/>
      <c r="CU232" s="60"/>
      <c r="CV232" s="60"/>
      <c r="CW232" s="60"/>
      <c r="CX232" s="60"/>
      <c r="CY232" s="60"/>
      <c r="CZ232" s="60"/>
      <c r="DA232" s="60"/>
      <c r="DB232" s="60"/>
      <c r="DC232" s="60"/>
      <c r="DD232" s="60"/>
      <c r="DE232" s="60"/>
      <c r="DF232" s="60"/>
      <c r="DG232" s="60"/>
      <c r="DH232" s="60"/>
      <c r="DI232" s="60"/>
      <c r="DJ232" s="60"/>
      <c r="DK232" s="60"/>
      <c r="DL232" s="60"/>
      <c r="DM232" s="60"/>
      <c r="DN232" s="60"/>
      <c r="DO232" s="60"/>
      <c r="DP232" s="60"/>
      <c r="DQ232" s="60"/>
      <c r="DR232" s="60"/>
      <c r="DS232" s="60"/>
      <c r="DT232" s="60"/>
      <c r="DU232" s="60"/>
      <c r="DV232" s="60"/>
      <c r="DW232" s="60"/>
      <c r="DX232" s="60"/>
      <c r="DY232" s="60"/>
      <c r="DZ232" s="60"/>
      <c r="EA232" s="60"/>
      <c r="EB232" s="60"/>
      <c r="EC232" s="60"/>
      <c r="ED232" s="60"/>
      <c r="EE232" s="60"/>
      <c r="EF232" s="60"/>
      <c r="EG232" s="60"/>
      <c r="EH232" s="60"/>
      <c r="EI232" s="60"/>
      <c r="EJ232" s="60"/>
      <c r="EK232" s="60"/>
      <c r="EL232" s="60"/>
      <c r="EM232" s="60"/>
      <c r="EN232" s="60"/>
      <c r="EO232" s="60"/>
      <c r="EP232" s="60"/>
      <c r="EQ232" s="60"/>
      <c r="ER232" s="60"/>
      <c r="ES232" s="60"/>
      <c r="ET232" s="60"/>
      <c r="EU232" s="60"/>
      <c r="EV232" s="60"/>
      <c r="EW232" s="60"/>
      <c r="EX232" s="60"/>
      <c r="EY232" s="60"/>
      <c r="EZ232" s="60"/>
      <c r="FA232" s="60"/>
      <c r="FB232" s="60"/>
      <c r="FC232" s="60"/>
      <c r="FD232" s="60"/>
      <c r="FE232" s="60"/>
      <c r="FF232" s="60"/>
      <c r="FG232" s="60"/>
      <c r="FH232" s="60"/>
      <c r="FI232" s="60"/>
      <c r="FJ232" s="60"/>
      <c r="FK232" s="60"/>
      <c r="FL232" s="60"/>
      <c r="FM232" s="60"/>
      <c r="FN232" s="60"/>
      <c r="FO232" s="60"/>
      <c r="FP232" s="60"/>
      <c r="FQ232" s="60"/>
      <c r="FR232" s="60"/>
      <c r="FS232" s="60"/>
      <c r="FT232" s="60"/>
      <c r="FU232" s="60"/>
      <c r="FV232" s="60"/>
      <c r="FW232" s="60"/>
      <c r="FX232" s="60"/>
      <c r="FY232" s="60"/>
      <c r="FZ232" s="60"/>
      <c r="GA232" s="60"/>
      <c r="GB232" s="60"/>
      <c r="GC232" s="60"/>
      <c r="GD232" s="60"/>
      <c r="GE232" s="60"/>
      <c r="GF232" s="60"/>
      <c r="GG232" s="60"/>
      <c r="GH232" s="60"/>
      <c r="GI232" s="60"/>
      <c r="GJ232" s="60"/>
      <c r="GK232" s="60"/>
      <c r="GL232" s="60"/>
      <c r="GM232" s="60"/>
      <c r="GN232" s="60"/>
      <c r="GO232" s="60"/>
      <c r="GP232" s="60"/>
      <c r="GQ232" s="60"/>
      <c r="GR232" s="60"/>
      <c r="GS232" s="60"/>
      <c r="GT232" s="60"/>
      <c r="GU232" s="60"/>
      <c r="GV232" s="60"/>
      <c r="GW232" s="60"/>
      <c r="GX232" s="60"/>
      <c r="GY232" s="60"/>
      <c r="GZ232" s="60"/>
      <c r="HA232" s="60"/>
      <c r="HB232" s="60"/>
      <c r="HC232" s="60"/>
      <c r="HD232" s="60"/>
      <c r="HE232" s="60"/>
      <c r="HF232" s="60"/>
      <c r="HG232" s="60"/>
      <c r="HH232" s="60"/>
      <c r="HI232" s="60"/>
      <c r="HJ232" s="60"/>
      <c r="HK232" s="60"/>
      <c r="HL232" s="60"/>
      <c r="HM232" s="60"/>
      <c r="HN232" s="60"/>
      <c r="HO232" s="60"/>
      <c r="HP232" s="60"/>
      <c r="HQ232" s="60"/>
      <c r="HR232" s="60"/>
      <c r="HS232" s="60"/>
      <c r="HT232" s="60"/>
      <c r="HU232" s="60"/>
      <c r="HV232" s="60"/>
      <c r="HW232" s="60"/>
      <c r="HX232" s="60"/>
      <c r="HY232" s="60"/>
      <c r="HZ232" s="60"/>
      <c r="IA232" s="60"/>
      <c r="IB232" s="60"/>
      <c r="IC232" s="60"/>
      <c r="ID232" s="60"/>
      <c r="IE232" s="60"/>
      <c r="IF232" s="60"/>
      <c r="IG232" s="60"/>
      <c r="IH232" s="60"/>
      <c r="II232" s="60"/>
      <c r="IJ232" s="60"/>
      <c r="IK232" s="60"/>
      <c r="IL232" s="60"/>
      <c r="IM232" s="60"/>
      <c r="IN232" s="60"/>
      <c r="IO232" s="60"/>
      <c r="IP232" s="60"/>
      <c r="IQ232" s="60"/>
      <c r="IR232" s="60"/>
      <c r="IS232" s="60"/>
      <c r="IT232" s="60"/>
      <c r="IU232" s="60"/>
      <c r="IV232" s="60"/>
      <c r="IW232" s="60"/>
      <c r="IX232" s="60"/>
      <c r="IY232" s="60"/>
      <c r="IZ232" s="60"/>
      <c r="JA232" s="60"/>
      <c r="JB232" s="60"/>
      <c r="JC232" s="60"/>
      <c r="JD232" s="60"/>
      <c r="JE232" s="60"/>
      <c r="JF232" s="60"/>
      <c r="JG232" s="60"/>
      <c r="JH232" s="60"/>
      <c r="JI232" s="60"/>
      <c r="JJ232" s="60"/>
      <c r="JK232" s="60"/>
      <c r="JL232" s="60"/>
      <c r="JM232" s="60"/>
      <c r="JN232" s="60"/>
      <c r="JO232" s="60"/>
      <c r="JP232" s="60"/>
      <c r="JQ232" s="60"/>
      <c r="JR232" s="60"/>
      <c r="JS232" s="60"/>
      <c r="JT232" s="60"/>
      <c r="JU232" s="60"/>
      <c r="JV232" s="60"/>
      <c r="JW232" s="60"/>
      <c r="JX232" s="60"/>
      <c r="JY232" s="60"/>
      <c r="JZ232" s="60"/>
      <c r="KA232" s="60"/>
      <c r="KB232" s="60"/>
      <c r="KC232" s="60"/>
      <c r="KD232" s="60"/>
      <c r="KE232" s="60"/>
      <c r="KF232" s="60"/>
      <c r="KG232" s="60"/>
      <c r="KH232" s="60"/>
      <c r="KI232" s="60"/>
      <c r="KJ232" s="60"/>
      <c r="KK232" s="60"/>
      <c r="KL232" s="60"/>
      <c r="KM232" s="60"/>
      <c r="KN232" s="60"/>
      <c r="KO232" s="60"/>
      <c r="KP232" s="60"/>
      <c r="KQ232" s="60"/>
      <c r="KR232" s="60"/>
      <c r="KS232" s="60"/>
      <c r="KT232" s="60"/>
      <c r="KU232" s="60"/>
      <c r="KV232" s="60"/>
      <c r="KW232" s="60"/>
      <c r="KX232" s="60"/>
      <c r="KY232" s="60"/>
      <c r="KZ232" s="60"/>
      <c r="LA232" s="60"/>
      <c r="LB232" s="60"/>
      <c r="LC232" s="60"/>
      <c r="LD232" s="60"/>
      <c r="LE232" s="60"/>
      <c r="LF232" s="60"/>
      <c r="LG232" s="60"/>
      <c r="LH232" s="60"/>
    </row>
    <row r="233" spans="1:320" s="146" customFormat="1" x14ac:dyDescent="0.25">
      <c r="A233" s="147"/>
      <c r="B233" s="1"/>
      <c r="C233" s="1"/>
      <c r="D233" s="1"/>
      <c r="F233" s="148">
        <v>14</v>
      </c>
      <c r="G233" s="148"/>
      <c r="T233" s="17"/>
      <c r="U233" s="17"/>
      <c r="V233" s="17"/>
      <c r="W233" s="17"/>
      <c r="X233" s="17"/>
      <c r="Y233" s="17"/>
      <c r="Z233" s="17"/>
      <c r="AA233" s="17"/>
      <c r="AB233" s="17"/>
      <c r="AC233" s="60"/>
      <c r="AD233" s="60"/>
      <c r="AE233" s="60"/>
      <c r="AF233" s="60"/>
      <c r="AG233" s="60"/>
      <c r="AH233" s="60"/>
      <c r="AI233" s="60"/>
      <c r="AJ233" s="60"/>
      <c r="AK233" s="60"/>
      <c r="AL233" s="60"/>
      <c r="AM233" s="60"/>
      <c r="AN233" s="60"/>
      <c r="AO233" s="60"/>
      <c r="AP233" s="60"/>
      <c r="AQ233" s="60"/>
      <c r="AR233" s="60"/>
      <c r="AS233" s="60"/>
      <c r="AT233" s="60"/>
      <c r="AU233" s="60"/>
      <c r="AV233" s="60"/>
      <c r="AW233" s="60"/>
      <c r="AX233" s="60"/>
      <c r="AY233" s="60"/>
      <c r="AZ233" s="60"/>
      <c r="BA233" s="60"/>
      <c r="BB233" s="60"/>
      <c r="BC233" s="60"/>
      <c r="BD233" s="60"/>
      <c r="BE233" s="60"/>
      <c r="BF233" s="60"/>
      <c r="BG233" s="60"/>
      <c r="BH233" s="60"/>
      <c r="BI233" s="60"/>
      <c r="BJ233" s="60"/>
      <c r="BK233" s="60"/>
      <c r="BL233" s="60"/>
      <c r="BM233" s="60"/>
      <c r="BN233" s="60"/>
      <c r="BO233" s="60"/>
      <c r="BP233" s="60"/>
      <c r="BQ233" s="60"/>
      <c r="BR233" s="60"/>
      <c r="BS233" s="60"/>
      <c r="BT233" s="60"/>
      <c r="BU233" s="60"/>
      <c r="BV233" s="60"/>
      <c r="BW233" s="60"/>
      <c r="BX233" s="60"/>
      <c r="BY233" s="60"/>
      <c r="BZ233" s="60"/>
      <c r="CA233" s="60"/>
      <c r="CB233" s="60"/>
      <c r="CC233" s="60"/>
      <c r="CD233" s="60"/>
      <c r="CE233" s="60"/>
      <c r="CF233" s="60"/>
      <c r="CG233" s="60"/>
      <c r="CH233" s="60"/>
      <c r="CI233" s="60"/>
      <c r="CJ233" s="60"/>
      <c r="CK233" s="60"/>
      <c r="CL233" s="60"/>
      <c r="CM233" s="60"/>
      <c r="CN233" s="60"/>
      <c r="CO233" s="60"/>
      <c r="CP233" s="60"/>
      <c r="CQ233" s="60"/>
      <c r="CR233" s="60"/>
      <c r="CS233" s="60"/>
      <c r="CT233" s="60"/>
      <c r="CU233" s="60"/>
      <c r="CV233" s="60"/>
      <c r="CW233" s="60"/>
      <c r="CX233" s="60"/>
      <c r="CY233" s="60"/>
      <c r="CZ233" s="60"/>
      <c r="DA233" s="60"/>
      <c r="DB233" s="60"/>
      <c r="DC233" s="60"/>
      <c r="DD233" s="60"/>
      <c r="DE233" s="60"/>
      <c r="DF233" s="60"/>
      <c r="DG233" s="60"/>
      <c r="DH233" s="60"/>
      <c r="DI233" s="60"/>
      <c r="DJ233" s="60"/>
      <c r="DK233" s="60"/>
      <c r="DL233" s="60"/>
      <c r="DM233" s="60"/>
      <c r="DN233" s="60"/>
      <c r="DO233" s="60"/>
      <c r="DP233" s="60"/>
      <c r="DQ233" s="60"/>
      <c r="DR233" s="60"/>
      <c r="DS233" s="60"/>
      <c r="DT233" s="60"/>
      <c r="DU233" s="60"/>
      <c r="DV233" s="60"/>
      <c r="DW233" s="60"/>
      <c r="DX233" s="60"/>
      <c r="DY233" s="60"/>
      <c r="DZ233" s="60"/>
      <c r="EA233" s="60"/>
      <c r="EB233" s="60"/>
      <c r="EC233" s="60"/>
      <c r="ED233" s="60"/>
      <c r="EE233" s="60"/>
      <c r="EF233" s="60"/>
      <c r="EG233" s="60"/>
      <c r="EH233" s="60"/>
      <c r="EI233" s="60"/>
      <c r="EJ233" s="60"/>
      <c r="EK233" s="60"/>
      <c r="EL233" s="60"/>
      <c r="EM233" s="60"/>
      <c r="EN233" s="60"/>
      <c r="EO233" s="60"/>
      <c r="EP233" s="60"/>
      <c r="EQ233" s="60"/>
      <c r="ER233" s="60"/>
      <c r="ES233" s="60"/>
      <c r="ET233" s="60"/>
      <c r="EU233" s="60"/>
      <c r="EV233" s="60"/>
      <c r="EW233" s="60"/>
      <c r="EX233" s="60"/>
      <c r="EY233" s="60"/>
      <c r="EZ233" s="60"/>
      <c r="FA233" s="60"/>
      <c r="FB233" s="60"/>
      <c r="FC233" s="60"/>
      <c r="FD233" s="60"/>
      <c r="FE233" s="60"/>
      <c r="FF233" s="60"/>
      <c r="FG233" s="60"/>
      <c r="FH233" s="60"/>
      <c r="FI233" s="60"/>
      <c r="FJ233" s="60"/>
      <c r="FK233" s="60"/>
      <c r="FL233" s="60"/>
      <c r="FM233" s="60"/>
      <c r="FN233" s="60"/>
      <c r="FO233" s="60"/>
      <c r="FP233" s="60"/>
      <c r="FQ233" s="60"/>
      <c r="FR233" s="60"/>
      <c r="FS233" s="60"/>
      <c r="FT233" s="60"/>
      <c r="FU233" s="60"/>
      <c r="FV233" s="60"/>
      <c r="FW233" s="60"/>
      <c r="FX233" s="60"/>
      <c r="FY233" s="60"/>
      <c r="FZ233" s="60"/>
      <c r="GA233" s="60"/>
      <c r="GB233" s="60"/>
      <c r="GC233" s="60"/>
      <c r="GD233" s="60"/>
      <c r="GE233" s="60"/>
      <c r="GF233" s="60"/>
      <c r="GG233" s="60"/>
      <c r="GH233" s="60"/>
      <c r="GI233" s="60"/>
      <c r="GJ233" s="60"/>
      <c r="GK233" s="60"/>
      <c r="GL233" s="60"/>
      <c r="GM233" s="60"/>
      <c r="GN233" s="60"/>
      <c r="GO233" s="60"/>
      <c r="GP233" s="60"/>
      <c r="GQ233" s="60"/>
      <c r="GR233" s="60"/>
      <c r="GS233" s="60"/>
      <c r="GT233" s="60"/>
      <c r="GU233" s="60"/>
      <c r="GV233" s="60"/>
      <c r="GW233" s="60"/>
      <c r="GX233" s="60"/>
      <c r="GY233" s="60"/>
      <c r="GZ233" s="60"/>
      <c r="HA233" s="60"/>
      <c r="HB233" s="60"/>
      <c r="HC233" s="60"/>
      <c r="HD233" s="60"/>
      <c r="HE233" s="60"/>
      <c r="HF233" s="60"/>
      <c r="HG233" s="60"/>
      <c r="HH233" s="60"/>
      <c r="HI233" s="60"/>
      <c r="HJ233" s="60"/>
      <c r="HK233" s="60"/>
      <c r="HL233" s="60"/>
      <c r="HM233" s="60"/>
      <c r="HN233" s="60"/>
      <c r="HO233" s="60"/>
      <c r="HP233" s="60"/>
      <c r="HQ233" s="60"/>
      <c r="HR233" s="60"/>
      <c r="HS233" s="60"/>
      <c r="HT233" s="60"/>
      <c r="HU233" s="60"/>
      <c r="HV233" s="60"/>
      <c r="HW233" s="60"/>
      <c r="HX233" s="60"/>
      <c r="HY233" s="60"/>
      <c r="HZ233" s="60"/>
      <c r="IA233" s="60"/>
      <c r="IB233" s="60"/>
      <c r="IC233" s="60"/>
      <c r="ID233" s="60"/>
      <c r="IE233" s="60"/>
      <c r="IF233" s="60"/>
      <c r="IG233" s="60"/>
      <c r="IH233" s="60"/>
      <c r="II233" s="60"/>
      <c r="IJ233" s="60"/>
      <c r="IK233" s="60"/>
      <c r="IL233" s="60"/>
      <c r="IM233" s="60"/>
      <c r="IN233" s="60"/>
      <c r="IO233" s="60"/>
      <c r="IP233" s="60"/>
      <c r="IQ233" s="60"/>
      <c r="IR233" s="60"/>
      <c r="IS233" s="60"/>
      <c r="IT233" s="60"/>
      <c r="IU233" s="60"/>
      <c r="IV233" s="60"/>
      <c r="IW233" s="60"/>
      <c r="IX233" s="60"/>
      <c r="IY233" s="60"/>
      <c r="IZ233" s="60"/>
      <c r="JA233" s="60"/>
      <c r="JB233" s="60"/>
      <c r="JC233" s="60"/>
      <c r="JD233" s="60"/>
      <c r="JE233" s="60"/>
      <c r="JF233" s="60"/>
      <c r="JG233" s="60"/>
      <c r="JH233" s="60"/>
      <c r="JI233" s="60"/>
      <c r="JJ233" s="60"/>
      <c r="JK233" s="60"/>
      <c r="JL233" s="60"/>
      <c r="JM233" s="60"/>
      <c r="JN233" s="60"/>
      <c r="JO233" s="60"/>
      <c r="JP233" s="60"/>
      <c r="JQ233" s="60"/>
      <c r="JR233" s="60"/>
      <c r="JS233" s="60"/>
      <c r="JT233" s="60"/>
      <c r="JU233" s="60"/>
      <c r="JV233" s="60"/>
      <c r="JW233" s="60"/>
      <c r="JX233" s="60"/>
      <c r="JY233" s="60"/>
      <c r="JZ233" s="60"/>
      <c r="KA233" s="60"/>
      <c r="KB233" s="60"/>
      <c r="KC233" s="60"/>
      <c r="KD233" s="60"/>
      <c r="KE233" s="60"/>
      <c r="KF233" s="60"/>
      <c r="KG233" s="60"/>
      <c r="KH233" s="60"/>
      <c r="KI233" s="60"/>
      <c r="KJ233" s="60"/>
      <c r="KK233" s="60"/>
      <c r="KL233" s="60"/>
      <c r="KM233" s="60"/>
      <c r="KN233" s="60"/>
      <c r="KO233" s="60"/>
      <c r="KP233" s="60"/>
      <c r="KQ233" s="60"/>
      <c r="KR233" s="60"/>
      <c r="KS233" s="60"/>
      <c r="KT233" s="60"/>
      <c r="KU233" s="60"/>
      <c r="KV233" s="60"/>
      <c r="KW233" s="60"/>
      <c r="KX233" s="60"/>
      <c r="KY233" s="60"/>
      <c r="KZ233" s="60"/>
      <c r="LA233" s="60"/>
      <c r="LB233" s="60"/>
      <c r="LC233" s="60"/>
      <c r="LD233" s="60"/>
      <c r="LE233" s="60"/>
      <c r="LF233" s="60"/>
      <c r="LG233" s="60"/>
      <c r="LH233" s="60"/>
    </row>
    <row r="234" spans="1:320" s="146" customFormat="1" x14ac:dyDescent="0.25">
      <c r="A234" s="147"/>
      <c r="B234" s="1"/>
      <c r="C234" s="1"/>
      <c r="D234" s="1"/>
      <c r="F234" s="148">
        <v>15</v>
      </c>
      <c r="G234" s="148"/>
      <c r="T234" s="17"/>
      <c r="U234" s="17"/>
      <c r="V234" s="17"/>
      <c r="W234" s="17"/>
      <c r="X234" s="17"/>
      <c r="Y234" s="17"/>
      <c r="Z234" s="17"/>
      <c r="AA234" s="17"/>
      <c r="AB234" s="17"/>
      <c r="AC234" s="60"/>
      <c r="AD234" s="60"/>
      <c r="AE234" s="60"/>
      <c r="AF234" s="60"/>
      <c r="AG234" s="60"/>
      <c r="AH234" s="60"/>
      <c r="AI234" s="60"/>
      <c r="AJ234" s="60"/>
      <c r="AK234" s="60"/>
      <c r="AL234" s="60"/>
      <c r="AM234" s="60"/>
      <c r="AN234" s="60"/>
      <c r="AO234" s="60"/>
      <c r="AP234" s="60"/>
      <c r="AQ234" s="60"/>
      <c r="AR234" s="60"/>
      <c r="AS234" s="60"/>
      <c r="AT234" s="60"/>
      <c r="AU234" s="60"/>
      <c r="AV234" s="60"/>
      <c r="AW234" s="60"/>
      <c r="AX234" s="60"/>
      <c r="AY234" s="60"/>
      <c r="AZ234" s="60"/>
      <c r="BA234" s="60"/>
      <c r="BB234" s="60"/>
      <c r="BC234" s="60"/>
      <c r="BD234" s="60"/>
      <c r="BE234" s="60"/>
      <c r="BF234" s="60"/>
      <c r="BG234" s="60"/>
      <c r="BH234" s="60"/>
      <c r="BI234" s="60"/>
      <c r="BJ234" s="60"/>
      <c r="BK234" s="60"/>
      <c r="BL234" s="60"/>
      <c r="BM234" s="60"/>
      <c r="BN234" s="60"/>
      <c r="BO234" s="60"/>
      <c r="BP234" s="60"/>
      <c r="BQ234" s="60"/>
      <c r="BR234" s="60"/>
      <c r="BS234" s="60"/>
      <c r="BT234" s="60"/>
      <c r="BU234" s="60"/>
      <c r="BV234" s="60"/>
      <c r="BW234" s="60"/>
      <c r="BX234" s="60"/>
      <c r="BY234" s="60"/>
      <c r="BZ234" s="60"/>
      <c r="CA234" s="60"/>
      <c r="CB234" s="60"/>
      <c r="CC234" s="60"/>
      <c r="CD234" s="60"/>
      <c r="CE234" s="60"/>
      <c r="CF234" s="60"/>
      <c r="CG234" s="60"/>
      <c r="CH234" s="60"/>
      <c r="CI234" s="60"/>
      <c r="CJ234" s="60"/>
      <c r="CK234" s="60"/>
      <c r="CL234" s="60"/>
      <c r="CM234" s="60"/>
      <c r="CN234" s="60"/>
      <c r="CO234" s="60"/>
      <c r="CP234" s="60"/>
      <c r="CQ234" s="60"/>
      <c r="CR234" s="60"/>
      <c r="CS234" s="60"/>
      <c r="CT234" s="60"/>
      <c r="CU234" s="60"/>
      <c r="CV234" s="60"/>
      <c r="CW234" s="60"/>
      <c r="CX234" s="60"/>
      <c r="CY234" s="60"/>
      <c r="CZ234" s="60"/>
      <c r="DA234" s="60"/>
      <c r="DB234" s="60"/>
      <c r="DC234" s="60"/>
      <c r="DD234" s="60"/>
      <c r="DE234" s="60"/>
      <c r="DF234" s="60"/>
      <c r="DG234" s="60"/>
      <c r="DH234" s="60"/>
      <c r="DI234" s="60"/>
      <c r="DJ234" s="60"/>
      <c r="DK234" s="60"/>
      <c r="DL234" s="60"/>
      <c r="DM234" s="60"/>
      <c r="DN234" s="60"/>
      <c r="DO234" s="60"/>
      <c r="DP234" s="60"/>
      <c r="DQ234" s="60"/>
      <c r="DR234" s="60"/>
      <c r="DS234" s="60"/>
      <c r="DT234" s="60"/>
      <c r="DU234" s="60"/>
      <c r="DV234" s="60"/>
      <c r="DW234" s="60"/>
      <c r="DX234" s="60"/>
      <c r="DY234" s="60"/>
      <c r="DZ234" s="60"/>
      <c r="EA234" s="60"/>
      <c r="EB234" s="60"/>
      <c r="EC234" s="60"/>
      <c r="ED234" s="60"/>
      <c r="EE234" s="60"/>
      <c r="EF234" s="60"/>
      <c r="EG234" s="60"/>
      <c r="EH234" s="60"/>
      <c r="EI234" s="60"/>
      <c r="EJ234" s="60"/>
      <c r="EK234" s="60"/>
      <c r="EL234" s="60"/>
      <c r="EM234" s="60"/>
      <c r="EN234" s="60"/>
      <c r="EO234" s="60"/>
      <c r="EP234" s="60"/>
      <c r="EQ234" s="60"/>
      <c r="ER234" s="60"/>
      <c r="ES234" s="60"/>
      <c r="ET234" s="60"/>
      <c r="EU234" s="60"/>
      <c r="EV234" s="60"/>
      <c r="EW234" s="60"/>
      <c r="EX234" s="60"/>
      <c r="EY234" s="60"/>
      <c r="EZ234" s="60"/>
      <c r="FA234" s="60"/>
      <c r="FB234" s="60"/>
      <c r="FC234" s="60"/>
      <c r="FD234" s="60"/>
      <c r="FE234" s="60"/>
      <c r="FF234" s="60"/>
      <c r="FG234" s="60"/>
      <c r="FH234" s="60"/>
      <c r="FI234" s="60"/>
      <c r="FJ234" s="60"/>
      <c r="FK234" s="60"/>
      <c r="FL234" s="60"/>
      <c r="FM234" s="60"/>
      <c r="FN234" s="60"/>
      <c r="FO234" s="60"/>
      <c r="FP234" s="60"/>
      <c r="FQ234" s="60"/>
      <c r="FR234" s="60"/>
      <c r="FS234" s="60"/>
      <c r="FT234" s="60"/>
      <c r="FU234" s="60"/>
      <c r="FV234" s="60"/>
      <c r="FW234" s="60"/>
      <c r="FX234" s="60"/>
      <c r="FY234" s="60"/>
      <c r="FZ234" s="60"/>
      <c r="GA234" s="60"/>
      <c r="GB234" s="60"/>
      <c r="GC234" s="60"/>
      <c r="GD234" s="60"/>
      <c r="GE234" s="60"/>
      <c r="GF234" s="60"/>
      <c r="GG234" s="60"/>
      <c r="GH234" s="60"/>
      <c r="GI234" s="60"/>
      <c r="GJ234" s="60"/>
      <c r="GK234" s="60"/>
      <c r="GL234" s="60"/>
      <c r="GM234" s="60"/>
      <c r="GN234" s="60"/>
      <c r="GO234" s="60"/>
      <c r="GP234" s="60"/>
      <c r="GQ234" s="60"/>
      <c r="GR234" s="60"/>
      <c r="GS234" s="60"/>
      <c r="GT234" s="60"/>
      <c r="GU234" s="60"/>
      <c r="GV234" s="60"/>
      <c r="GW234" s="60"/>
      <c r="GX234" s="60"/>
      <c r="GY234" s="60"/>
      <c r="GZ234" s="60"/>
      <c r="HA234" s="60"/>
      <c r="HB234" s="60"/>
      <c r="HC234" s="60"/>
      <c r="HD234" s="60"/>
      <c r="HE234" s="60"/>
      <c r="HF234" s="60"/>
      <c r="HG234" s="60"/>
      <c r="HH234" s="60"/>
      <c r="HI234" s="60"/>
      <c r="HJ234" s="60"/>
      <c r="HK234" s="60"/>
      <c r="HL234" s="60"/>
      <c r="HM234" s="60"/>
      <c r="HN234" s="60"/>
      <c r="HO234" s="60"/>
      <c r="HP234" s="60"/>
      <c r="HQ234" s="60"/>
      <c r="HR234" s="60"/>
      <c r="HS234" s="60"/>
      <c r="HT234" s="60"/>
      <c r="HU234" s="60"/>
      <c r="HV234" s="60"/>
      <c r="HW234" s="60"/>
      <c r="HX234" s="60"/>
      <c r="HY234" s="60"/>
      <c r="HZ234" s="60"/>
      <c r="IA234" s="60"/>
      <c r="IB234" s="60"/>
      <c r="IC234" s="60"/>
      <c r="ID234" s="60"/>
      <c r="IE234" s="60"/>
      <c r="IF234" s="60"/>
      <c r="IG234" s="60"/>
      <c r="IH234" s="60"/>
      <c r="II234" s="60"/>
      <c r="IJ234" s="60"/>
      <c r="IK234" s="60"/>
      <c r="IL234" s="60"/>
      <c r="IM234" s="60"/>
      <c r="IN234" s="60"/>
      <c r="IO234" s="60"/>
      <c r="IP234" s="60"/>
      <c r="IQ234" s="60"/>
      <c r="IR234" s="60"/>
      <c r="IS234" s="60"/>
      <c r="IT234" s="60"/>
      <c r="IU234" s="60"/>
      <c r="IV234" s="60"/>
      <c r="IW234" s="60"/>
      <c r="IX234" s="60"/>
      <c r="IY234" s="60"/>
      <c r="IZ234" s="60"/>
      <c r="JA234" s="60"/>
      <c r="JB234" s="60"/>
      <c r="JC234" s="60"/>
      <c r="JD234" s="60"/>
      <c r="JE234" s="60"/>
      <c r="JF234" s="60"/>
      <c r="JG234" s="60"/>
      <c r="JH234" s="60"/>
      <c r="JI234" s="60"/>
      <c r="JJ234" s="60"/>
      <c r="JK234" s="60"/>
      <c r="JL234" s="60"/>
      <c r="JM234" s="60"/>
      <c r="JN234" s="60"/>
      <c r="JO234" s="60"/>
      <c r="JP234" s="60"/>
      <c r="JQ234" s="60"/>
      <c r="JR234" s="60"/>
      <c r="JS234" s="60"/>
      <c r="JT234" s="60"/>
      <c r="JU234" s="60"/>
      <c r="JV234" s="60"/>
      <c r="JW234" s="60"/>
      <c r="JX234" s="60"/>
      <c r="JY234" s="60"/>
      <c r="JZ234" s="60"/>
      <c r="KA234" s="60"/>
      <c r="KB234" s="60"/>
      <c r="KC234" s="60"/>
      <c r="KD234" s="60"/>
      <c r="KE234" s="60"/>
      <c r="KF234" s="60"/>
      <c r="KG234" s="60"/>
      <c r="KH234" s="60"/>
      <c r="KI234" s="60"/>
      <c r="KJ234" s="60"/>
      <c r="KK234" s="60"/>
      <c r="KL234" s="60"/>
      <c r="KM234" s="60"/>
      <c r="KN234" s="60"/>
      <c r="KO234" s="60"/>
      <c r="KP234" s="60"/>
      <c r="KQ234" s="60"/>
      <c r="KR234" s="60"/>
      <c r="KS234" s="60"/>
      <c r="KT234" s="60"/>
      <c r="KU234" s="60"/>
      <c r="KV234" s="60"/>
      <c r="KW234" s="60"/>
      <c r="KX234" s="60"/>
      <c r="KY234" s="60"/>
      <c r="KZ234" s="60"/>
      <c r="LA234" s="60"/>
      <c r="LB234" s="60"/>
      <c r="LC234" s="60"/>
      <c r="LD234" s="60"/>
      <c r="LE234" s="60"/>
      <c r="LF234" s="60"/>
      <c r="LG234" s="60"/>
      <c r="LH234" s="60"/>
    </row>
    <row r="235" spans="1:320" s="146" customFormat="1" x14ac:dyDescent="0.25">
      <c r="A235" s="147"/>
      <c r="B235" s="1"/>
      <c r="C235" s="1"/>
      <c r="D235" s="1"/>
      <c r="F235" s="148">
        <v>16</v>
      </c>
      <c r="G235" s="148"/>
      <c r="T235" s="17"/>
      <c r="U235" s="17"/>
      <c r="V235" s="17"/>
      <c r="W235" s="17"/>
      <c r="X235" s="17"/>
      <c r="Y235" s="17"/>
      <c r="Z235" s="17"/>
      <c r="AA235" s="17"/>
      <c r="AB235" s="17"/>
      <c r="AC235" s="60"/>
      <c r="AD235" s="60"/>
      <c r="AE235" s="60"/>
      <c r="AF235" s="60"/>
      <c r="AG235" s="60"/>
      <c r="AH235" s="60"/>
      <c r="AI235" s="60"/>
      <c r="AJ235" s="60"/>
      <c r="AK235" s="60"/>
      <c r="AL235" s="60"/>
      <c r="AM235" s="60"/>
      <c r="AN235" s="60"/>
      <c r="AO235" s="60"/>
      <c r="AP235" s="60"/>
      <c r="AQ235" s="60"/>
      <c r="AR235" s="60"/>
      <c r="AS235" s="60"/>
      <c r="AT235" s="60"/>
      <c r="AU235" s="60"/>
      <c r="AV235" s="60"/>
      <c r="AW235" s="60"/>
      <c r="AX235" s="60"/>
      <c r="AY235" s="60"/>
      <c r="AZ235" s="60"/>
      <c r="BA235" s="60"/>
      <c r="BB235" s="60"/>
      <c r="BC235" s="60"/>
      <c r="BD235" s="60"/>
      <c r="BE235" s="60"/>
      <c r="BF235" s="60"/>
      <c r="BG235" s="60"/>
      <c r="BH235" s="60"/>
      <c r="BI235" s="60"/>
      <c r="BJ235" s="60"/>
      <c r="BK235" s="60"/>
      <c r="BL235" s="60"/>
      <c r="BM235" s="60"/>
      <c r="BN235" s="60"/>
      <c r="BO235" s="60"/>
      <c r="BP235" s="60"/>
      <c r="BQ235" s="60"/>
      <c r="BR235" s="60"/>
      <c r="BS235" s="60"/>
      <c r="BT235" s="60"/>
      <c r="BU235" s="60"/>
      <c r="BV235" s="60"/>
      <c r="BW235" s="60"/>
      <c r="BX235" s="60"/>
      <c r="BY235" s="60"/>
      <c r="BZ235" s="60"/>
      <c r="CA235" s="60"/>
      <c r="CB235" s="60"/>
      <c r="CC235" s="60"/>
      <c r="CD235" s="60"/>
      <c r="CE235" s="60"/>
      <c r="CF235" s="60"/>
      <c r="CG235" s="60"/>
      <c r="CH235" s="60"/>
      <c r="CI235" s="60"/>
      <c r="CJ235" s="60"/>
      <c r="CK235" s="60"/>
      <c r="CL235" s="60"/>
      <c r="CM235" s="60"/>
      <c r="CN235" s="60"/>
      <c r="CO235" s="60"/>
      <c r="CP235" s="60"/>
      <c r="CQ235" s="60"/>
      <c r="CR235" s="60"/>
      <c r="CS235" s="60"/>
      <c r="CT235" s="60"/>
      <c r="CU235" s="60"/>
      <c r="CV235" s="60"/>
      <c r="CW235" s="60"/>
      <c r="CX235" s="60"/>
      <c r="CY235" s="60"/>
      <c r="CZ235" s="60"/>
      <c r="DA235" s="60"/>
      <c r="DB235" s="60"/>
      <c r="DC235" s="60"/>
      <c r="DD235" s="60"/>
      <c r="DE235" s="60"/>
      <c r="DF235" s="60"/>
      <c r="DG235" s="60"/>
      <c r="DH235" s="60"/>
      <c r="DI235" s="60"/>
      <c r="DJ235" s="60"/>
      <c r="DK235" s="60"/>
      <c r="DL235" s="60"/>
      <c r="DM235" s="60"/>
      <c r="DN235" s="60"/>
      <c r="DO235" s="60"/>
      <c r="DP235" s="60"/>
      <c r="DQ235" s="60"/>
      <c r="DR235" s="60"/>
      <c r="DS235" s="60"/>
      <c r="DT235" s="60"/>
      <c r="DU235" s="60"/>
      <c r="DV235" s="60"/>
      <c r="DW235" s="60"/>
      <c r="DX235" s="60"/>
      <c r="DY235" s="60"/>
      <c r="DZ235" s="60"/>
      <c r="EA235" s="60"/>
      <c r="EB235" s="60"/>
      <c r="EC235" s="60"/>
      <c r="ED235" s="60"/>
      <c r="EE235" s="60"/>
      <c r="EF235" s="60"/>
      <c r="EG235" s="60"/>
      <c r="EH235" s="60"/>
      <c r="EI235" s="60"/>
      <c r="EJ235" s="60"/>
      <c r="EK235" s="60"/>
      <c r="EL235" s="60"/>
      <c r="EM235" s="60"/>
      <c r="EN235" s="60"/>
      <c r="EO235" s="60"/>
      <c r="EP235" s="60"/>
      <c r="EQ235" s="60"/>
      <c r="ER235" s="60"/>
      <c r="ES235" s="60"/>
      <c r="ET235" s="60"/>
      <c r="EU235" s="60"/>
      <c r="EV235" s="60"/>
      <c r="EW235" s="60"/>
      <c r="EX235" s="60"/>
      <c r="EY235" s="60"/>
      <c r="EZ235" s="60"/>
      <c r="FA235" s="60"/>
      <c r="FB235" s="60"/>
      <c r="FC235" s="60"/>
      <c r="FD235" s="60"/>
      <c r="FE235" s="60"/>
      <c r="FF235" s="60"/>
      <c r="FG235" s="60"/>
      <c r="FH235" s="60"/>
      <c r="FI235" s="60"/>
      <c r="FJ235" s="60"/>
      <c r="FK235" s="60"/>
      <c r="FL235" s="60"/>
      <c r="FM235" s="60"/>
      <c r="FN235" s="60"/>
      <c r="FO235" s="60"/>
      <c r="FP235" s="60"/>
      <c r="FQ235" s="60"/>
      <c r="FR235" s="60"/>
      <c r="FS235" s="60"/>
      <c r="FT235" s="60"/>
      <c r="FU235" s="60"/>
      <c r="FV235" s="60"/>
      <c r="FW235" s="60"/>
      <c r="FX235" s="60"/>
      <c r="FY235" s="60"/>
      <c r="FZ235" s="60"/>
      <c r="GA235" s="60"/>
      <c r="GB235" s="60"/>
      <c r="GC235" s="60"/>
      <c r="GD235" s="60"/>
      <c r="GE235" s="60"/>
      <c r="GF235" s="60"/>
      <c r="GG235" s="60"/>
      <c r="GH235" s="60"/>
      <c r="GI235" s="60"/>
      <c r="GJ235" s="60"/>
      <c r="GK235" s="60"/>
      <c r="GL235" s="60"/>
      <c r="GM235" s="60"/>
      <c r="GN235" s="60"/>
      <c r="GO235" s="60"/>
      <c r="GP235" s="60"/>
      <c r="GQ235" s="60"/>
      <c r="GR235" s="60"/>
      <c r="GS235" s="60"/>
      <c r="GT235" s="60"/>
      <c r="GU235" s="60"/>
      <c r="GV235" s="60"/>
      <c r="GW235" s="60"/>
      <c r="GX235" s="60"/>
      <c r="GY235" s="60"/>
      <c r="GZ235" s="60"/>
      <c r="HA235" s="60"/>
      <c r="HB235" s="60"/>
      <c r="HC235" s="60"/>
      <c r="HD235" s="60"/>
      <c r="HE235" s="60"/>
      <c r="HF235" s="60"/>
      <c r="HG235" s="60"/>
      <c r="HH235" s="60"/>
      <c r="HI235" s="60"/>
      <c r="HJ235" s="60"/>
      <c r="HK235" s="60"/>
      <c r="HL235" s="60"/>
      <c r="HM235" s="60"/>
      <c r="HN235" s="60"/>
      <c r="HO235" s="60"/>
      <c r="HP235" s="60"/>
      <c r="HQ235" s="60"/>
      <c r="HR235" s="60"/>
      <c r="HS235" s="60"/>
      <c r="HT235" s="60"/>
      <c r="HU235" s="60"/>
      <c r="HV235" s="60"/>
      <c r="HW235" s="60"/>
      <c r="HX235" s="60"/>
      <c r="HY235" s="60"/>
      <c r="HZ235" s="60"/>
      <c r="IA235" s="60"/>
      <c r="IB235" s="60"/>
      <c r="IC235" s="60"/>
      <c r="ID235" s="60"/>
      <c r="IE235" s="60"/>
      <c r="IF235" s="60"/>
      <c r="IG235" s="60"/>
      <c r="IH235" s="60"/>
      <c r="II235" s="60"/>
      <c r="IJ235" s="60"/>
      <c r="IK235" s="60"/>
      <c r="IL235" s="60"/>
      <c r="IM235" s="60"/>
      <c r="IN235" s="60"/>
      <c r="IO235" s="60"/>
      <c r="IP235" s="60"/>
      <c r="IQ235" s="60"/>
      <c r="IR235" s="60"/>
      <c r="IS235" s="60"/>
      <c r="IT235" s="60"/>
      <c r="IU235" s="60"/>
      <c r="IV235" s="60"/>
      <c r="IW235" s="60"/>
      <c r="IX235" s="60"/>
      <c r="IY235" s="60"/>
      <c r="IZ235" s="60"/>
      <c r="JA235" s="60"/>
      <c r="JB235" s="60"/>
      <c r="JC235" s="60"/>
      <c r="JD235" s="60"/>
      <c r="JE235" s="60"/>
      <c r="JF235" s="60"/>
      <c r="JG235" s="60"/>
      <c r="JH235" s="60"/>
      <c r="JI235" s="60"/>
      <c r="JJ235" s="60"/>
      <c r="JK235" s="60"/>
      <c r="JL235" s="60"/>
      <c r="JM235" s="60"/>
      <c r="JN235" s="60"/>
      <c r="JO235" s="60"/>
      <c r="JP235" s="60"/>
      <c r="JQ235" s="60"/>
      <c r="JR235" s="60"/>
      <c r="JS235" s="60"/>
      <c r="JT235" s="60"/>
      <c r="JU235" s="60"/>
      <c r="JV235" s="60"/>
      <c r="JW235" s="60"/>
      <c r="JX235" s="60"/>
      <c r="JY235" s="60"/>
      <c r="JZ235" s="60"/>
      <c r="KA235" s="60"/>
      <c r="KB235" s="60"/>
      <c r="KC235" s="60"/>
      <c r="KD235" s="60"/>
      <c r="KE235" s="60"/>
      <c r="KF235" s="60"/>
      <c r="KG235" s="60"/>
      <c r="KH235" s="60"/>
      <c r="KI235" s="60"/>
      <c r="KJ235" s="60"/>
      <c r="KK235" s="60"/>
      <c r="KL235" s="60"/>
      <c r="KM235" s="60"/>
      <c r="KN235" s="60"/>
      <c r="KO235" s="60"/>
      <c r="KP235" s="60"/>
      <c r="KQ235" s="60"/>
      <c r="KR235" s="60"/>
      <c r="KS235" s="60"/>
      <c r="KT235" s="60"/>
      <c r="KU235" s="60"/>
      <c r="KV235" s="60"/>
      <c r="KW235" s="60"/>
      <c r="KX235" s="60"/>
      <c r="KY235" s="60"/>
      <c r="KZ235" s="60"/>
      <c r="LA235" s="60"/>
      <c r="LB235" s="60"/>
      <c r="LC235" s="60"/>
      <c r="LD235" s="60"/>
      <c r="LE235" s="60"/>
      <c r="LF235" s="60"/>
      <c r="LG235" s="60"/>
      <c r="LH235" s="60"/>
    </row>
    <row r="236" spans="1:320" s="146" customFormat="1" ht="17.25" x14ac:dyDescent="0.25">
      <c r="A236" s="147"/>
      <c r="B236" s="1"/>
      <c r="C236" s="1"/>
      <c r="D236" s="1"/>
      <c r="F236" s="148">
        <v>17</v>
      </c>
      <c r="G236" s="148"/>
      <c r="I236" s="146" t="s">
        <v>28</v>
      </c>
      <c r="J236" s="146" t="s">
        <v>98</v>
      </c>
      <c r="L236" s="146" t="s">
        <v>97</v>
      </c>
      <c r="T236" s="17"/>
      <c r="U236" s="17"/>
      <c r="V236" s="17"/>
      <c r="W236" s="17"/>
      <c r="X236" s="17"/>
      <c r="Y236" s="17"/>
      <c r="Z236" s="17"/>
      <c r="AA236" s="17"/>
      <c r="AB236" s="17"/>
      <c r="AC236" s="60"/>
      <c r="AD236" s="60"/>
      <c r="AE236" s="60"/>
      <c r="AF236" s="60"/>
      <c r="AG236" s="60"/>
      <c r="AH236" s="60"/>
      <c r="AI236" s="60"/>
      <c r="AJ236" s="60"/>
      <c r="AK236" s="60"/>
      <c r="AL236" s="60"/>
      <c r="AM236" s="60"/>
      <c r="AN236" s="60"/>
      <c r="AO236" s="60"/>
      <c r="AP236" s="60"/>
      <c r="AQ236" s="60"/>
      <c r="AR236" s="60"/>
      <c r="AS236" s="60"/>
      <c r="AT236" s="60"/>
      <c r="AU236" s="60"/>
      <c r="AV236" s="60"/>
      <c r="AW236" s="60"/>
      <c r="AX236" s="60"/>
      <c r="AY236" s="60"/>
      <c r="AZ236" s="60"/>
      <c r="BA236" s="60"/>
      <c r="BB236" s="60"/>
      <c r="BC236" s="60"/>
      <c r="BD236" s="60"/>
      <c r="BE236" s="60"/>
      <c r="BF236" s="60"/>
      <c r="BG236" s="60"/>
      <c r="BH236" s="60"/>
      <c r="BI236" s="60"/>
      <c r="BJ236" s="60"/>
      <c r="BK236" s="60"/>
      <c r="BL236" s="60"/>
      <c r="BM236" s="60"/>
      <c r="BN236" s="60"/>
      <c r="BO236" s="60"/>
      <c r="BP236" s="60"/>
      <c r="BQ236" s="60"/>
      <c r="BR236" s="60"/>
      <c r="BS236" s="60"/>
      <c r="BT236" s="60"/>
      <c r="BU236" s="60"/>
      <c r="BV236" s="60"/>
      <c r="BW236" s="60"/>
      <c r="BX236" s="60"/>
      <c r="BY236" s="60"/>
      <c r="BZ236" s="60"/>
      <c r="CA236" s="60"/>
      <c r="CB236" s="60"/>
      <c r="CC236" s="60"/>
      <c r="CD236" s="60"/>
      <c r="CE236" s="60"/>
      <c r="CF236" s="60"/>
      <c r="CG236" s="60"/>
      <c r="CH236" s="60"/>
      <c r="CI236" s="60"/>
      <c r="CJ236" s="60"/>
      <c r="CK236" s="60"/>
      <c r="CL236" s="60"/>
      <c r="CM236" s="60"/>
      <c r="CN236" s="60"/>
      <c r="CO236" s="60"/>
      <c r="CP236" s="60"/>
      <c r="CQ236" s="60"/>
      <c r="CR236" s="60"/>
      <c r="CS236" s="60"/>
      <c r="CT236" s="60"/>
      <c r="CU236" s="60"/>
      <c r="CV236" s="60"/>
      <c r="CW236" s="60"/>
      <c r="CX236" s="60"/>
      <c r="CY236" s="60"/>
      <c r="CZ236" s="60"/>
      <c r="DA236" s="60"/>
      <c r="DB236" s="60"/>
      <c r="DC236" s="60"/>
      <c r="DD236" s="60"/>
      <c r="DE236" s="60"/>
      <c r="DF236" s="60"/>
      <c r="DG236" s="60"/>
      <c r="DH236" s="60"/>
      <c r="DI236" s="60"/>
      <c r="DJ236" s="60"/>
      <c r="DK236" s="60"/>
      <c r="DL236" s="60"/>
      <c r="DM236" s="60"/>
      <c r="DN236" s="60"/>
      <c r="DO236" s="60"/>
      <c r="DP236" s="60"/>
      <c r="DQ236" s="60"/>
      <c r="DR236" s="60"/>
      <c r="DS236" s="60"/>
      <c r="DT236" s="60"/>
      <c r="DU236" s="60"/>
      <c r="DV236" s="60"/>
      <c r="DW236" s="60"/>
      <c r="DX236" s="60"/>
      <c r="DY236" s="60"/>
      <c r="DZ236" s="60"/>
      <c r="EA236" s="60"/>
      <c r="EB236" s="60"/>
      <c r="EC236" s="60"/>
      <c r="ED236" s="60"/>
      <c r="EE236" s="60"/>
      <c r="EF236" s="60"/>
      <c r="EG236" s="60"/>
      <c r="EH236" s="60"/>
      <c r="EI236" s="60"/>
      <c r="EJ236" s="60"/>
      <c r="EK236" s="60"/>
      <c r="EL236" s="60"/>
      <c r="EM236" s="60"/>
      <c r="EN236" s="60"/>
      <c r="EO236" s="60"/>
      <c r="EP236" s="60"/>
      <c r="EQ236" s="60"/>
      <c r="ER236" s="60"/>
      <c r="ES236" s="60"/>
      <c r="ET236" s="60"/>
      <c r="EU236" s="60"/>
      <c r="EV236" s="60"/>
      <c r="EW236" s="60"/>
      <c r="EX236" s="60"/>
      <c r="EY236" s="60"/>
      <c r="EZ236" s="60"/>
      <c r="FA236" s="60"/>
      <c r="FB236" s="60"/>
      <c r="FC236" s="60"/>
      <c r="FD236" s="60"/>
      <c r="FE236" s="60"/>
      <c r="FF236" s="60"/>
      <c r="FG236" s="60"/>
      <c r="FH236" s="60"/>
      <c r="FI236" s="60"/>
      <c r="FJ236" s="60"/>
      <c r="FK236" s="60"/>
      <c r="FL236" s="60"/>
      <c r="FM236" s="60"/>
      <c r="FN236" s="60"/>
      <c r="FO236" s="60"/>
      <c r="FP236" s="60"/>
      <c r="FQ236" s="60"/>
      <c r="FR236" s="60"/>
      <c r="FS236" s="60"/>
      <c r="FT236" s="60"/>
      <c r="FU236" s="60"/>
      <c r="FV236" s="60"/>
      <c r="FW236" s="60"/>
      <c r="FX236" s="60"/>
      <c r="FY236" s="60"/>
      <c r="FZ236" s="60"/>
      <c r="GA236" s="60"/>
      <c r="GB236" s="60"/>
      <c r="GC236" s="60"/>
      <c r="GD236" s="60"/>
      <c r="GE236" s="60"/>
      <c r="GF236" s="60"/>
      <c r="GG236" s="60"/>
      <c r="GH236" s="60"/>
      <c r="GI236" s="60"/>
      <c r="GJ236" s="60"/>
      <c r="GK236" s="60"/>
      <c r="GL236" s="60"/>
      <c r="GM236" s="60"/>
      <c r="GN236" s="60"/>
      <c r="GO236" s="60"/>
      <c r="GP236" s="60"/>
      <c r="GQ236" s="60"/>
      <c r="GR236" s="60"/>
      <c r="GS236" s="60"/>
      <c r="GT236" s="60"/>
      <c r="GU236" s="60"/>
      <c r="GV236" s="60"/>
      <c r="GW236" s="60"/>
      <c r="GX236" s="60"/>
      <c r="GY236" s="60"/>
      <c r="GZ236" s="60"/>
      <c r="HA236" s="60"/>
      <c r="HB236" s="60"/>
      <c r="HC236" s="60"/>
      <c r="HD236" s="60"/>
      <c r="HE236" s="60"/>
      <c r="HF236" s="60"/>
      <c r="HG236" s="60"/>
      <c r="HH236" s="60"/>
      <c r="HI236" s="60"/>
      <c r="HJ236" s="60"/>
      <c r="HK236" s="60"/>
      <c r="HL236" s="60"/>
      <c r="HM236" s="60"/>
      <c r="HN236" s="60"/>
      <c r="HO236" s="60"/>
      <c r="HP236" s="60"/>
      <c r="HQ236" s="60"/>
      <c r="HR236" s="60"/>
      <c r="HS236" s="60"/>
      <c r="HT236" s="60"/>
      <c r="HU236" s="60"/>
      <c r="HV236" s="60"/>
      <c r="HW236" s="60"/>
      <c r="HX236" s="60"/>
      <c r="HY236" s="60"/>
      <c r="HZ236" s="60"/>
      <c r="IA236" s="60"/>
      <c r="IB236" s="60"/>
      <c r="IC236" s="60"/>
      <c r="ID236" s="60"/>
      <c r="IE236" s="60"/>
      <c r="IF236" s="60"/>
      <c r="IG236" s="60"/>
      <c r="IH236" s="60"/>
      <c r="II236" s="60"/>
      <c r="IJ236" s="60"/>
      <c r="IK236" s="60"/>
      <c r="IL236" s="60"/>
      <c r="IM236" s="60"/>
      <c r="IN236" s="60"/>
      <c r="IO236" s="60"/>
      <c r="IP236" s="60"/>
      <c r="IQ236" s="60"/>
      <c r="IR236" s="60"/>
      <c r="IS236" s="60"/>
      <c r="IT236" s="60"/>
      <c r="IU236" s="60"/>
      <c r="IV236" s="60"/>
      <c r="IW236" s="60"/>
      <c r="IX236" s="60"/>
      <c r="IY236" s="60"/>
      <c r="IZ236" s="60"/>
      <c r="JA236" s="60"/>
      <c r="JB236" s="60"/>
      <c r="JC236" s="60"/>
      <c r="JD236" s="60"/>
      <c r="JE236" s="60"/>
      <c r="JF236" s="60"/>
      <c r="JG236" s="60"/>
      <c r="JH236" s="60"/>
      <c r="JI236" s="60"/>
      <c r="JJ236" s="60"/>
      <c r="JK236" s="60"/>
      <c r="JL236" s="60"/>
      <c r="JM236" s="60"/>
      <c r="JN236" s="60"/>
      <c r="JO236" s="60"/>
      <c r="JP236" s="60"/>
      <c r="JQ236" s="60"/>
      <c r="JR236" s="60"/>
      <c r="JS236" s="60"/>
      <c r="JT236" s="60"/>
      <c r="JU236" s="60"/>
      <c r="JV236" s="60"/>
      <c r="JW236" s="60"/>
      <c r="JX236" s="60"/>
      <c r="JY236" s="60"/>
      <c r="JZ236" s="60"/>
      <c r="KA236" s="60"/>
      <c r="KB236" s="60"/>
      <c r="KC236" s="60"/>
      <c r="KD236" s="60"/>
      <c r="KE236" s="60"/>
      <c r="KF236" s="60"/>
      <c r="KG236" s="60"/>
      <c r="KH236" s="60"/>
      <c r="KI236" s="60"/>
      <c r="KJ236" s="60"/>
      <c r="KK236" s="60"/>
      <c r="KL236" s="60"/>
      <c r="KM236" s="60"/>
      <c r="KN236" s="60"/>
      <c r="KO236" s="60"/>
      <c r="KP236" s="60"/>
      <c r="KQ236" s="60"/>
      <c r="KR236" s="60"/>
      <c r="KS236" s="60"/>
      <c r="KT236" s="60"/>
      <c r="KU236" s="60"/>
      <c r="KV236" s="60"/>
      <c r="KW236" s="60"/>
      <c r="KX236" s="60"/>
      <c r="KY236" s="60"/>
      <c r="KZ236" s="60"/>
      <c r="LA236" s="60"/>
      <c r="LB236" s="60"/>
      <c r="LC236" s="60"/>
      <c r="LD236" s="60"/>
      <c r="LE236" s="60"/>
      <c r="LF236" s="60"/>
      <c r="LG236" s="60"/>
      <c r="LH236" s="60"/>
    </row>
    <row r="237" spans="1:320" s="146" customFormat="1" x14ac:dyDescent="0.25">
      <c r="A237" s="147"/>
      <c r="B237" s="1"/>
      <c r="C237" s="1"/>
      <c r="D237" s="1"/>
      <c r="F237" s="148">
        <v>18</v>
      </c>
      <c r="G237" s="148"/>
      <c r="I237" s="146" t="s">
        <v>96</v>
      </c>
      <c r="J237" s="146" t="s">
        <v>95</v>
      </c>
      <c r="T237" s="17"/>
      <c r="U237" s="17"/>
      <c r="V237" s="17"/>
      <c r="W237" s="17"/>
      <c r="X237" s="17"/>
      <c r="Y237" s="17"/>
      <c r="Z237" s="17"/>
      <c r="AA237" s="17"/>
      <c r="AB237" s="17"/>
      <c r="AC237" s="60"/>
      <c r="AD237" s="60"/>
      <c r="AE237" s="60"/>
      <c r="AF237" s="60"/>
      <c r="AG237" s="60"/>
      <c r="AH237" s="60"/>
      <c r="AI237" s="60"/>
      <c r="AJ237" s="60"/>
      <c r="AK237" s="60"/>
      <c r="AL237" s="60"/>
      <c r="AM237" s="60"/>
      <c r="AN237" s="60"/>
      <c r="AO237" s="60"/>
      <c r="AP237" s="60"/>
      <c r="AQ237" s="60"/>
      <c r="AR237" s="60"/>
      <c r="AS237" s="60"/>
      <c r="AT237" s="60"/>
      <c r="AU237" s="60"/>
      <c r="AV237" s="60"/>
      <c r="AW237" s="60"/>
      <c r="AX237" s="60"/>
      <c r="AY237" s="60"/>
      <c r="AZ237" s="60"/>
      <c r="BA237" s="60"/>
      <c r="BB237" s="60"/>
      <c r="BC237" s="60"/>
      <c r="BD237" s="60"/>
      <c r="BE237" s="60"/>
      <c r="BF237" s="60"/>
      <c r="BG237" s="60"/>
      <c r="BH237" s="60"/>
      <c r="BI237" s="60"/>
      <c r="BJ237" s="60"/>
      <c r="BK237" s="60"/>
      <c r="BL237" s="60"/>
      <c r="BM237" s="60"/>
      <c r="BN237" s="60"/>
      <c r="BO237" s="60"/>
      <c r="BP237" s="60"/>
      <c r="BQ237" s="60"/>
      <c r="BR237" s="60"/>
      <c r="BS237" s="60"/>
      <c r="BT237" s="60"/>
      <c r="BU237" s="60"/>
      <c r="BV237" s="60"/>
      <c r="BW237" s="60"/>
      <c r="BX237" s="60"/>
      <c r="BY237" s="60"/>
      <c r="BZ237" s="60"/>
      <c r="CA237" s="60"/>
      <c r="CB237" s="60"/>
      <c r="CC237" s="60"/>
      <c r="CD237" s="60"/>
      <c r="CE237" s="60"/>
      <c r="CF237" s="60"/>
      <c r="CG237" s="60"/>
      <c r="CH237" s="60"/>
      <c r="CI237" s="60"/>
      <c r="CJ237" s="60"/>
      <c r="CK237" s="60"/>
      <c r="CL237" s="60"/>
      <c r="CM237" s="60"/>
      <c r="CN237" s="60"/>
      <c r="CO237" s="60"/>
      <c r="CP237" s="60"/>
      <c r="CQ237" s="60"/>
      <c r="CR237" s="60"/>
      <c r="CS237" s="60"/>
      <c r="CT237" s="60"/>
      <c r="CU237" s="60"/>
      <c r="CV237" s="60"/>
      <c r="CW237" s="60"/>
      <c r="CX237" s="60"/>
      <c r="CY237" s="60"/>
      <c r="CZ237" s="60"/>
      <c r="DA237" s="60"/>
      <c r="DB237" s="60"/>
      <c r="DC237" s="60"/>
      <c r="DD237" s="60"/>
      <c r="DE237" s="60"/>
      <c r="DF237" s="60"/>
      <c r="DG237" s="60"/>
      <c r="DH237" s="60"/>
      <c r="DI237" s="60"/>
      <c r="DJ237" s="60"/>
      <c r="DK237" s="60"/>
      <c r="DL237" s="60"/>
      <c r="DM237" s="60"/>
      <c r="DN237" s="60"/>
      <c r="DO237" s="60"/>
      <c r="DP237" s="60"/>
      <c r="DQ237" s="60"/>
      <c r="DR237" s="60"/>
      <c r="DS237" s="60"/>
      <c r="DT237" s="60"/>
      <c r="DU237" s="60"/>
      <c r="DV237" s="60"/>
      <c r="DW237" s="60"/>
      <c r="DX237" s="60"/>
      <c r="DY237" s="60"/>
      <c r="DZ237" s="60"/>
      <c r="EA237" s="60"/>
      <c r="EB237" s="60"/>
      <c r="EC237" s="60"/>
      <c r="ED237" s="60"/>
      <c r="EE237" s="60"/>
      <c r="EF237" s="60"/>
      <c r="EG237" s="60"/>
      <c r="EH237" s="60"/>
      <c r="EI237" s="60"/>
      <c r="EJ237" s="60"/>
      <c r="EK237" s="60"/>
      <c r="EL237" s="60"/>
      <c r="EM237" s="60"/>
      <c r="EN237" s="60"/>
      <c r="EO237" s="60"/>
      <c r="EP237" s="60"/>
      <c r="EQ237" s="60"/>
      <c r="ER237" s="60"/>
      <c r="ES237" s="60"/>
      <c r="ET237" s="60"/>
      <c r="EU237" s="60"/>
      <c r="EV237" s="60"/>
      <c r="EW237" s="60"/>
      <c r="EX237" s="60"/>
      <c r="EY237" s="60"/>
      <c r="EZ237" s="60"/>
      <c r="FA237" s="60"/>
      <c r="FB237" s="60"/>
      <c r="FC237" s="60"/>
      <c r="FD237" s="60"/>
      <c r="FE237" s="60"/>
      <c r="FF237" s="60"/>
      <c r="FG237" s="60"/>
      <c r="FH237" s="60"/>
      <c r="FI237" s="60"/>
      <c r="FJ237" s="60"/>
      <c r="FK237" s="60"/>
      <c r="FL237" s="60"/>
      <c r="FM237" s="60"/>
      <c r="FN237" s="60"/>
      <c r="FO237" s="60"/>
      <c r="FP237" s="60"/>
      <c r="FQ237" s="60"/>
      <c r="FR237" s="60"/>
      <c r="FS237" s="60"/>
      <c r="FT237" s="60"/>
      <c r="FU237" s="60"/>
      <c r="FV237" s="60"/>
      <c r="FW237" s="60"/>
      <c r="FX237" s="60"/>
      <c r="FY237" s="60"/>
      <c r="FZ237" s="60"/>
      <c r="GA237" s="60"/>
      <c r="GB237" s="60"/>
      <c r="GC237" s="60"/>
      <c r="GD237" s="60"/>
      <c r="GE237" s="60"/>
      <c r="GF237" s="60"/>
      <c r="GG237" s="60"/>
      <c r="GH237" s="60"/>
      <c r="GI237" s="60"/>
      <c r="GJ237" s="60"/>
      <c r="GK237" s="60"/>
      <c r="GL237" s="60"/>
      <c r="GM237" s="60"/>
      <c r="GN237" s="60"/>
      <c r="GO237" s="60"/>
      <c r="GP237" s="60"/>
      <c r="GQ237" s="60"/>
      <c r="GR237" s="60"/>
      <c r="GS237" s="60"/>
      <c r="GT237" s="60"/>
      <c r="GU237" s="60"/>
      <c r="GV237" s="60"/>
      <c r="GW237" s="60"/>
      <c r="GX237" s="60"/>
      <c r="GY237" s="60"/>
      <c r="GZ237" s="60"/>
      <c r="HA237" s="60"/>
      <c r="HB237" s="60"/>
      <c r="HC237" s="60"/>
      <c r="HD237" s="60"/>
      <c r="HE237" s="60"/>
      <c r="HF237" s="60"/>
      <c r="HG237" s="60"/>
      <c r="HH237" s="60"/>
      <c r="HI237" s="60"/>
      <c r="HJ237" s="60"/>
      <c r="HK237" s="60"/>
      <c r="HL237" s="60"/>
      <c r="HM237" s="60"/>
      <c r="HN237" s="60"/>
      <c r="HO237" s="60"/>
      <c r="HP237" s="60"/>
      <c r="HQ237" s="60"/>
      <c r="HR237" s="60"/>
      <c r="HS237" s="60"/>
      <c r="HT237" s="60"/>
      <c r="HU237" s="60"/>
      <c r="HV237" s="60"/>
      <c r="HW237" s="60"/>
      <c r="HX237" s="60"/>
      <c r="HY237" s="60"/>
      <c r="HZ237" s="60"/>
      <c r="IA237" s="60"/>
      <c r="IB237" s="60"/>
      <c r="IC237" s="60"/>
      <c r="ID237" s="60"/>
      <c r="IE237" s="60"/>
      <c r="IF237" s="60"/>
      <c r="IG237" s="60"/>
      <c r="IH237" s="60"/>
      <c r="II237" s="60"/>
      <c r="IJ237" s="60"/>
      <c r="IK237" s="60"/>
      <c r="IL237" s="60"/>
      <c r="IM237" s="60"/>
      <c r="IN237" s="60"/>
      <c r="IO237" s="60"/>
      <c r="IP237" s="60"/>
      <c r="IQ237" s="60"/>
      <c r="IR237" s="60"/>
      <c r="IS237" s="60"/>
      <c r="IT237" s="60"/>
      <c r="IU237" s="60"/>
      <c r="IV237" s="60"/>
      <c r="IW237" s="60"/>
      <c r="IX237" s="60"/>
      <c r="IY237" s="60"/>
      <c r="IZ237" s="60"/>
      <c r="JA237" s="60"/>
      <c r="JB237" s="60"/>
      <c r="JC237" s="60"/>
      <c r="JD237" s="60"/>
      <c r="JE237" s="60"/>
      <c r="JF237" s="60"/>
      <c r="JG237" s="60"/>
      <c r="JH237" s="60"/>
      <c r="JI237" s="60"/>
      <c r="JJ237" s="60"/>
      <c r="JK237" s="60"/>
      <c r="JL237" s="60"/>
      <c r="JM237" s="60"/>
      <c r="JN237" s="60"/>
      <c r="JO237" s="60"/>
      <c r="JP237" s="60"/>
      <c r="JQ237" s="60"/>
      <c r="JR237" s="60"/>
      <c r="JS237" s="60"/>
      <c r="JT237" s="60"/>
      <c r="JU237" s="60"/>
      <c r="JV237" s="60"/>
      <c r="JW237" s="60"/>
      <c r="JX237" s="60"/>
      <c r="JY237" s="60"/>
      <c r="JZ237" s="60"/>
      <c r="KA237" s="60"/>
      <c r="KB237" s="60"/>
      <c r="KC237" s="60"/>
      <c r="KD237" s="60"/>
      <c r="KE237" s="60"/>
      <c r="KF237" s="60"/>
      <c r="KG237" s="60"/>
      <c r="KH237" s="60"/>
      <c r="KI237" s="60"/>
      <c r="KJ237" s="60"/>
      <c r="KK237" s="60"/>
      <c r="KL237" s="60"/>
      <c r="KM237" s="60"/>
      <c r="KN237" s="60"/>
      <c r="KO237" s="60"/>
      <c r="KP237" s="60"/>
      <c r="KQ237" s="60"/>
      <c r="KR237" s="60"/>
      <c r="KS237" s="60"/>
      <c r="KT237" s="60"/>
      <c r="KU237" s="60"/>
      <c r="KV237" s="60"/>
      <c r="KW237" s="60"/>
      <c r="KX237" s="60"/>
      <c r="KY237" s="60"/>
      <c r="KZ237" s="60"/>
      <c r="LA237" s="60"/>
      <c r="LB237" s="60"/>
      <c r="LC237" s="60"/>
      <c r="LD237" s="60"/>
      <c r="LE237" s="60"/>
      <c r="LF237" s="60"/>
      <c r="LG237" s="60"/>
      <c r="LH237" s="60"/>
    </row>
    <row r="238" spans="1:320" s="146" customFormat="1" x14ac:dyDescent="0.25">
      <c r="A238" s="147"/>
      <c r="B238" s="1"/>
      <c r="C238" s="1"/>
      <c r="D238" s="1"/>
      <c r="F238" s="148">
        <v>19</v>
      </c>
      <c r="G238" s="148"/>
      <c r="I238" s="1"/>
      <c r="T238" s="17"/>
      <c r="U238" s="17"/>
      <c r="V238" s="17"/>
      <c r="W238" s="17"/>
      <c r="X238" s="17"/>
      <c r="Y238" s="17"/>
      <c r="Z238" s="17"/>
      <c r="AA238" s="17"/>
      <c r="AB238" s="17"/>
      <c r="AC238" s="60"/>
      <c r="AD238" s="60"/>
      <c r="AE238" s="60"/>
      <c r="AF238" s="60"/>
      <c r="AG238" s="60"/>
      <c r="AH238" s="60"/>
      <c r="AI238" s="60"/>
      <c r="AJ238" s="60"/>
      <c r="AK238" s="60"/>
      <c r="AL238" s="60"/>
      <c r="AM238" s="60"/>
      <c r="AN238" s="60"/>
      <c r="AO238" s="60"/>
      <c r="AP238" s="60"/>
      <c r="AQ238" s="60"/>
      <c r="AR238" s="60"/>
      <c r="AS238" s="60"/>
      <c r="AT238" s="60"/>
      <c r="AU238" s="60"/>
      <c r="AV238" s="60"/>
      <c r="AW238" s="60"/>
      <c r="AX238" s="60"/>
      <c r="AY238" s="60"/>
      <c r="AZ238" s="60"/>
      <c r="BA238" s="60"/>
      <c r="BB238" s="60"/>
      <c r="BC238" s="60"/>
      <c r="BD238" s="60"/>
      <c r="BE238" s="60"/>
      <c r="BF238" s="60"/>
      <c r="BG238" s="60"/>
      <c r="BH238" s="60"/>
      <c r="BI238" s="60"/>
      <c r="BJ238" s="60"/>
      <c r="BK238" s="60"/>
      <c r="BL238" s="60"/>
      <c r="BM238" s="60"/>
      <c r="BN238" s="60"/>
      <c r="BO238" s="60"/>
      <c r="BP238" s="60"/>
      <c r="BQ238" s="60"/>
      <c r="BR238" s="60"/>
      <c r="BS238" s="60"/>
      <c r="BT238" s="60"/>
      <c r="BU238" s="60"/>
      <c r="BV238" s="60"/>
      <c r="BW238" s="60"/>
      <c r="BX238" s="60"/>
      <c r="BY238" s="60"/>
      <c r="BZ238" s="60"/>
      <c r="CA238" s="60"/>
      <c r="CB238" s="60"/>
      <c r="CC238" s="60"/>
      <c r="CD238" s="60"/>
      <c r="CE238" s="60"/>
      <c r="CF238" s="60"/>
      <c r="CG238" s="60"/>
      <c r="CH238" s="60"/>
      <c r="CI238" s="60"/>
      <c r="CJ238" s="60"/>
      <c r="CK238" s="60"/>
      <c r="CL238" s="60"/>
      <c r="CM238" s="60"/>
      <c r="CN238" s="60"/>
      <c r="CO238" s="60"/>
      <c r="CP238" s="60"/>
      <c r="CQ238" s="60"/>
      <c r="CR238" s="60"/>
      <c r="CS238" s="60"/>
      <c r="CT238" s="60"/>
      <c r="CU238" s="60"/>
      <c r="CV238" s="60"/>
      <c r="CW238" s="60"/>
      <c r="CX238" s="60"/>
      <c r="CY238" s="60"/>
      <c r="CZ238" s="60"/>
      <c r="DA238" s="60"/>
      <c r="DB238" s="60"/>
      <c r="DC238" s="60"/>
      <c r="DD238" s="60"/>
      <c r="DE238" s="60"/>
      <c r="DF238" s="60"/>
      <c r="DG238" s="60"/>
      <c r="DH238" s="60"/>
      <c r="DI238" s="60"/>
      <c r="DJ238" s="60"/>
      <c r="DK238" s="60"/>
      <c r="DL238" s="60"/>
      <c r="DM238" s="60"/>
      <c r="DN238" s="60"/>
      <c r="DO238" s="60"/>
      <c r="DP238" s="60"/>
      <c r="DQ238" s="60"/>
      <c r="DR238" s="60"/>
      <c r="DS238" s="60"/>
      <c r="DT238" s="60"/>
      <c r="DU238" s="60"/>
      <c r="DV238" s="60"/>
      <c r="DW238" s="60"/>
      <c r="DX238" s="60"/>
      <c r="DY238" s="60"/>
      <c r="DZ238" s="60"/>
      <c r="EA238" s="60"/>
      <c r="EB238" s="60"/>
      <c r="EC238" s="60"/>
      <c r="ED238" s="60"/>
      <c r="EE238" s="60"/>
      <c r="EF238" s="60"/>
      <c r="EG238" s="60"/>
      <c r="EH238" s="60"/>
      <c r="EI238" s="60"/>
      <c r="EJ238" s="60"/>
      <c r="EK238" s="60"/>
      <c r="EL238" s="60"/>
      <c r="EM238" s="60"/>
      <c r="EN238" s="60"/>
      <c r="EO238" s="60"/>
      <c r="EP238" s="60"/>
      <c r="EQ238" s="60"/>
      <c r="ER238" s="60"/>
      <c r="ES238" s="60"/>
      <c r="ET238" s="60"/>
      <c r="EU238" s="60"/>
      <c r="EV238" s="60"/>
      <c r="EW238" s="60"/>
      <c r="EX238" s="60"/>
      <c r="EY238" s="60"/>
      <c r="EZ238" s="60"/>
      <c r="FA238" s="60"/>
      <c r="FB238" s="60"/>
      <c r="FC238" s="60"/>
      <c r="FD238" s="60"/>
      <c r="FE238" s="60"/>
      <c r="FF238" s="60"/>
      <c r="FG238" s="60"/>
      <c r="FH238" s="60"/>
      <c r="FI238" s="60"/>
      <c r="FJ238" s="60"/>
      <c r="FK238" s="60"/>
      <c r="FL238" s="60"/>
      <c r="FM238" s="60"/>
      <c r="FN238" s="60"/>
      <c r="FO238" s="60"/>
      <c r="FP238" s="60"/>
      <c r="FQ238" s="60"/>
      <c r="FR238" s="60"/>
      <c r="FS238" s="60"/>
      <c r="FT238" s="60"/>
      <c r="FU238" s="60"/>
      <c r="FV238" s="60"/>
      <c r="FW238" s="60"/>
      <c r="FX238" s="60"/>
      <c r="FY238" s="60"/>
      <c r="FZ238" s="60"/>
      <c r="GA238" s="60"/>
      <c r="GB238" s="60"/>
      <c r="GC238" s="60"/>
      <c r="GD238" s="60"/>
      <c r="GE238" s="60"/>
      <c r="GF238" s="60"/>
      <c r="GG238" s="60"/>
      <c r="GH238" s="60"/>
      <c r="GI238" s="60"/>
      <c r="GJ238" s="60"/>
      <c r="GK238" s="60"/>
      <c r="GL238" s="60"/>
      <c r="GM238" s="60"/>
      <c r="GN238" s="60"/>
      <c r="GO238" s="60"/>
      <c r="GP238" s="60"/>
      <c r="GQ238" s="60"/>
      <c r="GR238" s="60"/>
      <c r="GS238" s="60"/>
      <c r="GT238" s="60"/>
      <c r="GU238" s="60"/>
      <c r="GV238" s="60"/>
      <c r="GW238" s="60"/>
      <c r="GX238" s="60"/>
      <c r="GY238" s="60"/>
      <c r="GZ238" s="60"/>
      <c r="HA238" s="60"/>
      <c r="HB238" s="60"/>
      <c r="HC238" s="60"/>
      <c r="HD238" s="60"/>
      <c r="HE238" s="60"/>
      <c r="HF238" s="60"/>
      <c r="HG238" s="60"/>
      <c r="HH238" s="60"/>
      <c r="HI238" s="60"/>
      <c r="HJ238" s="60"/>
      <c r="HK238" s="60"/>
      <c r="HL238" s="60"/>
      <c r="HM238" s="60"/>
      <c r="HN238" s="60"/>
      <c r="HO238" s="60"/>
      <c r="HP238" s="60"/>
      <c r="HQ238" s="60"/>
      <c r="HR238" s="60"/>
      <c r="HS238" s="60"/>
      <c r="HT238" s="60"/>
      <c r="HU238" s="60"/>
      <c r="HV238" s="60"/>
      <c r="HW238" s="60"/>
      <c r="HX238" s="60"/>
      <c r="HY238" s="60"/>
      <c r="HZ238" s="60"/>
      <c r="IA238" s="60"/>
      <c r="IB238" s="60"/>
      <c r="IC238" s="60"/>
      <c r="ID238" s="60"/>
      <c r="IE238" s="60"/>
      <c r="IF238" s="60"/>
      <c r="IG238" s="60"/>
      <c r="IH238" s="60"/>
      <c r="II238" s="60"/>
      <c r="IJ238" s="60"/>
      <c r="IK238" s="60"/>
      <c r="IL238" s="60"/>
      <c r="IM238" s="60"/>
      <c r="IN238" s="60"/>
      <c r="IO238" s="60"/>
      <c r="IP238" s="60"/>
      <c r="IQ238" s="60"/>
      <c r="IR238" s="60"/>
      <c r="IS238" s="60"/>
      <c r="IT238" s="60"/>
      <c r="IU238" s="60"/>
      <c r="IV238" s="60"/>
      <c r="IW238" s="60"/>
      <c r="IX238" s="60"/>
      <c r="IY238" s="60"/>
      <c r="IZ238" s="60"/>
      <c r="JA238" s="60"/>
      <c r="JB238" s="60"/>
      <c r="JC238" s="60"/>
      <c r="JD238" s="60"/>
      <c r="JE238" s="60"/>
      <c r="JF238" s="60"/>
      <c r="JG238" s="60"/>
      <c r="JH238" s="60"/>
      <c r="JI238" s="60"/>
      <c r="JJ238" s="60"/>
      <c r="JK238" s="60"/>
      <c r="JL238" s="60"/>
      <c r="JM238" s="60"/>
      <c r="JN238" s="60"/>
      <c r="JO238" s="60"/>
      <c r="JP238" s="60"/>
      <c r="JQ238" s="60"/>
      <c r="JR238" s="60"/>
      <c r="JS238" s="60"/>
      <c r="JT238" s="60"/>
      <c r="JU238" s="60"/>
      <c r="JV238" s="60"/>
      <c r="JW238" s="60"/>
      <c r="JX238" s="60"/>
      <c r="JY238" s="60"/>
      <c r="JZ238" s="60"/>
      <c r="KA238" s="60"/>
      <c r="KB238" s="60"/>
      <c r="KC238" s="60"/>
      <c r="KD238" s="60"/>
      <c r="KE238" s="60"/>
      <c r="KF238" s="60"/>
      <c r="KG238" s="60"/>
      <c r="KH238" s="60"/>
      <c r="KI238" s="60"/>
      <c r="KJ238" s="60"/>
      <c r="KK238" s="60"/>
      <c r="KL238" s="60"/>
      <c r="KM238" s="60"/>
      <c r="KN238" s="60"/>
      <c r="KO238" s="60"/>
      <c r="KP238" s="60"/>
      <c r="KQ238" s="60"/>
      <c r="KR238" s="60"/>
      <c r="KS238" s="60"/>
      <c r="KT238" s="60"/>
      <c r="KU238" s="60"/>
      <c r="KV238" s="60"/>
      <c r="KW238" s="60"/>
      <c r="KX238" s="60"/>
      <c r="KY238" s="60"/>
      <c r="KZ238" s="60"/>
      <c r="LA238" s="60"/>
      <c r="LB238" s="60"/>
      <c r="LC238" s="60"/>
      <c r="LD238" s="60"/>
      <c r="LE238" s="60"/>
      <c r="LF238" s="60"/>
      <c r="LG238" s="60"/>
      <c r="LH238" s="60"/>
    </row>
    <row r="239" spans="1:320" s="146" customFormat="1" x14ac:dyDescent="0.25">
      <c r="A239" s="147"/>
      <c r="B239" s="1"/>
      <c r="C239" s="1"/>
      <c r="D239" s="1"/>
      <c r="F239" s="148">
        <v>20</v>
      </c>
      <c r="G239" s="148"/>
      <c r="T239" s="17"/>
      <c r="U239" s="17"/>
      <c r="V239" s="17"/>
      <c r="W239" s="17"/>
      <c r="X239" s="17"/>
      <c r="Y239" s="17"/>
      <c r="Z239" s="17"/>
      <c r="AA239" s="17"/>
      <c r="AB239" s="17"/>
      <c r="AC239" s="60"/>
      <c r="AD239" s="60"/>
      <c r="AE239" s="60"/>
      <c r="AF239" s="60"/>
      <c r="AG239" s="60"/>
      <c r="AH239" s="60"/>
      <c r="AI239" s="60"/>
      <c r="AJ239" s="60"/>
      <c r="AK239" s="60"/>
      <c r="AL239" s="60"/>
      <c r="AM239" s="60"/>
      <c r="AN239" s="60"/>
      <c r="AO239" s="60"/>
      <c r="AP239" s="60"/>
      <c r="AQ239" s="60"/>
      <c r="AR239" s="60"/>
      <c r="AS239" s="60"/>
      <c r="AT239" s="60"/>
      <c r="AU239" s="60"/>
      <c r="AV239" s="60"/>
      <c r="AW239" s="60"/>
      <c r="AX239" s="60"/>
      <c r="AY239" s="60"/>
      <c r="AZ239" s="60"/>
      <c r="BA239" s="60"/>
      <c r="BB239" s="60"/>
      <c r="BC239" s="60"/>
      <c r="BD239" s="60"/>
      <c r="BE239" s="60"/>
      <c r="BF239" s="60"/>
      <c r="BG239" s="60"/>
      <c r="BH239" s="60"/>
      <c r="BI239" s="60"/>
      <c r="BJ239" s="60"/>
      <c r="BK239" s="60"/>
      <c r="BL239" s="60"/>
      <c r="BM239" s="60"/>
      <c r="BN239" s="60"/>
      <c r="BO239" s="60"/>
      <c r="BP239" s="60"/>
      <c r="BQ239" s="60"/>
      <c r="BR239" s="60"/>
      <c r="BS239" s="60"/>
      <c r="BT239" s="60"/>
      <c r="BU239" s="60"/>
      <c r="BV239" s="60"/>
      <c r="BW239" s="60"/>
      <c r="BX239" s="60"/>
      <c r="BY239" s="60"/>
      <c r="BZ239" s="60"/>
      <c r="CA239" s="60"/>
      <c r="CB239" s="60"/>
      <c r="CC239" s="60"/>
      <c r="CD239" s="60"/>
      <c r="CE239" s="60"/>
      <c r="CF239" s="60"/>
      <c r="CG239" s="60"/>
      <c r="CH239" s="60"/>
      <c r="CI239" s="60"/>
      <c r="CJ239" s="60"/>
      <c r="CK239" s="60"/>
      <c r="CL239" s="60"/>
      <c r="CM239" s="60"/>
      <c r="CN239" s="60"/>
      <c r="CO239" s="60"/>
      <c r="CP239" s="60"/>
      <c r="CQ239" s="60"/>
      <c r="CR239" s="60"/>
      <c r="CS239" s="60"/>
      <c r="CT239" s="60"/>
      <c r="CU239" s="60"/>
      <c r="CV239" s="60"/>
      <c r="CW239" s="60"/>
      <c r="CX239" s="60"/>
      <c r="CY239" s="60"/>
      <c r="CZ239" s="60"/>
      <c r="DA239" s="60"/>
      <c r="DB239" s="60"/>
      <c r="DC239" s="60"/>
      <c r="DD239" s="60"/>
      <c r="DE239" s="60"/>
      <c r="DF239" s="60"/>
      <c r="DG239" s="60"/>
      <c r="DH239" s="60"/>
      <c r="DI239" s="60"/>
      <c r="DJ239" s="60"/>
      <c r="DK239" s="60"/>
      <c r="DL239" s="60"/>
      <c r="DM239" s="60"/>
      <c r="DN239" s="60"/>
      <c r="DO239" s="60"/>
      <c r="DP239" s="60"/>
      <c r="DQ239" s="60"/>
      <c r="DR239" s="60"/>
      <c r="DS239" s="60"/>
      <c r="DT239" s="60"/>
      <c r="DU239" s="60"/>
      <c r="DV239" s="60"/>
      <c r="DW239" s="60"/>
      <c r="DX239" s="60"/>
      <c r="DY239" s="60"/>
      <c r="DZ239" s="60"/>
      <c r="EA239" s="60"/>
      <c r="EB239" s="60"/>
      <c r="EC239" s="60"/>
      <c r="ED239" s="60"/>
      <c r="EE239" s="60"/>
      <c r="EF239" s="60"/>
      <c r="EG239" s="60"/>
      <c r="EH239" s="60"/>
      <c r="EI239" s="60"/>
      <c r="EJ239" s="60"/>
      <c r="EK239" s="60"/>
      <c r="EL239" s="60"/>
      <c r="EM239" s="60"/>
      <c r="EN239" s="60"/>
      <c r="EO239" s="60"/>
      <c r="EP239" s="60"/>
      <c r="EQ239" s="60"/>
      <c r="ER239" s="60"/>
      <c r="ES239" s="60"/>
      <c r="ET239" s="60"/>
      <c r="EU239" s="60"/>
      <c r="EV239" s="60"/>
      <c r="EW239" s="60"/>
      <c r="EX239" s="60"/>
      <c r="EY239" s="60"/>
      <c r="EZ239" s="60"/>
      <c r="FA239" s="60"/>
      <c r="FB239" s="60"/>
      <c r="FC239" s="60"/>
      <c r="FD239" s="60"/>
      <c r="FE239" s="60"/>
      <c r="FF239" s="60"/>
      <c r="FG239" s="60"/>
      <c r="FH239" s="60"/>
      <c r="FI239" s="60"/>
      <c r="FJ239" s="60"/>
      <c r="FK239" s="60"/>
      <c r="FL239" s="60"/>
      <c r="FM239" s="60"/>
      <c r="FN239" s="60"/>
      <c r="FO239" s="60"/>
      <c r="FP239" s="60"/>
      <c r="FQ239" s="60"/>
      <c r="FR239" s="60"/>
      <c r="FS239" s="60"/>
      <c r="FT239" s="60"/>
      <c r="FU239" s="60"/>
      <c r="FV239" s="60"/>
      <c r="FW239" s="60"/>
      <c r="FX239" s="60"/>
      <c r="FY239" s="60"/>
      <c r="FZ239" s="60"/>
      <c r="GA239" s="60"/>
      <c r="GB239" s="60"/>
      <c r="GC239" s="60"/>
      <c r="GD239" s="60"/>
      <c r="GE239" s="60"/>
      <c r="GF239" s="60"/>
      <c r="GG239" s="60"/>
      <c r="GH239" s="60"/>
      <c r="GI239" s="60"/>
      <c r="GJ239" s="60"/>
      <c r="GK239" s="60"/>
      <c r="GL239" s="60"/>
      <c r="GM239" s="60"/>
      <c r="GN239" s="60"/>
      <c r="GO239" s="60"/>
      <c r="GP239" s="60"/>
      <c r="GQ239" s="60"/>
      <c r="GR239" s="60"/>
      <c r="GS239" s="60"/>
      <c r="GT239" s="60"/>
      <c r="GU239" s="60"/>
      <c r="GV239" s="60"/>
      <c r="GW239" s="60"/>
      <c r="GX239" s="60"/>
      <c r="GY239" s="60"/>
      <c r="GZ239" s="60"/>
      <c r="HA239" s="60"/>
      <c r="HB239" s="60"/>
      <c r="HC239" s="60"/>
      <c r="HD239" s="60"/>
      <c r="HE239" s="60"/>
      <c r="HF239" s="60"/>
      <c r="HG239" s="60"/>
      <c r="HH239" s="60"/>
      <c r="HI239" s="60"/>
      <c r="HJ239" s="60"/>
      <c r="HK239" s="60"/>
      <c r="HL239" s="60"/>
      <c r="HM239" s="60"/>
      <c r="HN239" s="60"/>
      <c r="HO239" s="60"/>
      <c r="HP239" s="60"/>
      <c r="HQ239" s="60"/>
      <c r="HR239" s="60"/>
      <c r="HS239" s="60"/>
      <c r="HT239" s="60"/>
      <c r="HU239" s="60"/>
      <c r="HV239" s="60"/>
      <c r="HW239" s="60"/>
      <c r="HX239" s="60"/>
      <c r="HY239" s="60"/>
      <c r="HZ239" s="60"/>
      <c r="IA239" s="60"/>
      <c r="IB239" s="60"/>
      <c r="IC239" s="60"/>
      <c r="ID239" s="60"/>
      <c r="IE239" s="60"/>
      <c r="IF239" s="60"/>
      <c r="IG239" s="60"/>
      <c r="IH239" s="60"/>
      <c r="II239" s="60"/>
      <c r="IJ239" s="60"/>
      <c r="IK239" s="60"/>
      <c r="IL239" s="60"/>
      <c r="IM239" s="60"/>
      <c r="IN239" s="60"/>
      <c r="IO239" s="60"/>
      <c r="IP239" s="60"/>
      <c r="IQ239" s="60"/>
      <c r="IR239" s="60"/>
      <c r="IS239" s="60"/>
      <c r="IT239" s="60"/>
      <c r="IU239" s="60"/>
      <c r="IV239" s="60"/>
      <c r="IW239" s="60"/>
      <c r="IX239" s="60"/>
      <c r="IY239" s="60"/>
      <c r="IZ239" s="60"/>
      <c r="JA239" s="60"/>
      <c r="JB239" s="60"/>
      <c r="JC239" s="60"/>
      <c r="JD239" s="60"/>
      <c r="JE239" s="60"/>
      <c r="JF239" s="60"/>
      <c r="JG239" s="60"/>
      <c r="JH239" s="60"/>
      <c r="JI239" s="60"/>
      <c r="JJ239" s="60"/>
      <c r="JK239" s="60"/>
      <c r="JL239" s="60"/>
      <c r="JM239" s="60"/>
      <c r="JN239" s="60"/>
      <c r="JO239" s="60"/>
      <c r="JP239" s="60"/>
      <c r="JQ239" s="60"/>
      <c r="JR239" s="60"/>
      <c r="JS239" s="60"/>
      <c r="JT239" s="60"/>
      <c r="JU239" s="60"/>
      <c r="JV239" s="60"/>
      <c r="JW239" s="60"/>
      <c r="JX239" s="60"/>
      <c r="JY239" s="60"/>
      <c r="JZ239" s="60"/>
      <c r="KA239" s="60"/>
      <c r="KB239" s="60"/>
      <c r="KC239" s="60"/>
      <c r="KD239" s="60"/>
      <c r="KE239" s="60"/>
      <c r="KF239" s="60"/>
      <c r="KG239" s="60"/>
      <c r="KH239" s="60"/>
      <c r="KI239" s="60"/>
      <c r="KJ239" s="60"/>
      <c r="KK239" s="60"/>
      <c r="KL239" s="60"/>
      <c r="KM239" s="60"/>
      <c r="KN239" s="60"/>
      <c r="KO239" s="60"/>
      <c r="KP239" s="60"/>
      <c r="KQ239" s="60"/>
      <c r="KR239" s="60"/>
      <c r="KS239" s="60"/>
      <c r="KT239" s="60"/>
      <c r="KU239" s="60"/>
      <c r="KV239" s="60"/>
      <c r="KW239" s="60"/>
      <c r="KX239" s="60"/>
      <c r="KY239" s="60"/>
      <c r="KZ239" s="60"/>
      <c r="LA239" s="60"/>
      <c r="LB239" s="60"/>
      <c r="LC239" s="60"/>
      <c r="LD239" s="60"/>
      <c r="LE239" s="60"/>
      <c r="LF239" s="60"/>
      <c r="LG239" s="60"/>
      <c r="LH239" s="60"/>
    </row>
    <row r="240" spans="1:320" s="146" customFormat="1" x14ac:dyDescent="0.25">
      <c r="A240" s="147"/>
      <c r="B240" s="1"/>
      <c r="C240" s="1"/>
      <c r="D240" s="1"/>
      <c r="F240" s="148" t="s">
        <v>94</v>
      </c>
      <c r="G240" s="148"/>
      <c r="T240" s="17"/>
      <c r="U240" s="17"/>
      <c r="V240" s="17"/>
      <c r="W240" s="17"/>
      <c r="X240" s="17"/>
      <c r="Y240" s="17"/>
      <c r="Z240" s="17"/>
      <c r="AA240" s="17"/>
      <c r="AB240" s="17"/>
      <c r="AC240" s="60"/>
      <c r="AD240" s="60"/>
      <c r="AE240" s="60"/>
      <c r="AF240" s="60"/>
      <c r="AG240" s="60"/>
      <c r="AH240" s="60"/>
      <c r="AI240" s="60"/>
      <c r="AJ240" s="60"/>
      <c r="AK240" s="60"/>
      <c r="AL240" s="60"/>
      <c r="AM240" s="60"/>
      <c r="AN240" s="60"/>
      <c r="AO240" s="60"/>
      <c r="AP240" s="60"/>
      <c r="AQ240" s="60"/>
      <c r="AR240" s="60"/>
      <c r="AS240" s="60"/>
      <c r="AT240" s="60"/>
      <c r="AU240" s="60"/>
      <c r="AV240" s="60"/>
      <c r="AW240" s="60"/>
      <c r="AX240" s="60"/>
      <c r="AY240" s="60"/>
      <c r="AZ240" s="60"/>
      <c r="BA240" s="60"/>
      <c r="BB240" s="60"/>
      <c r="BC240" s="60"/>
      <c r="BD240" s="60"/>
      <c r="BE240" s="60"/>
      <c r="BF240" s="60"/>
      <c r="BG240" s="60"/>
      <c r="BH240" s="60"/>
      <c r="BI240" s="60"/>
      <c r="BJ240" s="60"/>
      <c r="BK240" s="60"/>
      <c r="BL240" s="60"/>
      <c r="BM240" s="60"/>
      <c r="BN240" s="60"/>
      <c r="BO240" s="60"/>
      <c r="BP240" s="60"/>
      <c r="BQ240" s="60"/>
      <c r="BR240" s="60"/>
      <c r="BS240" s="60"/>
      <c r="BT240" s="60"/>
      <c r="BU240" s="60"/>
      <c r="BV240" s="60"/>
      <c r="BW240" s="60"/>
      <c r="BX240" s="60"/>
      <c r="BY240" s="60"/>
      <c r="BZ240" s="60"/>
      <c r="CA240" s="60"/>
      <c r="CB240" s="60"/>
      <c r="CC240" s="60"/>
      <c r="CD240" s="60"/>
      <c r="CE240" s="60"/>
      <c r="CF240" s="60"/>
      <c r="CG240" s="60"/>
      <c r="CH240" s="60"/>
      <c r="CI240" s="60"/>
      <c r="CJ240" s="60"/>
      <c r="CK240" s="60"/>
      <c r="CL240" s="60"/>
      <c r="CM240" s="60"/>
      <c r="CN240" s="60"/>
      <c r="CO240" s="60"/>
      <c r="CP240" s="60"/>
      <c r="CQ240" s="60"/>
      <c r="CR240" s="60"/>
      <c r="CS240" s="60"/>
      <c r="CT240" s="60"/>
      <c r="CU240" s="60"/>
      <c r="CV240" s="60"/>
      <c r="CW240" s="60"/>
      <c r="CX240" s="60"/>
      <c r="CY240" s="60"/>
      <c r="CZ240" s="60"/>
      <c r="DA240" s="60"/>
      <c r="DB240" s="60"/>
      <c r="DC240" s="60"/>
      <c r="DD240" s="60"/>
      <c r="DE240" s="60"/>
      <c r="DF240" s="60"/>
      <c r="DG240" s="60"/>
      <c r="DH240" s="60"/>
      <c r="DI240" s="60"/>
      <c r="DJ240" s="60"/>
      <c r="DK240" s="60"/>
      <c r="DL240" s="60"/>
      <c r="DM240" s="60"/>
      <c r="DN240" s="60"/>
      <c r="DO240" s="60"/>
      <c r="DP240" s="60"/>
      <c r="DQ240" s="60"/>
      <c r="DR240" s="60"/>
      <c r="DS240" s="60"/>
      <c r="DT240" s="60"/>
      <c r="DU240" s="60"/>
      <c r="DV240" s="60"/>
      <c r="DW240" s="60"/>
      <c r="DX240" s="60"/>
      <c r="DY240" s="60"/>
      <c r="DZ240" s="60"/>
      <c r="EA240" s="60"/>
      <c r="EB240" s="60"/>
      <c r="EC240" s="60"/>
      <c r="ED240" s="60"/>
      <c r="EE240" s="60"/>
      <c r="EF240" s="60"/>
      <c r="EG240" s="60"/>
      <c r="EH240" s="60"/>
      <c r="EI240" s="60"/>
      <c r="EJ240" s="60"/>
      <c r="EK240" s="60"/>
      <c r="EL240" s="60"/>
      <c r="EM240" s="60"/>
      <c r="EN240" s="60"/>
      <c r="EO240" s="60"/>
      <c r="EP240" s="60"/>
      <c r="EQ240" s="60"/>
      <c r="ER240" s="60"/>
      <c r="ES240" s="60"/>
      <c r="ET240" s="60"/>
      <c r="EU240" s="60"/>
      <c r="EV240" s="60"/>
      <c r="EW240" s="60"/>
      <c r="EX240" s="60"/>
      <c r="EY240" s="60"/>
      <c r="EZ240" s="60"/>
      <c r="FA240" s="60"/>
      <c r="FB240" s="60"/>
      <c r="FC240" s="60"/>
      <c r="FD240" s="60"/>
      <c r="FE240" s="60"/>
      <c r="FF240" s="60"/>
      <c r="FG240" s="60"/>
      <c r="FH240" s="60"/>
      <c r="FI240" s="60"/>
      <c r="FJ240" s="60"/>
      <c r="FK240" s="60"/>
      <c r="FL240" s="60"/>
      <c r="FM240" s="60"/>
      <c r="FN240" s="60"/>
      <c r="FO240" s="60"/>
      <c r="FP240" s="60"/>
      <c r="FQ240" s="60"/>
      <c r="FR240" s="60"/>
      <c r="FS240" s="60"/>
      <c r="FT240" s="60"/>
      <c r="FU240" s="60"/>
      <c r="FV240" s="60"/>
      <c r="FW240" s="60"/>
      <c r="FX240" s="60"/>
      <c r="FY240" s="60"/>
      <c r="FZ240" s="60"/>
      <c r="GA240" s="60"/>
      <c r="GB240" s="60"/>
      <c r="GC240" s="60"/>
      <c r="GD240" s="60"/>
      <c r="GE240" s="60"/>
      <c r="GF240" s="60"/>
      <c r="GG240" s="60"/>
      <c r="GH240" s="60"/>
      <c r="GI240" s="60"/>
      <c r="GJ240" s="60"/>
      <c r="GK240" s="60"/>
      <c r="GL240" s="60"/>
      <c r="GM240" s="60"/>
      <c r="GN240" s="60"/>
      <c r="GO240" s="60"/>
      <c r="GP240" s="60"/>
      <c r="GQ240" s="60"/>
      <c r="GR240" s="60"/>
      <c r="GS240" s="60"/>
      <c r="GT240" s="60"/>
      <c r="GU240" s="60"/>
      <c r="GV240" s="60"/>
      <c r="GW240" s="60"/>
      <c r="GX240" s="60"/>
      <c r="GY240" s="60"/>
      <c r="GZ240" s="60"/>
      <c r="HA240" s="60"/>
      <c r="HB240" s="60"/>
      <c r="HC240" s="60"/>
      <c r="HD240" s="60"/>
      <c r="HE240" s="60"/>
      <c r="HF240" s="60"/>
      <c r="HG240" s="60"/>
      <c r="HH240" s="60"/>
      <c r="HI240" s="60"/>
      <c r="HJ240" s="60"/>
      <c r="HK240" s="60"/>
      <c r="HL240" s="60"/>
      <c r="HM240" s="60"/>
      <c r="HN240" s="60"/>
      <c r="HO240" s="60"/>
      <c r="HP240" s="60"/>
      <c r="HQ240" s="60"/>
      <c r="HR240" s="60"/>
      <c r="HS240" s="60"/>
      <c r="HT240" s="60"/>
      <c r="HU240" s="60"/>
      <c r="HV240" s="60"/>
      <c r="HW240" s="60"/>
      <c r="HX240" s="60"/>
      <c r="HY240" s="60"/>
      <c r="HZ240" s="60"/>
      <c r="IA240" s="60"/>
      <c r="IB240" s="60"/>
      <c r="IC240" s="60"/>
      <c r="ID240" s="60"/>
      <c r="IE240" s="60"/>
      <c r="IF240" s="60"/>
      <c r="IG240" s="60"/>
      <c r="IH240" s="60"/>
      <c r="II240" s="60"/>
      <c r="IJ240" s="60"/>
      <c r="IK240" s="60"/>
      <c r="IL240" s="60"/>
      <c r="IM240" s="60"/>
      <c r="IN240" s="60"/>
      <c r="IO240" s="60"/>
      <c r="IP240" s="60"/>
      <c r="IQ240" s="60"/>
      <c r="IR240" s="60"/>
      <c r="IS240" s="60"/>
      <c r="IT240" s="60"/>
      <c r="IU240" s="60"/>
      <c r="IV240" s="60"/>
      <c r="IW240" s="60"/>
      <c r="IX240" s="60"/>
      <c r="IY240" s="60"/>
      <c r="IZ240" s="60"/>
      <c r="JA240" s="60"/>
      <c r="JB240" s="60"/>
      <c r="JC240" s="60"/>
      <c r="JD240" s="60"/>
      <c r="JE240" s="60"/>
      <c r="JF240" s="60"/>
      <c r="JG240" s="60"/>
      <c r="JH240" s="60"/>
      <c r="JI240" s="60"/>
      <c r="JJ240" s="60"/>
      <c r="JK240" s="60"/>
      <c r="JL240" s="60"/>
      <c r="JM240" s="60"/>
      <c r="JN240" s="60"/>
      <c r="JO240" s="60"/>
      <c r="JP240" s="60"/>
      <c r="JQ240" s="60"/>
      <c r="JR240" s="60"/>
      <c r="JS240" s="60"/>
      <c r="JT240" s="60"/>
      <c r="JU240" s="60"/>
      <c r="JV240" s="60"/>
      <c r="JW240" s="60"/>
      <c r="JX240" s="60"/>
      <c r="JY240" s="60"/>
      <c r="JZ240" s="60"/>
      <c r="KA240" s="60"/>
      <c r="KB240" s="60"/>
      <c r="KC240" s="60"/>
      <c r="KD240" s="60"/>
      <c r="KE240" s="60"/>
      <c r="KF240" s="60"/>
      <c r="KG240" s="60"/>
      <c r="KH240" s="60"/>
      <c r="KI240" s="60"/>
      <c r="KJ240" s="60"/>
      <c r="KK240" s="60"/>
      <c r="KL240" s="60"/>
      <c r="KM240" s="60"/>
      <c r="KN240" s="60"/>
      <c r="KO240" s="60"/>
      <c r="KP240" s="60"/>
      <c r="KQ240" s="60"/>
      <c r="KR240" s="60"/>
      <c r="KS240" s="60"/>
      <c r="KT240" s="60"/>
      <c r="KU240" s="60"/>
      <c r="KV240" s="60"/>
      <c r="KW240" s="60"/>
      <c r="KX240" s="60"/>
      <c r="KY240" s="60"/>
      <c r="KZ240" s="60"/>
      <c r="LA240" s="60"/>
      <c r="LB240" s="60"/>
      <c r="LC240" s="60"/>
      <c r="LD240" s="60"/>
      <c r="LE240" s="60"/>
      <c r="LF240" s="60"/>
      <c r="LG240" s="60"/>
      <c r="LH240" s="60"/>
    </row>
    <row r="241" spans="1:320" s="146" customFormat="1" x14ac:dyDescent="0.25">
      <c r="A241" s="147"/>
      <c r="B241" s="1"/>
      <c r="C241" s="1"/>
      <c r="D241" s="1"/>
      <c r="F241" s="148"/>
      <c r="G241" s="148"/>
      <c r="T241" s="17"/>
      <c r="U241" s="17"/>
      <c r="V241" s="17"/>
      <c r="W241" s="17"/>
      <c r="X241" s="17"/>
      <c r="Y241" s="17"/>
      <c r="Z241" s="17"/>
      <c r="AA241" s="17"/>
      <c r="AB241" s="17"/>
      <c r="AC241" s="60"/>
      <c r="AD241" s="60"/>
      <c r="AE241" s="60"/>
      <c r="AF241" s="60"/>
      <c r="AG241" s="60"/>
      <c r="AH241" s="60"/>
      <c r="AI241" s="60"/>
      <c r="AJ241" s="60"/>
      <c r="AK241" s="60"/>
      <c r="AL241" s="60"/>
      <c r="AM241" s="60"/>
      <c r="AN241" s="60"/>
      <c r="AO241" s="60"/>
      <c r="AP241" s="60"/>
      <c r="AQ241" s="60"/>
      <c r="AR241" s="60"/>
      <c r="AS241" s="60"/>
      <c r="AT241" s="60"/>
      <c r="AU241" s="60"/>
      <c r="AV241" s="60"/>
      <c r="AW241" s="60"/>
      <c r="AX241" s="60"/>
      <c r="AY241" s="60"/>
      <c r="AZ241" s="60"/>
      <c r="BA241" s="60"/>
      <c r="BB241" s="60"/>
      <c r="BC241" s="60"/>
      <c r="BD241" s="60"/>
      <c r="BE241" s="60"/>
      <c r="BF241" s="60"/>
      <c r="BG241" s="60"/>
      <c r="BH241" s="60"/>
      <c r="BI241" s="60"/>
      <c r="BJ241" s="60"/>
      <c r="BK241" s="60"/>
      <c r="BL241" s="60"/>
      <c r="BM241" s="60"/>
      <c r="BN241" s="60"/>
      <c r="BO241" s="60"/>
      <c r="BP241" s="60"/>
      <c r="BQ241" s="60"/>
      <c r="BR241" s="60"/>
      <c r="BS241" s="60"/>
      <c r="BT241" s="60"/>
      <c r="BU241" s="60"/>
      <c r="BV241" s="60"/>
      <c r="BW241" s="60"/>
      <c r="BX241" s="60"/>
      <c r="BY241" s="60"/>
      <c r="BZ241" s="60"/>
      <c r="CA241" s="60"/>
      <c r="CB241" s="60"/>
      <c r="CC241" s="60"/>
      <c r="CD241" s="60"/>
      <c r="CE241" s="60"/>
      <c r="CF241" s="60"/>
      <c r="CG241" s="60"/>
      <c r="CH241" s="60"/>
      <c r="CI241" s="60"/>
      <c r="CJ241" s="60"/>
      <c r="CK241" s="60"/>
      <c r="CL241" s="60"/>
      <c r="CM241" s="60"/>
      <c r="CN241" s="60"/>
      <c r="CO241" s="60"/>
      <c r="CP241" s="60"/>
      <c r="CQ241" s="60"/>
      <c r="CR241" s="60"/>
      <c r="CS241" s="60"/>
      <c r="CT241" s="60"/>
      <c r="CU241" s="60"/>
      <c r="CV241" s="60"/>
      <c r="CW241" s="60"/>
      <c r="CX241" s="60"/>
      <c r="CY241" s="60"/>
      <c r="CZ241" s="60"/>
      <c r="DA241" s="60"/>
      <c r="DB241" s="60"/>
      <c r="DC241" s="60"/>
      <c r="DD241" s="60"/>
      <c r="DE241" s="60"/>
      <c r="DF241" s="60"/>
      <c r="DG241" s="60"/>
      <c r="DH241" s="60"/>
      <c r="DI241" s="60"/>
      <c r="DJ241" s="60"/>
      <c r="DK241" s="60"/>
      <c r="DL241" s="60"/>
      <c r="DM241" s="60"/>
      <c r="DN241" s="60"/>
      <c r="DO241" s="60"/>
      <c r="DP241" s="60"/>
      <c r="DQ241" s="60"/>
      <c r="DR241" s="60"/>
      <c r="DS241" s="60"/>
      <c r="DT241" s="60"/>
      <c r="DU241" s="60"/>
      <c r="DV241" s="60"/>
      <c r="DW241" s="60"/>
      <c r="DX241" s="60"/>
      <c r="DY241" s="60"/>
      <c r="DZ241" s="60"/>
      <c r="EA241" s="60"/>
      <c r="EB241" s="60"/>
      <c r="EC241" s="60"/>
      <c r="ED241" s="60"/>
      <c r="EE241" s="60"/>
      <c r="EF241" s="60"/>
      <c r="EG241" s="60"/>
      <c r="EH241" s="60"/>
      <c r="EI241" s="60"/>
      <c r="EJ241" s="60"/>
      <c r="EK241" s="60"/>
      <c r="EL241" s="60"/>
      <c r="EM241" s="60"/>
      <c r="EN241" s="60"/>
      <c r="EO241" s="60"/>
      <c r="EP241" s="60"/>
      <c r="EQ241" s="60"/>
      <c r="ER241" s="60"/>
      <c r="ES241" s="60"/>
      <c r="ET241" s="60"/>
      <c r="EU241" s="60"/>
      <c r="EV241" s="60"/>
      <c r="EW241" s="60"/>
      <c r="EX241" s="60"/>
      <c r="EY241" s="60"/>
      <c r="EZ241" s="60"/>
      <c r="FA241" s="60"/>
      <c r="FB241" s="60"/>
      <c r="FC241" s="60"/>
      <c r="FD241" s="60"/>
      <c r="FE241" s="60"/>
      <c r="FF241" s="60"/>
      <c r="FG241" s="60"/>
      <c r="FH241" s="60"/>
      <c r="FI241" s="60"/>
      <c r="FJ241" s="60"/>
      <c r="FK241" s="60"/>
      <c r="FL241" s="60"/>
      <c r="FM241" s="60"/>
      <c r="FN241" s="60"/>
      <c r="FO241" s="60"/>
      <c r="FP241" s="60"/>
      <c r="FQ241" s="60"/>
      <c r="FR241" s="60"/>
      <c r="FS241" s="60"/>
      <c r="FT241" s="60"/>
      <c r="FU241" s="60"/>
      <c r="FV241" s="60"/>
      <c r="FW241" s="60"/>
      <c r="FX241" s="60"/>
      <c r="FY241" s="60"/>
      <c r="FZ241" s="60"/>
      <c r="GA241" s="60"/>
      <c r="GB241" s="60"/>
      <c r="GC241" s="60"/>
      <c r="GD241" s="60"/>
      <c r="GE241" s="60"/>
      <c r="GF241" s="60"/>
      <c r="GG241" s="60"/>
      <c r="GH241" s="60"/>
      <c r="GI241" s="60"/>
      <c r="GJ241" s="60"/>
      <c r="GK241" s="60"/>
      <c r="GL241" s="60"/>
      <c r="GM241" s="60"/>
      <c r="GN241" s="60"/>
      <c r="GO241" s="60"/>
      <c r="GP241" s="60"/>
      <c r="GQ241" s="60"/>
      <c r="GR241" s="60"/>
      <c r="GS241" s="60"/>
      <c r="GT241" s="60"/>
      <c r="GU241" s="60"/>
      <c r="GV241" s="60"/>
      <c r="GW241" s="60"/>
      <c r="GX241" s="60"/>
      <c r="GY241" s="60"/>
      <c r="GZ241" s="60"/>
      <c r="HA241" s="60"/>
      <c r="HB241" s="60"/>
      <c r="HC241" s="60"/>
      <c r="HD241" s="60"/>
      <c r="HE241" s="60"/>
      <c r="HF241" s="60"/>
      <c r="HG241" s="60"/>
      <c r="HH241" s="60"/>
      <c r="HI241" s="60"/>
      <c r="HJ241" s="60"/>
      <c r="HK241" s="60"/>
      <c r="HL241" s="60"/>
      <c r="HM241" s="60"/>
      <c r="HN241" s="60"/>
      <c r="HO241" s="60"/>
      <c r="HP241" s="60"/>
      <c r="HQ241" s="60"/>
      <c r="HR241" s="60"/>
      <c r="HS241" s="60"/>
      <c r="HT241" s="60"/>
      <c r="HU241" s="60"/>
      <c r="HV241" s="60"/>
      <c r="HW241" s="60"/>
      <c r="HX241" s="60"/>
      <c r="HY241" s="60"/>
      <c r="HZ241" s="60"/>
      <c r="IA241" s="60"/>
      <c r="IB241" s="60"/>
      <c r="IC241" s="60"/>
      <c r="ID241" s="60"/>
      <c r="IE241" s="60"/>
      <c r="IF241" s="60"/>
      <c r="IG241" s="60"/>
      <c r="IH241" s="60"/>
      <c r="II241" s="60"/>
      <c r="IJ241" s="60"/>
      <c r="IK241" s="60"/>
      <c r="IL241" s="60"/>
      <c r="IM241" s="60"/>
      <c r="IN241" s="60"/>
      <c r="IO241" s="60"/>
      <c r="IP241" s="60"/>
      <c r="IQ241" s="60"/>
      <c r="IR241" s="60"/>
      <c r="IS241" s="60"/>
      <c r="IT241" s="60"/>
      <c r="IU241" s="60"/>
      <c r="IV241" s="60"/>
      <c r="IW241" s="60"/>
      <c r="IX241" s="60"/>
      <c r="IY241" s="60"/>
      <c r="IZ241" s="60"/>
      <c r="JA241" s="60"/>
      <c r="JB241" s="60"/>
      <c r="JC241" s="60"/>
      <c r="JD241" s="60"/>
      <c r="JE241" s="60"/>
      <c r="JF241" s="60"/>
      <c r="JG241" s="60"/>
      <c r="JH241" s="60"/>
      <c r="JI241" s="60"/>
      <c r="JJ241" s="60"/>
      <c r="JK241" s="60"/>
      <c r="JL241" s="60"/>
      <c r="JM241" s="60"/>
      <c r="JN241" s="60"/>
      <c r="JO241" s="60"/>
      <c r="JP241" s="60"/>
      <c r="JQ241" s="60"/>
      <c r="JR241" s="60"/>
      <c r="JS241" s="60"/>
      <c r="JT241" s="60"/>
      <c r="JU241" s="60"/>
      <c r="JV241" s="60"/>
      <c r="JW241" s="60"/>
      <c r="JX241" s="60"/>
      <c r="JY241" s="60"/>
      <c r="JZ241" s="60"/>
      <c r="KA241" s="60"/>
      <c r="KB241" s="60"/>
      <c r="KC241" s="60"/>
      <c r="KD241" s="60"/>
      <c r="KE241" s="60"/>
      <c r="KF241" s="60"/>
      <c r="KG241" s="60"/>
      <c r="KH241" s="60"/>
      <c r="KI241" s="60"/>
      <c r="KJ241" s="60"/>
      <c r="KK241" s="60"/>
      <c r="KL241" s="60"/>
      <c r="KM241" s="60"/>
      <c r="KN241" s="60"/>
      <c r="KO241" s="60"/>
      <c r="KP241" s="60"/>
      <c r="KQ241" s="60"/>
      <c r="KR241" s="60"/>
      <c r="KS241" s="60"/>
      <c r="KT241" s="60"/>
      <c r="KU241" s="60"/>
      <c r="KV241" s="60"/>
      <c r="KW241" s="60"/>
      <c r="KX241" s="60"/>
      <c r="KY241" s="60"/>
      <c r="KZ241" s="60"/>
      <c r="LA241" s="60"/>
      <c r="LB241" s="60"/>
      <c r="LC241" s="60"/>
      <c r="LD241" s="60"/>
      <c r="LE241" s="60"/>
      <c r="LF241" s="60"/>
      <c r="LG241" s="60"/>
      <c r="LH241" s="60"/>
    </row>
  </sheetData>
  <sheetProtection algorithmName="SHA-512" hashValue="/CDfxn5maDYCTyFL+j5yElCV1cb9PfLZ7dQ7K1fWanS0A56xU1QqR+ZeoKMIr0i//G+7qHQmUTs8jFCg15Vxrg==" saltValue="VOEgc4UkCUBRXoL85dcz7g==" spinCount="100000" sheet="1" objects="1" scenarios="1" formatColumns="0" formatRows="0" selectLockedCells="1"/>
  <protectedRanges>
    <protectedRange sqref="F187:H187 AF22:LH22 F4:G4" name="Range1"/>
    <protectedRange sqref="H22 J22:AE22" name="Range1_5"/>
    <protectedRange sqref="G3 G5:G8 F5:F6 F8" name="Range1_6"/>
  </protectedRanges>
  <mergeCells count="39">
    <mergeCell ref="B1:G1"/>
    <mergeCell ref="B25:E25"/>
    <mergeCell ref="F25:G25"/>
    <mergeCell ref="A1:A9"/>
    <mergeCell ref="B2:E2"/>
    <mergeCell ref="F2:G2"/>
    <mergeCell ref="B3:E3"/>
    <mergeCell ref="B4:E4"/>
    <mergeCell ref="F4:G4"/>
    <mergeCell ref="B5:E5"/>
    <mergeCell ref="F5:G5"/>
    <mergeCell ref="B9:J9"/>
    <mergeCell ref="B6:E6"/>
    <mergeCell ref="F6:G6"/>
    <mergeCell ref="B7:E7"/>
    <mergeCell ref="F7:G7"/>
    <mergeCell ref="B20:E20"/>
    <mergeCell ref="F20:J20"/>
    <mergeCell ref="I13:I16"/>
    <mergeCell ref="F8:G8"/>
    <mergeCell ref="B14:G15"/>
    <mergeCell ref="B16:G16"/>
    <mergeCell ref="B17:G17"/>
    <mergeCell ref="H2:J2"/>
    <mergeCell ref="C22:F22"/>
    <mergeCell ref="I5:M7"/>
    <mergeCell ref="B188:E188"/>
    <mergeCell ref="F188:H188"/>
    <mergeCell ref="C10:E10"/>
    <mergeCell ref="F10:G10"/>
    <mergeCell ref="B150:L150"/>
    <mergeCell ref="B152:H152"/>
    <mergeCell ref="B187:E187"/>
    <mergeCell ref="F187:H187"/>
    <mergeCell ref="B26:E26"/>
    <mergeCell ref="F26:G26"/>
    <mergeCell ref="B11:B12"/>
    <mergeCell ref="C13:G13"/>
    <mergeCell ref="B8:E8"/>
  </mergeCells>
  <conditionalFormatting sqref="B8:G8">
    <cfRule type="cellIs" dxfId="178" priority="45" operator="equal">
      <formula>"caca"</formula>
    </cfRule>
  </conditionalFormatting>
  <conditionalFormatting sqref="F7 G154">
    <cfRule type="cellIs" dxfId="177" priority="54" operator="lessThan">
      <formula>10</formula>
    </cfRule>
  </conditionalFormatting>
  <conditionalFormatting sqref="F187:G187">
    <cfRule type="cellIs" dxfId="176" priority="56" operator="greaterThan">
      <formula>1-(1/#REF!)</formula>
    </cfRule>
  </conditionalFormatting>
  <conditionalFormatting sqref="F188:G188">
    <cfRule type="cellIs" dxfId="175" priority="55" operator="notEqual">
      <formula>10/F187</formula>
    </cfRule>
  </conditionalFormatting>
  <conditionalFormatting sqref="G3">
    <cfRule type="cellIs" dxfId="174" priority="49" operator="lessThan">
      <formula>1</formula>
    </cfRule>
  </conditionalFormatting>
  <conditionalFormatting sqref="H15">
    <cfRule type="cellIs" dxfId="173" priority="46" operator="equal">
      <formula>0</formula>
    </cfRule>
  </conditionalFormatting>
  <conditionalFormatting sqref="I10">
    <cfRule type="cellIs" dxfId="172" priority="53" operator="equal">
      <formula>0</formula>
    </cfRule>
  </conditionalFormatting>
  <conditionalFormatting sqref="I11 K11 M11 O11 Q11">
    <cfRule type="containsText" dxfId="171" priority="50" operator="containsText" text="From">
      <formula>NOT(ISERROR(SEARCH("From",I11)))</formula>
    </cfRule>
  </conditionalFormatting>
  <conditionalFormatting sqref="J10:AD16 Z17:AD17">
    <cfRule type="cellIs" dxfId="170" priority="52" operator="equal">
      <formula>0</formula>
    </cfRule>
  </conditionalFormatting>
  <conditionalFormatting sqref="K11 M11 O11 Q11">
    <cfRule type="containsText" dxfId="169" priority="51" operator="containsText" text="Throw away">
      <formula>NOT(ISERROR(SEARCH("Throw away",K11)))</formula>
    </cfRule>
  </conditionalFormatting>
  <conditionalFormatting sqref="L154">
    <cfRule type="cellIs" dxfId="168" priority="57" operator="notEqual">
      <formula>ROUNDDOWN(P5,N5)</formula>
    </cfRule>
  </conditionalFormatting>
  <conditionalFormatting sqref="M154">
    <cfRule type="cellIs" dxfId="167" priority="58" operator="notEqual">
      <formula>ROUNDDOWN(B25,P5)</formula>
    </cfRule>
  </conditionalFormatting>
  <conditionalFormatting sqref="N154">
    <cfRule type="cellIs" dxfId="166" priority="60" operator="notEqual">
      <formula>ROUNDDOWN(B25,P5)</formula>
    </cfRule>
  </conditionalFormatting>
  <conditionalFormatting sqref="O154">
    <cfRule type="cellIs" dxfId="165" priority="59" operator="notEqual">
      <formula>ROUNDDOWN(T5,B25)</formula>
    </cfRule>
  </conditionalFormatting>
  <conditionalFormatting sqref="P154">
    <cfRule type="cellIs" dxfId="164" priority="61" operator="notEqual">
      <formula>ROUNDDOWN(T5,B25)</formula>
    </cfRule>
  </conditionalFormatting>
  <conditionalFormatting sqref="R15">
    <cfRule type="containsText" dxfId="163" priority="42" operator="containsText" text="caca">
      <formula>NOT(ISERROR(SEARCH("caca",R15)))</formula>
    </cfRule>
  </conditionalFormatting>
  <conditionalFormatting sqref="R13:T14">
    <cfRule type="cellIs" dxfId="162" priority="43" operator="equal">
      <formula>0</formula>
    </cfRule>
  </conditionalFormatting>
  <conditionalFormatting sqref="S10 S15">
    <cfRule type="cellIs" dxfId="161" priority="44" operator="equal">
      <formula>0</formula>
    </cfRule>
  </conditionalFormatting>
  <conditionalFormatting sqref="S11">
    <cfRule type="containsText" dxfId="160" priority="18" operator="containsText" text="From">
      <formula>NOT(ISERROR(SEARCH("From",S11)))</formula>
    </cfRule>
    <cfRule type="containsText" dxfId="159" priority="19" operator="containsText" text="Throw away">
      <formula>NOT(ISERROR(SEARCH("Throw away",S11)))</formula>
    </cfRule>
  </conditionalFormatting>
  <conditionalFormatting sqref="T15">
    <cfRule type="containsText" dxfId="158" priority="41" operator="containsText" text="caca">
      <formula>NOT(ISERROR(SEARCH("caca",T15)))</formula>
    </cfRule>
  </conditionalFormatting>
  <conditionalFormatting sqref="U10 U13:U15">
    <cfRule type="cellIs" dxfId="157" priority="39" operator="equal">
      <formula>0</formula>
    </cfRule>
  </conditionalFormatting>
  <conditionalFormatting sqref="U11">
    <cfRule type="containsText" dxfId="156" priority="16" operator="containsText" text="From">
      <formula>NOT(ISERROR(SEARCH("From",U11)))</formula>
    </cfRule>
    <cfRule type="containsText" dxfId="155" priority="17" operator="containsText" text="Throw away">
      <formula>NOT(ISERROR(SEARCH("Throw away",U11)))</formula>
    </cfRule>
  </conditionalFormatting>
  <conditionalFormatting sqref="U22">
    <cfRule type="cellIs" dxfId="154" priority="40" operator="equal">
      <formula>0</formula>
    </cfRule>
  </conditionalFormatting>
  <conditionalFormatting sqref="V13:V14">
    <cfRule type="cellIs" dxfId="153" priority="38" operator="equal">
      <formula>0</formula>
    </cfRule>
  </conditionalFormatting>
  <conditionalFormatting sqref="W10 W13:W15">
    <cfRule type="cellIs" dxfId="152" priority="36" operator="equal">
      <formula>0</formula>
    </cfRule>
  </conditionalFormatting>
  <conditionalFormatting sqref="W11">
    <cfRule type="containsText" dxfId="151" priority="14" operator="containsText" text="From">
      <formula>NOT(ISERROR(SEARCH("From",W11)))</formula>
    </cfRule>
    <cfRule type="containsText" dxfId="150" priority="15" operator="containsText" text="Throw away">
      <formula>NOT(ISERROR(SEARCH("Throw away",W11)))</formula>
    </cfRule>
  </conditionalFormatting>
  <conditionalFormatting sqref="W22">
    <cfRule type="cellIs" dxfId="149" priority="37" operator="equal">
      <formula>0</formula>
    </cfRule>
  </conditionalFormatting>
  <conditionalFormatting sqref="X13:X14">
    <cfRule type="cellIs" dxfId="148" priority="35" operator="equal">
      <formula>0</formula>
    </cfRule>
  </conditionalFormatting>
  <conditionalFormatting sqref="X15">
    <cfRule type="containsText" dxfId="147" priority="34" operator="containsText" text="caca">
      <formula>NOT(ISERROR(SEARCH("caca",X15)))</formula>
    </cfRule>
  </conditionalFormatting>
  <conditionalFormatting sqref="Y10 Y13:Y15">
    <cfRule type="cellIs" dxfId="146" priority="32" operator="equal">
      <formula>0</formula>
    </cfRule>
  </conditionalFormatting>
  <conditionalFormatting sqref="Y11">
    <cfRule type="containsText" dxfId="145" priority="12" operator="containsText" text="From">
      <formula>NOT(ISERROR(SEARCH("From",Y11)))</formula>
    </cfRule>
    <cfRule type="containsText" dxfId="144" priority="13" operator="containsText" text="Throw away">
      <formula>NOT(ISERROR(SEARCH("Throw away",Y11)))</formula>
    </cfRule>
  </conditionalFormatting>
  <conditionalFormatting sqref="Y22">
    <cfRule type="cellIs" dxfId="143" priority="33" operator="equal">
      <formula>0</formula>
    </cfRule>
  </conditionalFormatting>
  <conditionalFormatting sqref="Z13:Z14">
    <cfRule type="cellIs" dxfId="142" priority="31" operator="equal">
      <formula>0</formula>
    </cfRule>
  </conditionalFormatting>
  <conditionalFormatting sqref="Z15">
    <cfRule type="containsText" dxfId="141" priority="30" operator="containsText" text="caca">
      <formula>NOT(ISERROR(SEARCH("caca",Z15)))</formula>
    </cfRule>
  </conditionalFormatting>
  <conditionalFormatting sqref="AA10 AA13:AA15">
    <cfRule type="cellIs" dxfId="140" priority="28" operator="equal">
      <formula>0</formula>
    </cfRule>
  </conditionalFormatting>
  <conditionalFormatting sqref="AA11">
    <cfRule type="containsText" dxfId="139" priority="10" operator="containsText" text="From">
      <formula>NOT(ISERROR(SEARCH("From",AA11)))</formula>
    </cfRule>
    <cfRule type="containsText" dxfId="138" priority="11" operator="containsText" text="Throw away">
      <formula>NOT(ISERROR(SEARCH("Throw away",AA11)))</formula>
    </cfRule>
  </conditionalFormatting>
  <conditionalFormatting sqref="AA22">
    <cfRule type="cellIs" dxfId="137" priority="29" operator="equal">
      <formula>0</formula>
    </cfRule>
  </conditionalFormatting>
  <conditionalFormatting sqref="AB13:AB14">
    <cfRule type="cellIs" dxfId="136" priority="27" operator="equal">
      <formula>0</formula>
    </cfRule>
  </conditionalFormatting>
  <conditionalFormatting sqref="AB15">
    <cfRule type="containsText" dxfId="135" priority="26" operator="containsText" text="caca">
      <formula>NOT(ISERROR(SEARCH("caca",AB15)))</formula>
    </cfRule>
  </conditionalFormatting>
  <conditionalFormatting sqref="AC10 AC13:AC15">
    <cfRule type="cellIs" dxfId="134" priority="24" operator="equal">
      <formula>0</formula>
    </cfRule>
  </conditionalFormatting>
  <conditionalFormatting sqref="AC11">
    <cfRule type="containsText" dxfId="133" priority="8" operator="containsText" text="From">
      <formula>NOT(ISERROR(SEARCH("From",AC11)))</formula>
    </cfRule>
    <cfRule type="containsText" dxfId="132" priority="9" operator="containsText" text="Throw away">
      <formula>NOT(ISERROR(SEARCH("Throw away",AC11)))</formula>
    </cfRule>
  </conditionalFormatting>
  <conditionalFormatting sqref="AC22">
    <cfRule type="cellIs" dxfId="131" priority="25" operator="equal">
      <formula>0</formula>
    </cfRule>
  </conditionalFormatting>
  <conditionalFormatting sqref="AD13:AD14">
    <cfRule type="cellIs" dxfId="130" priority="23" operator="equal">
      <formula>0</formula>
    </cfRule>
  </conditionalFormatting>
  <conditionalFormatting sqref="AD15">
    <cfRule type="containsText" dxfId="129" priority="22" operator="containsText" text="caca">
      <formula>NOT(ISERROR(SEARCH("caca",AD15)))</formula>
    </cfRule>
  </conditionalFormatting>
  <conditionalFormatting sqref="AE11">
    <cfRule type="containsText" dxfId="128" priority="7" operator="containsText" text="Throw away">
      <formula>NOT(ISERROR(SEARCH("Throw away",AE11)))</formula>
    </cfRule>
  </conditionalFormatting>
  <conditionalFormatting sqref="AE22">
    <cfRule type="cellIs" dxfId="127" priority="21" operator="equal">
      <formula>0</formula>
    </cfRule>
  </conditionalFormatting>
  <conditionalFormatting sqref="AE10:AF10 AE13:AE15">
    <cfRule type="cellIs" dxfId="126" priority="20" operator="equal">
      <formula>0</formula>
    </cfRule>
  </conditionalFormatting>
  <conditionalFormatting sqref="AE11:AF11">
    <cfRule type="containsText" dxfId="125" priority="6" operator="containsText" text="From">
      <formula>NOT(ISERROR(SEARCH("From",AE11)))</formula>
    </cfRule>
  </conditionalFormatting>
  <conditionalFormatting sqref="AF11">
    <cfRule type="containsText" dxfId="124" priority="47" operator="containsText" text="Throw away">
      <formula>NOT(ISERROR(SEARCH("Throw away",AF11)))</formula>
    </cfRule>
  </conditionalFormatting>
  <conditionalFormatting sqref="AF13">
    <cfRule type="cellIs" dxfId="123" priority="48" operator="equal">
      <formula>0</formula>
    </cfRule>
  </conditionalFormatting>
  <conditionalFormatting sqref="I5">
    <cfRule type="cellIs" dxfId="122" priority="5" operator="notEqual">
      <formula>"Bla"</formula>
    </cfRule>
  </conditionalFormatting>
  <conditionalFormatting sqref="I13:I16">
    <cfRule type="expression" dxfId="121" priority="4">
      <formula>H13</formula>
    </cfRule>
  </conditionalFormatting>
  <conditionalFormatting sqref="J17:Y17">
    <cfRule type="cellIs" dxfId="120" priority="3" operator="equal">
      <formula>0</formula>
    </cfRule>
  </conditionalFormatting>
  <conditionalFormatting sqref="I17">
    <cfRule type="expression" dxfId="119" priority="2">
      <formula>H17</formula>
    </cfRule>
  </conditionalFormatting>
  <conditionalFormatting sqref="H17">
    <cfRule type="cellIs" dxfId="118" priority="1" operator="equal">
      <formula>0</formula>
    </cfRule>
  </conditionalFormatting>
  <dataValidations disablePrompts="1" count="1">
    <dataValidation type="list" allowBlank="1" showInputMessage="1" showErrorMessage="1" sqref="F25" xr:uid="{93151E68-01E2-426A-A5F6-8ECFD75BD42D}">
      <formula1>$T$5:$U$5</formula1>
    </dataValidation>
  </dataValidations>
  <hyperlinks>
    <hyperlink ref="F20" r:id="rId1" xr:uid="{1A745A74-5CFE-48B3-81B2-16C32B4F961B}"/>
  </hyperlinks>
  <pageMargins left="0.7" right="0.7" top="0.75" bottom="0.75" header="0.3" footer="0.3"/>
  <pageSetup orientation="portrait" horizontalDpi="4294967292" verticalDpi="4294967292"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EBF54D-C0A6-4A53-901D-2C9664E2DB4F}">
  <sheetPr codeName="Sheet5"/>
  <dimension ref="A1:LH241"/>
  <sheetViews>
    <sheetView showGridLines="0" showRuler="0" zoomScale="75" zoomScaleNormal="75" workbookViewId="0">
      <selection activeCell="H2" sqref="H2:J2"/>
    </sheetView>
  </sheetViews>
  <sheetFormatPr defaultColWidth="8.5703125" defaultRowHeight="15" x14ac:dyDescent="0.25"/>
  <cols>
    <col min="1" max="1" width="11.42578125" style="147" customWidth="1"/>
    <col min="2" max="2" width="14.28515625" style="1" customWidth="1"/>
    <col min="3" max="3" width="15.7109375" style="1" customWidth="1"/>
    <col min="4" max="4" width="2.85546875" style="1" customWidth="1"/>
    <col min="5" max="5" width="42.85546875" style="146" customWidth="1"/>
    <col min="6" max="6" width="8.5703125" style="146" customWidth="1"/>
    <col min="7" max="7" width="22.85546875" style="146" customWidth="1"/>
    <col min="8" max="19" width="15.7109375" style="146" customWidth="1"/>
    <col min="20" max="22" width="15.7109375" style="17" customWidth="1"/>
    <col min="23" max="23" width="12.28515625" style="17" customWidth="1"/>
    <col min="24" max="24" width="15.7109375" style="17" customWidth="1"/>
    <col min="25" max="25" width="12.28515625" style="17" customWidth="1"/>
    <col min="26" max="26" width="15.7109375" style="17" customWidth="1"/>
    <col min="27" max="27" width="12.28515625" style="17" customWidth="1"/>
    <col min="28" max="28" width="15.85546875" style="17" bestFit="1" customWidth="1"/>
    <col min="29" max="29" width="11.85546875" style="60" bestFit="1" customWidth="1"/>
    <col min="30" max="30" width="15.85546875" style="60" bestFit="1" customWidth="1"/>
    <col min="31" max="31" width="10.7109375" style="60" bestFit="1" customWidth="1"/>
    <col min="32" max="32" width="23" style="60" customWidth="1"/>
    <col min="33" max="37" width="10.140625" style="60" customWidth="1"/>
    <col min="38" max="38" width="16" style="60" bestFit="1" customWidth="1"/>
    <col min="39" max="39" width="16.5703125" style="60" bestFit="1" customWidth="1"/>
    <col min="40" max="40" width="15.42578125" style="60" bestFit="1" customWidth="1"/>
    <col min="41" max="41" width="16" style="60" bestFit="1" customWidth="1"/>
    <col min="42" max="50" width="15.42578125" style="60" bestFit="1" customWidth="1"/>
    <col min="51" max="51" width="14.42578125" style="60" bestFit="1" customWidth="1"/>
    <col min="52" max="53" width="15" style="60" bestFit="1" customWidth="1"/>
    <col min="54" max="54" width="15.42578125" style="60" bestFit="1" customWidth="1"/>
    <col min="55" max="56" width="15" style="60" bestFit="1" customWidth="1"/>
    <col min="57" max="58" width="15.42578125" style="60" bestFit="1" customWidth="1"/>
    <col min="59" max="59" width="14.42578125" style="60" bestFit="1" customWidth="1"/>
    <col min="60" max="60" width="15" style="60" bestFit="1" customWidth="1"/>
    <col min="61" max="63" width="14.42578125" style="60" bestFit="1" customWidth="1"/>
    <col min="64" max="64" width="13.85546875" style="60" bestFit="1" customWidth="1"/>
    <col min="65" max="65" width="15" style="60" bestFit="1" customWidth="1"/>
    <col min="66" max="66" width="14" style="60" bestFit="1" customWidth="1"/>
    <col min="67" max="67" width="13.140625" style="60" bestFit="1" customWidth="1"/>
    <col min="68" max="69" width="13.42578125" style="60" bestFit="1" customWidth="1"/>
    <col min="70" max="71" width="13.140625" style="60" bestFit="1" customWidth="1"/>
    <col min="72" max="74" width="13.42578125" style="60" bestFit="1" customWidth="1"/>
    <col min="75" max="75" width="14" style="60" bestFit="1" customWidth="1"/>
    <col min="76" max="76" width="13.42578125" style="60" bestFit="1" customWidth="1"/>
    <col min="77" max="78" width="14" style="60" bestFit="1" customWidth="1"/>
    <col min="79" max="79" width="13.42578125" style="60" bestFit="1" customWidth="1"/>
    <col min="80" max="82" width="14" style="60" bestFit="1" customWidth="1"/>
    <col min="83" max="84" width="13.42578125" style="60" bestFit="1" customWidth="1"/>
    <col min="85" max="86" width="13.140625" style="60" bestFit="1" customWidth="1"/>
    <col min="87" max="87" width="13.42578125" style="60" bestFit="1" customWidth="1"/>
    <col min="88" max="88" width="12" style="60" bestFit="1" customWidth="1"/>
    <col min="89" max="89" width="13.42578125" style="60" bestFit="1" customWidth="1"/>
    <col min="90" max="90" width="13.140625" style="60" bestFit="1" customWidth="1"/>
    <col min="91" max="91" width="13.42578125" style="60" bestFit="1" customWidth="1"/>
    <col min="92" max="92" width="14" style="60" bestFit="1" customWidth="1"/>
    <col min="93" max="93" width="13.42578125" style="60" bestFit="1" customWidth="1"/>
    <col min="94" max="96" width="14" style="60" bestFit="1" customWidth="1"/>
    <col min="97" max="97" width="13.42578125" style="60" bestFit="1" customWidth="1"/>
    <col min="98" max="99" width="14" style="60" bestFit="1" customWidth="1"/>
    <col min="100" max="100" width="13.42578125" style="60" bestFit="1" customWidth="1"/>
    <col min="101" max="101" width="14" style="60" bestFit="1" customWidth="1"/>
    <col min="102" max="102" width="13.42578125" style="60" bestFit="1" customWidth="1"/>
    <col min="103" max="103" width="14" style="60" bestFit="1" customWidth="1"/>
    <col min="104" max="104" width="13.42578125" style="60" bestFit="1" customWidth="1"/>
    <col min="105" max="106" width="14" style="60" bestFit="1" customWidth="1"/>
    <col min="107" max="107" width="13.140625" style="60" bestFit="1" customWidth="1"/>
    <col min="108" max="109" width="12.85546875" style="60" bestFit="1" customWidth="1"/>
    <col min="110" max="110" width="12.42578125" style="60" bestFit="1" customWidth="1"/>
    <col min="111" max="111" width="13.42578125" style="60" bestFit="1" customWidth="1"/>
    <col min="112" max="112" width="13.140625" style="60" bestFit="1" customWidth="1"/>
    <col min="113" max="113" width="13.42578125" style="60" bestFit="1" customWidth="1"/>
    <col min="114" max="118" width="14" style="60" bestFit="1" customWidth="1"/>
    <col min="119" max="120" width="13.42578125" style="60" bestFit="1" customWidth="1"/>
    <col min="121" max="122" width="14" style="60" bestFit="1" customWidth="1"/>
    <col min="123" max="123" width="13.42578125" style="60" bestFit="1" customWidth="1"/>
    <col min="124" max="128" width="14" style="60" bestFit="1" customWidth="1"/>
    <col min="129" max="132" width="13.140625" style="60" bestFit="1" customWidth="1"/>
    <col min="133" max="134" width="13.42578125" style="60" bestFit="1" customWidth="1"/>
    <col min="135" max="135" width="13.140625" style="60" bestFit="1" customWidth="1"/>
    <col min="136" max="136" width="12.85546875" style="60" bestFit="1" customWidth="1"/>
    <col min="137" max="137" width="13.42578125" style="60" bestFit="1" customWidth="1"/>
    <col min="138" max="138" width="14" style="60" bestFit="1" customWidth="1"/>
    <col min="139" max="140" width="13.42578125" style="60" bestFit="1" customWidth="1"/>
    <col min="141" max="143" width="14" style="60" bestFit="1" customWidth="1"/>
    <col min="144" max="145" width="13.42578125" style="60" bestFit="1" customWidth="1"/>
    <col min="146" max="146" width="14" style="60" bestFit="1" customWidth="1"/>
    <col min="147" max="147" width="13.42578125" style="60" bestFit="1" customWidth="1"/>
    <col min="148" max="149" width="14" style="60" bestFit="1" customWidth="1"/>
    <col min="150" max="150" width="13.42578125" style="60" bestFit="1" customWidth="1"/>
    <col min="151" max="153" width="14" style="60" bestFit="1" customWidth="1"/>
    <col min="154" max="158" width="13.42578125" style="60" bestFit="1" customWidth="1"/>
    <col min="159" max="159" width="13.140625" style="60" bestFit="1" customWidth="1"/>
    <col min="160" max="160" width="13.42578125" style="60" bestFit="1" customWidth="1"/>
    <col min="161" max="161" width="13.140625" style="60" bestFit="1" customWidth="1"/>
    <col min="162" max="166" width="14" style="60" bestFit="1" customWidth="1"/>
    <col min="167" max="167" width="13.42578125" style="60" bestFit="1" customWidth="1"/>
    <col min="168" max="168" width="14" style="60" bestFit="1" customWidth="1"/>
    <col min="169" max="169" width="13.42578125" style="60" bestFit="1" customWidth="1"/>
    <col min="170" max="173" width="14" style="60" bestFit="1" customWidth="1"/>
    <col min="174" max="174" width="13.42578125" style="60" bestFit="1" customWidth="1"/>
    <col min="175" max="177" width="14" style="60" bestFit="1" customWidth="1"/>
    <col min="178" max="179" width="13.42578125" style="60" bestFit="1" customWidth="1"/>
    <col min="180" max="180" width="13.140625" style="60" bestFit="1" customWidth="1"/>
    <col min="181" max="184" width="13.42578125" style="60" bestFit="1" customWidth="1"/>
    <col min="185" max="186" width="12.85546875" style="60" bestFit="1" customWidth="1"/>
    <col min="187" max="187" width="13.42578125" style="60" bestFit="1" customWidth="1"/>
    <col min="188" max="191" width="14" style="60" bestFit="1" customWidth="1"/>
    <col min="192" max="193" width="13.42578125" style="60" bestFit="1" customWidth="1"/>
    <col min="194" max="203" width="14" style="60" bestFit="1" customWidth="1"/>
    <col min="204" max="208" width="13.42578125" style="60" bestFit="1" customWidth="1"/>
    <col min="209" max="209" width="13.140625" style="60" bestFit="1" customWidth="1"/>
    <col min="210" max="210" width="13.42578125" style="60" bestFit="1" customWidth="1"/>
    <col min="211" max="227" width="14" style="60" bestFit="1" customWidth="1"/>
    <col min="228" max="232" width="13.42578125" style="60" bestFit="1" customWidth="1"/>
    <col min="233" max="233" width="13.140625" style="60" bestFit="1" customWidth="1"/>
    <col min="234" max="234" width="13.42578125" style="60" bestFit="1" customWidth="1"/>
    <col min="235" max="254" width="14" style="60" bestFit="1" customWidth="1"/>
    <col min="255" max="265" width="13.42578125" style="60" bestFit="1" customWidth="1"/>
    <col min="266" max="320" width="14" style="60" bestFit="1" customWidth="1"/>
    <col min="321" max="16384" width="8.5703125" style="1"/>
  </cols>
  <sheetData>
    <row r="1" spans="1:320" s="17" customFormat="1" ht="23.1" customHeight="1" x14ac:dyDescent="0.35">
      <c r="A1" s="383"/>
      <c r="B1" s="376" t="s">
        <v>121</v>
      </c>
      <c r="C1" s="377"/>
      <c r="D1" s="377"/>
      <c r="E1" s="377"/>
      <c r="F1" s="377"/>
      <c r="G1" s="378"/>
      <c r="H1" s="156"/>
      <c r="I1" s="156"/>
      <c r="J1" s="156"/>
      <c r="K1" s="156"/>
      <c r="L1" s="156"/>
      <c r="M1" s="156"/>
      <c r="N1" s="156"/>
      <c r="O1" s="156"/>
      <c r="P1" s="156"/>
      <c r="Q1" s="156"/>
      <c r="R1" s="156"/>
      <c r="S1" s="156"/>
      <c r="AC1" s="60"/>
      <c r="AD1" s="60"/>
      <c r="AE1" s="60"/>
      <c r="AF1" s="60"/>
      <c r="AG1" s="60"/>
      <c r="AH1" s="60"/>
      <c r="AI1" s="60"/>
      <c r="AJ1" s="60"/>
      <c r="AK1" s="60"/>
      <c r="AL1" s="60"/>
      <c r="AM1" s="60"/>
      <c r="AN1" s="60"/>
      <c r="AO1" s="60"/>
      <c r="AP1" s="60"/>
      <c r="AQ1" s="60"/>
      <c r="AR1" s="60"/>
      <c r="AS1" s="60"/>
      <c r="AT1" s="60"/>
      <c r="AU1" s="60"/>
      <c r="AV1" s="60"/>
      <c r="AW1" s="60"/>
      <c r="AX1" s="60"/>
      <c r="AY1" s="60"/>
      <c r="AZ1" s="60"/>
      <c r="BA1" s="60"/>
      <c r="BB1" s="60"/>
      <c r="BC1" s="60"/>
      <c r="BD1" s="60"/>
      <c r="BE1" s="60"/>
      <c r="BF1" s="60"/>
      <c r="BG1" s="60"/>
      <c r="BH1" s="60"/>
      <c r="BI1" s="60"/>
      <c r="BJ1" s="60"/>
      <c r="BK1" s="60"/>
      <c r="BL1" s="60"/>
      <c r="BM1" s="60"/>
      <c r="BN1" s="60"/>
      <c r="BO1" s="60"/>
      <c r="BP1" s="60"/>
      <c r="BQ1" s="60"/>
      <c r="BR1" s="60"/>
      <c r="BS1" s="60"/>
      <c r="BT1" s="60"/>
      <c r="BU1" s="60"/>
      <c r="BV1" s="60"/>
      <c r="BW1" s="60"/>
      <c r="BX1" s="60"/>
      <c r="BY1" s="60"/>
      <c r="BZ1" s="60"/>
      <c r="CA1" s="60"/>
      <c r="CB1" s="60"/>
      <c r="CC1" s="60"/>
      <c r="CD1" s="60"/>
      <c r="CE1" s="60"/>
      <c r="CF1" s="60"/>
      <c r="CG1" s="60"/>
      <c r="CH1" s="60"/>
      <c r="CI1" s="60"/>
      <c r="CJ1" s="60"/>
      <c r="CK1" s="60"/>
      <c r="CL1" s="60"/>
      <c r="CM1" s="60"/>
      <c r="CN1" s="60"/>
      <c r="CO1" s="60"/>
      <c r="CP1" s="60"/>
      <c r="CQ1" s="60"/>
      <c r="CR1" s="60"/>
      <c r="CS1" s="60"/>
      <c r="CT1" s="60"/>
      <c r="CU1" s="60"/>
      <c r="CV1" s="60"/>
      <c r="CW1" s="60"/>
      <c r="CX1" s="60"/>
      <c r="CY1" s="60"/>
      <c r="CZ1" s="60"/>
      <c r="DA1" s="60"/>
      <c r="DB1" s="60"/>
      <c r="DC1" s="60"/>
      <c r="DD1" s="60"/>
      <c r="DE1" s="60"/>
      <c r="DF1" s="60"/>
      <c r="DG1" s="60"/>
      <c r="DH1" s="60"/>
      <c r="DI1" s="60"/>
      <c r="DJ1" s="60"/>
      <c r="DK1" s="60"/>
      <c r="DL1" s="60"/>
      <c r="DM1" s="60"/>
      <c r="DN1" s="60"/>
      <c r="DO1" s="60"/>
      <c r="DP1" s="60"/>
      <c r="DQ1" s="60"/>
      <c r="DR1" s="60"/>
      <c r="DS1" s="60"/>
      <c r="DT1" s="60"/>
      <c r="DU1" s="60"/>
      <c r="DV1" s="60"/>
      <c r="DW1" s="60"/>
      <c r="DX1" s="60"/>
      <c r="DY1" s="60"/>
      <c r="DZ1" s="60"/>
      <c r="EA1" s="60"/>
      <c r="EB1" s="60"/>
      <c r="EC1" s="60"/>
      <c r="ED1" s="60"/>
      <c r="EE1" s="60"/>
      <c r="EF1" s="60"/>
      <c r="EG1" s="60"/>
      <c r="EH1" s="60"/>
      <c r="EI1" s="60"/>
      <c r="EJ1" s="60"/>
      <c r="EK1" s="60"/>
      <c r="EL1" s="60"/>
      <c r="EM1" s="60"/>
      <c r="EN1" s="60"/>
      <c r="EO1" s="60"/>
      <c r="EP1" s="60"/>
      <c r="EQ1" s="60"/>
      <c r="ER1" s="60"/>
      <c r="ES1" s="60"/>
      <c r="ET1" s="60"/>
      <c r="EU1" s="60"/>
      <c r="EV1" s="60"/>
      <c r="EW1" s="60"/>
      <c r="EX1" s="60"/>
      <c r="EY1" s="60"/>
      <c r="EZ1" s="60"/>
      <c r="FA1" s="60"/>
      <c r="FB1" s="60"/>
      <c r="FC1" s="60"/>
      <c r="FD1" s="60"/>
      <c r="FE1" s="60"/>
      <c r="FF1" s="60"/>
      <c r="FG1" s="60"/>
      <c r="FH1" s="60"/>
      <c r="FI1" s="60"/>
      <c r="FJ1" s="60"/>
      <c r="FK1" s="60"/>
      <c r="FL1" s="60"/>
      <c r="FM1" s="60"/>
      <c r="FN1" s="60"/>
      <c r="FO1" s="60"/>
      <c r="FP1" s="60"/>
      <c r="FQ1" s="60"/>
      <c r="FR1" s="60"/>
      <c r="FS1" s="60"/>
      <c r="FT1" s="60"/>
      <c r="FU1" s="60"/>
      <c r="FV1" s="60"/>
      <c r="FW1" s="60"/>
      <c r="FX1" s="60"/>
      <c r="FY1" s="60"/>
      <c r="FZ1" s="60"/>
      <c r="GA1" s="60"/>
      <c r="GB1" s="60"/>
      <c r="GC1" s="60"/>
      <c r="GD1" s="60"/>
      <c r="GE1" s="60"/>
      <c r="GF1" s="60"/>
      <c r="GG1" s="60"/>
      <c r="GH1" s="60"/>
      <c r="GI1" s="60"/>
      <c r="GJ1" s="60"/>
      <c r="GK1" s="60"/>
      <c r="GL1" s="60"/>
      <c r="GM1" s="60"/>
      <c r="GN1" s="60"/>
      <c r="GO1" s="60"/>
      <c r="GP1" s="60"/>
      <c r="GQ1" s="60"/>
      <c r="GR1" s="60"/>
      <c r="GS1" s="60"/>
      <c r="GT1" s="60"/>
      <c r="GU1" s="60"/>
      <c r="GV1" s="60"/>
      <c r="GW1" s="60"/>
      <c r="GX1" s="60"/>
      <c r="GY1" s="60"/>
      <c r="GZ1" s="60"/>
      <c r="HA1" s="60"/>
      <c r="HB1" s="60"/>
      <c r="HC1" s="60"/>
      <c r="HD1" s="60"/>
      <c r="HE1" s="60"/>
      <c r="HF1" s="60"/>
      <c r="HG1" s="60"/>
      <c r="HH1" s="60"/>
      <c r="HI1" s="60"/>
      <c r="HJ1" s="60"/>
      <c r="HK1" s="60"/>
      <c r="HL1" s="60"/>
      <c r="HM1" s="60"/>
      <c r="HN1" s="60"/>
      <c r="HO1" s="60"/>
      <c r="HP1" s="60"/>
      <c r="HQ1" s="60"/>
      <c r="HR1" s="60"/>
      <c r="HS1" s="60"/>
      <c r="HT1" s="60"/>
      <c r="HU1" s="60"/>
      <c r="HV1" s="60"/>
      <c r="HW1" s="60"/>
      <c r="HX1" s="60"/>
      <c r="HY1" s="60"/>
      <c r="HZ1" s="60"/>
      <c r="IA1" s="60"/>
      <c r="IB1" s="60"/>
      <c r="IC1" s="60"/>
      <c r="ID1" s="60"/>
      <c r="IE1" s="60"/>
      <c r="IF1" s="60"/>
      <c r="IG1" s="60"/>
      <c r="IH1" s="60"/>
      <c r="II1" s="60"/>
      <c r="IJ1" s="60"/>
      <c r="IK1" s="60"/>
      <c r="IL1" s="60"/>
      <c r="IM1" s="60"/>
      <c r="IN1" s="60"/>
      <c r="IO1" s="60"/>
      <c r="IP1" s="60"/>
      <c r="IQ1" s="60"/>
      <c r="IR1" s="60"/>
      <c r="IS1" s="60"/>
      <c r="IT1" s="60"/>
      <c r="IU1" s="60"/>
      <c r="IV1" s="60"/>
      <c r="IW1" s="60"/>
      <c r="IX1" s="60"/>
      <c r="IY1" s="60"/>
      <c r="IZ1" s="60"/>
      <c r="JA1" s="60"/>
      <c r="JB1" s="60"/>
      <c r="JC1" s="60"/>
      <c r="JD1" s="60"/>
      <c r="JE1" s="60"/>
      <c r="JF1" s="60"/>
      <c r="JG1" s="60"/>
      <c r="JH1" s="60"/>
      <c r="JI1" s="60"/>
      <c r="JJ1" s="60"/>
      <c r="JK1" s="60"/>
      <c r="JL1" s="60"/>
      <c r="JM1" s="60"/>
      <c r="JN1" s="60"/>
      <c r="JO1" s="60"/>
      <c r="JP1" s="60"/>
      <c r="JQ1" s="60"/>
      <c r="JR1" s="60"/>
      <c r="JS1" s="60"/>
      <c r="JT1" s="60"/>
      <c r="JU1" s="60"/>
      <c r="JV1" s="60"/>
      <c r="JW1" s="60"/>
      <c r="JX1" s="60"/>
      <c r="JY1" s="60"/>
      <c r="JZ1" s="60"/>
      <c r="KA1" s="60"/>
      <c r="KB1" s="60"/>
      <c r="KC1" s="60"/>
      <c r="KD1" s="60"/>
      <c r="KE1" s="60"/>
      <c r="KF1" s="60"/>
      <c r="KG1" s="60"/>
      <c r="KH1" s="60"/>
      <c r="KI1" s="60"/>
      <c r="KJ1" s="60"/>
      <c r="KK1" s="60"/>
      <c r="KL1" s="60"/>
      <c r="KM1" s="60"/>
      <c r="KN1" s="60"/>
      <c r="KO1" s="60"/>
      <c r="KP1" s="60"/>
      <c r="KQ1" s="60"/>
      <c r="KR1" s="60"/>
      <c r="KS1" s="60"/>
      <c r="KT1" s="60"/>
      <c r="KU1" s="60"/>
      <c r="KV1" s="60"/>
      <c r="KW1" s="60"/>
      <c r="KX1" s="60"/>
      <c r="KY1" s="60"/>
      <c r="KZ1" s="60"/>
      <c r="LA1" s="60"/>
      <c r="LB1" s="60"/>
      <c r="LC1" s="60"/>
      <c r="LD1" s="60"/>
      <c r="LE1" s="60"/>
      <c r="LF1" s="60"/>
      <c r="LG1" s="60"/>
      <c r="LH1" s="60"/>
    </row>
    <row r="2" spans="1:320" s="17" customFormat="1" ht="49.9" customHeight="1" x14ac:dyDescent="0.25">
      <c r="A2" s="383"/>
      <c r="B2" s="386" t="s">
        <v>116</v>
      </c>
      <c r="C2" s="387"/>
      <c r="D2" s="387"/>
      <c r="E2" s="387"/>
      <c r="F2" s="388">
        <v>2000</v>
      </c>
      <c r="G2" s="389"/>
      <c r="H2" s="343" t="s">
        <v>126</v>
      </c>
      <c r="I2" s="344"/>
      <c r="J2" s="344"/>
      <c r="K2" s="315"/>
      <c r="L2" s="315"/>
      <c r="M2" s="315"/>
      <c r="N2" s="315"/>
      <c r="O2" s="156"/>
      <c r="P2" s="156"/>
      <c r="Q2" s="156"/>
      <c r="R2" s="156"/>
      <c r="S2" s="156"/>
      <c r="U2" s="156"/>
      <c r="W2" s="156"/>
      <c r="Y2" s="156"/>
      <c r="AA2" s="156"/>
      <c r="AC2" s="156"/>
      <c r="AE2" s="156"/>
      <c r="AF2" s="60"/>
      <c r="AG2" s="60"/>
      <c r="AH2" s="60"/>
      <c r="AI2" s="60"/>
      <c r="AJ2" s="60"/>
      <c r="AK2" s="60"/>
      <c r="AL2" s="60"/>
      <c r="AM2" s="60"/>
      <c r="AN2" s="60"/>
      <c r="AO2" s="60"/>
      <c r="AP2" s="60"/>
      <c r="AQ2" s="60"/>
      <c r="AR2" s="60"/>
      <c r="AS2" s="60"/>
      <c r="AT2" s="60"/>
      <c r="AU2" s="60"/>
      <c r="AV2" s="60"/>
      <c r="AW2" s="60"/>
      <c r="AX2" s="60"/>
      <c r="AY2" s="60"/>
      <c r="AZ2" s="60"/>
      <c r="BA2" s="60"/>
      <c r="BB2" s="60"/>
      <c r="BC2" s="60"/>
      <c r="BD2" s="60"/>
      <c r="BE2" s="60"/>
      <c r="BF2" s="60"/>
      <c r="BG2" s="60"/>
      <c r="BH2" s="60"/>
      <c r="BI2" s="60"/>
      <c r="BJ2" s="60"/>
      <c r="BK2" s="60"/>
      <c r="BL2" s="60"/>
      <c r="BM2" s="60"/>
      <c r="BN2" s="60"/>
      <c r="BO2" s="60"/>
      <c r="BP2" s="60"/>
      <c r="BQ2" s="60"/>
      <c r="BR2" s="60"/>
      <c r="BS2" s="60"/>
      <c r="BT2" s="60"/>
      <c r="BU2" s="60"/>
      <c r="BV2" s="60"/>
      <c r="BW2" s="60"/>
      <c r="BX2" s="60"/>
      <c r="BY2" s="60"/>
      <c r="BZ2" s="60"/>
      <c r="CA2" s="60"/>
      <c r="CB2" s="60"/>
      <c r="CC2" s="60"/>
      <c r="CD2" s="60"/>
      <c r="CE2" s="60"/>
      <c r="CF2" s="60"/>
      <c r="CG2" s="60"/>
      <c r="CH2" s="60"/>
      <c r="CI2" s="60"/>
      <c r="CJ2" s="60"/>
      <c r="CK2" s="60"/>
      <c r="CL2" s="60"/>
      <c r="CM2" s="60"/>
      <c r="CN2" s="60"/>
      <c r="CO2" s="60"/>
      <c r="CP2" s="60"/>
      <c r="CQ2" s="60"/>
      <c r="CR2" s="60"/>
      <c r="CS2" s="60"/>
      <c r="CT2" s="60"/>
      <c r="CU2" s="60"/>
      <c r="CV2" s="60"/>
      <c r="CW2" s="60"/>
      <c r="CX2" s="60"/>
      <c r="CY2" s="60"/>
      <c r="CZ2" s="60"/>
      <c r="DA2" s="60"/>
      <c r="DB2" s="60"/>
      <c r="DC2" s="60"/>
      <c r="DD2" s="60"/>
      <c r="DE2" s="60"/>
      <c r="DF2" s="60"/>
      <c r="DG2" s="60"/>
      <c r="DH2" s="60"/>
      <c r="DI2" s="60"/>
      <c r="DJ2" s="60"/>
      <c r="DK2" s="60"/>
      <c r="DL2" s="60"/>
      <c r="DM2" s="60"/>
      <c r="DN2" s="60"/>
      <c r="DO2" s="60"/>
      <c r="DP2" s="60"/>
      <c r="DQ2" s="60"/>
      <c r="DR2" s="60"/>
      <c r="DS2" s="60"/>
      <c r="DT2" s="60"/>
      <c r="DU2" s="60"/>
      <c r="DV2" s="60"/>
      <c r="DW2" s="60"/>
      <c r="DX2" s="60"/>
      <c r="DY2" s="60"/>
      <c r="DZ2" s="60"/>
      <c r="EA2" s="60"/>
      <c r="EB2" s="60"/>
      <c r="EC2" s="60"/>
      <c r="ED2" s="60"/>
      <c r="EE2" s="60"/>
      <c r="EF2" s="60"/>
      <c r="EG2" s="60"/>
      <c r="EH2" s="60"/>
      <c r="EI2" s="60"/>
      <c r="EJ2" s="60"/>
      <c r="EK2" s="60"/>
      <c r="EL2" s="60"/>
      <c r="EM2" s="60"/>
      <c r="EN2" s="60"/>
      <c r="EO2" s="60"/>
      <c r="EP2" s="60"/>
      <c r="EQ2" s="60"/>
      <c r="ER2" s="60"/>
      <c r="ES2" s="60"/>
      <c r="ET2" s="60"/>
      <c r="EU2" s="60"/>
      <c r="EV2" s="60"/>
      <c r="EW2" s="60"/>
      <c r="EX2" s="60"/>
      <c r="EY2" s="60"/>
      <c r="EZ2" s="60"/>
      <c r="FA2" s="60"/>
      <c r="FB2" s="60"/>
      <c r="FC2" s="60"/>
      <c r="FD2" s="60"/>
      <c r="FE2" s="60"/>
      <c r="FF2" s="60"/>
      <c r="FG2" s="60"/>
      <c r="FH2" s="60"/>
      <c r="FI2" s="60"/>
      <c r="FJ2" s="60"/>
      <c r="FK2" s="60"/>
      <c r="FL2" s="60"/>
      <c r="FM2" s="60"/>
      <c r="FN2" s="60"/>
      <c r="FO2" s="60"/>
      <c r="FP2" s="60"/>
      <c r="FQ2" s="60"/>
      <c r="FR2" s="60"/>
      <c r="FS2" s="60"/>
      <c r="FT2" s="60"/>
      <c r="FU2" s="60"/>
      <c r="FV2" s="60"/>
      <c r="FW2" s="60"/>
      <c r="FX2" s="60"/>
      <c r="FY2" s="60"/>
      <c r="FZ2" s="60"/>
      <c r="GA2" s="60"/>
      <c r="GB2" s="60"/>
      <c r="GC2" s="60"/>
      <c r="GD2" s="60"/>
      <c r="GE2" s="60"/>
      <c r="GF2" s="60"/>
      <c r="GG2" s="60"/>
      <c r="GH2" s="60"/>
      <c r="GI2" s="60"/>
      <c r="GJ2" s="60"/>
      <c r="GK2" s="60"/>
      <c r="GL2" s="60"/>
      <c r="GM2" s="60"/>
      <c r="GN2" s="60"/>
      <c r="GO2" s="60"/>
      <c r="GP2" s="60"/>
      <c r="GQ2" s="60"/>
      <c r="GR2" s="60"/>
      <c r="GS2" s="60"/>
      <c r="GT2" s="60"/>
      <c r="GU2" s="60"/>
      <c r="GV2" s="60"/>
      <c r="GW2" s="60"/>
      <c r="GX2" s="60"/>
      <c r="GY2" s="60"/>
      <c r="GZ2" s="60"/>
      <c r="HA2" s="60"/>
      <c r="HB2" s="60"/>
      <c r="HC2" s="60"/>
      <c r="HD2" s="60"/>
      <c r="HE2" s="60"/>
      <c r="HF2" s="60"/>
      <c r="HG2" s="60"/>
      <c r="HH2" s="60"/>
      <c r="HI2" s="60"/>
      <c r="HJ2" s="60"/>
      <c r="HK2" s="60"/>
      <c r="HL2" s="60"/>
      <c r="HM2" s="60"/>
      <c r="HN2" s="60"/>
      <c r="HO2" s="60"/>
      <c r="HP2" s="60"/>
      <c r="HQ2" s="60"/>
      <c r="HR2" s="60"/>
      <c r="HS2" s="60"/>
      <c r="HT2" s="60"/>
      <c r="HU2" s="60"/>
      <c r="HV2" s="60"/>
      <c r="HW2" s="60"/>
      <c r="HX2" s="60"/>
      <c r="HY2" s="60"/>
      <c r="HZ2" s="60"/>
      <c r="IA2" s="60"/>
      <c r="IB2" s="60"/>
      <c r="IC2" s="60"/>
      <c r="ID2" s="60"/>
      <c r="IE2" s="60"/>
      <c r="IF2" s="60"/>
      <c r="IG2" s="60"/>
      <c r="IH2" s="60"/>
      <c r="II2" s="60"/>
      <c r="IJ2" s="60"/>
      <c r="IK2" s="60"/>
      <c r="IL2" s="60"/>
      <c r="IM2" s="60"/>
      <c r="IN2" s="60"/>
      <c r="IO2" s="60"/>
      <c r="IP2" s="60"/>
      <c r="IQ2" s="60"/>
      <c r="IR2" s="60"/>
      <c r="IS2" s="60"/>
      <c r="IT2" s="60"/>
      <c r="IU2" s="60"/>
      <c r="IV2" s="60"/>
      <c r="IW2" s="60"/>
      <c r="IX2" s="60"/>
      <c r="IY2" s="60"/>
      <c r="IZ2" s="60"/>
      <c r="JA2" s="60"/>
      <c r="JB2" s="60"/>
      <c r="JC2" s="60"/>
      <c r="JD2" s="60"/>
      <c r="JE2" s="60"/>
      <c r="JF2" s="60"/>
      <c r="JG2" s="60"/>
      <c r="JH2" s="60"/>
      <c r="JI2" s="60"/>
      <c r="JJ2" s="60"/>
      <c r="JK2" s="60"/>
      <c r="JL2" s="60"/>
      <c r="JM2" s="60"/>
      <c r="JN2" s="60"/>
      <c r="JO2" s="60"/>
      <c r="JP2" s="60"/>
      <c r="JQ2" s="60"/>
      <c r="JR2" s="60"/>
      <c r="JS2" s="60"/>
      <c r="JT2" s="60"/>
      <c r="JU2" s="60"/>
      <c r="JV2" s="60"/>
      <c r="JW2" s="60"/>
      <c r="JX2" s="60"/>
      <c r="JY2" s="60"/>
      <c r="JZ2" s="60"/>
      <c r="KA2" s="60"/>
      <c r="KB2" s="60"/>
      <c r="KC2" s="60"/>
      <c r="KD2" s="60"/>
      <c r="KE2" s="60"/>
      <c r="KF2" s="60"/>
      <c r="KG2" s="60"/>
      <c r="KH2" s="60"/>
      <c r="KI2" s="60"/>
      <c r="KJ2" s="60"/>
      <c r="KK2" s="60"/>
      <c r="KL2" s="60"/>
      <c r="KM2" s="60"/>
      <c r="KN2" s="60"/>
      <c r="KO2" s="60"/>
      <c r="KP2" s="60"/>
      <c r="KQ2" s="60"/>
      <c r="KR2" s="60"/>
      <c r="KS2" s="60"/>
      <c r="KT2" s="60"/>
      <c r="KU2" s="60"/>
      <c r="KV2" s="60"/>
      <c r="KW2" s="60"/>
      <c r="KX2" s="60"/>
      <c r="KY2" s="60"/>
      <c r="KZ2" s="60"/>
      <c r="LA2" s="60"/>
      <c r="LB2" s="60"/>
      <c r="LC2" s="60"/>
      <c r="LD2" s="60"/>
      <c r="LE2" s="60"/>
      <c r="LF2" s="60"/>
      <c r="LG2" s="60"/>
      <c r="LH2" s="60"/>
    </row>
    <row r="3" spans="1:320" s="223" customFormat="1" ht="18" customHeight="1" x14ac:dyDescent="0.35">
      <c r="A3" s="383"/>
      <c r="B3" s="390" t="s">
        <v>115</v>
      </c>
      <c r="C3" s="391"/>
      <c r="D3" s="391"/>
      <c r="E3" s="391"/>
      <c r="F3" s="234" t="str">
        <f>"1:"</f>
        <v>1:</v>
      </c>
      <c r="G3" s="235">
        <f>F2/MAX(Create!F15:F20)</f>
        <v>200</v>
      </c>
      <c r="H3" s="222" t="str">
        <f>IF(G3&lt;1, "This dilution is not possible", " ")</f>
        <v xml:space="preserve"> </v>
      </c>
      <c r="AF3" s="224"/>
      <c r="AG3" s="224"/>
      <c r="AH3" s="224"/>
      <c r="AI3" s="224"/>
      <c r="AJ3" s="224"/>
      <c r="AK3" s="224"/>
      <c r="AL3" s="224"/>
      <c r="AM3" s="224"/>
      <c r="AN3" s="224"/>
      <c r="AO3" s="224"/>
      <c r="AP3" s="224"/>
      <c r="AQ3" s="224"/>
      <c r="AR3" s="224"/>
      <c r="AS3" s="224"/>
      <c r="AT3" s="224"/>
      <c r="AU3" s="224"/>
      <c r="AV3" s="224"/>
      <c r="AW3" s="224"/>
      <c r="AX3" s="224"/>
      <c r="AY3" s="224"/>
      <c r="AZ3" s="224"/>
      <c r="BA3" s="224"/>
      <c r="BB3" s="224"/>
      <c r="BC3" s="224"/>
      <c r="BD3" s="224"/>
      <c r="BE3" s="224"/>
      <c r="BF3" s="224"/>
      <c r="BG3" s="224"/>
      <c r="BH3" s="224"/>
      <c r="BI3" s="224"/>
      <c r="BJ3" s="224"/>
      <c r="BK3" s="224"/>
      <c r="BL3" s="224"/>
      <c r="BM3" s="224"/>
      <c r="BN3" s="224"/>
      <c r="BO3" s="224"/>
      <c r="BP3" s="224"/>
      <c r="BQ3" s="224"/>
      <c r="BR3" s="224"/>
      <c r="BS3" s="224"/>
      <c r="BT3" s="224"/>
      <c r="BU3" s="224"/>
      <c r="BV3" s="224"/>
      <c r="BW3" s="224"/>
      <c r="BX3" s="224"/>
      <c r="BY3" s="224"/>
      <c r="BZ3" s="224"/>
      <c r="CA3" s="224"/>
      <c r="CB3" s="224"/>
      <c r="CC3" s="224"/>
      <c r="CD3" s="224"/>
      <c r="CE3" s="224"/>
      <c r="CF3" s="224"/>
      <c r="CG3" s="224"/>
      <c r="CH3" s="224"/>
      <c r="CI3" s="224"/>
      <c r="CJ3" s="224"/>
      <c r="CK3" s="224"/>
      <c r="CL3" s="224"/>
      <c r="CM3" s="224"/>
      <c r="CN3" s="224"/>
      <c r="CO3" s="224"/>
      <c r="CP3" s="224"/>
      <c r="CQ3" s="224"/>
      <c r="CR3" s="224"/>
      <c r="CS3" s="224"/>
      <c r="CT3" s="224"/>
      <c r="CU3" s="224"/>
      <c r="CV3" s="224"/>
      <c r="CW3" s="224"/>
      <c r="CX3" s="224"/>
      <c r="CY3" s="224"/>
      <c r="CZ3" s="224"/>
      <c r="DA3" s="224"/>
      <c r="DB3" s="224"/>
      <c r="DC3" s="224"/>
      <c r="DD3" s="224"/>
      <c r="DE3" s="224"/>
      <c r="DF3" s="224"/>
      <c r="DG3" s="224"/>
      <c r="DH3" s="224"/>
      <c r="DI3" s="224"/>
      <c r="DJ3" s="224"/>
      <c r="DK3" s="224"/>
      <c r="DL3" s="224"/>
      <c r="DM3" s="224"/>
      <c r="DN3" s="224"/>
      <c r="DO3" s="224"/>
      <c r="DP3" s="224"/>
      <c r="DQ3" s="224"/>
      <c r="DR3" s="224"/>
      <c r="DS3" s="224"/>
      <c r="DT3" s="224"/>
      <c r="DU3" s="224"/>
      <c r="DV3" s="224"/>
      <c r="DW3" s="224"/>
      <c r="DX3" s="224"/>
      <c r="DY3" s="224"/>
      <c r="DZ3" s="224"/>
      <c r="EA3" s="224"/>
      <c r="EB3" s="224"/>
      <c r="EC3" s="224"/>
      <c r="ED3" s="224"/>
      <c r="EE3" s="224"/>
      <c r="EF3" s="224"/>
      <c r="EG3" s="224"/>
      <c r="EH3" s="224"/>
      <c r="EI3" s="224"/>
      <c r="EJ3" s="224"/>
      <c r="EK3" s="224"/>
      <c r="EL3" s="224"/>
      <c r="EM3" s="224"/>
      <c r="EN3" s="224"/>
      <c r="EO3" s="224"/>
      <c r="EP3" s="224"/>
      <c r="EQ3" s="224"/>
      <c r="ER3" s="224"/>
      <c r="ES3" s="224"/>
      <c r="ET3" s="224"/>
      <c r="EU3" s="224"/>
      <c r="EV3" s="224"/>
      <c r="EW3" s="224"/>
      <c r="EX3" s="224"/>
      <c r="EY3" s="224"/>
      <c r="EZ3" s="224"/>
      <c r="FA3" s="224"/>
      <c r="FB3" s="224"/>
      <c r="FC3" s="224"/>
      <c r="FD3" s="224"/>
      <c r="FE3" s="224"/>
      <c r="FF3" s="224"/>
      <c r="FG3" s="224"/>
      <c r="FH3" s="224"/>
      <c r="FI3" s="224"/>
      <c r="FJ3" s="224"/>
      <c r="FK3" s="224"/>
      <c r="FL3" s="224"/>
      <c r="FM3" s="224"/>
      <c r="FN3" s="224"/>
      <c r="FO3" s="224"/>
      <c r="FP3" s="224"/>
      <c r="FQ3" s="224"/>
      <c r="FR3" s="224"/>
      <c r="FS3" s="224"/>
      <c r="FT3" s="224"/>
      <c r="FU3" s="224"/>
      <c r="FV3" s="224"/>
      <c r="FW3" s="224"/>
      <c r="FX3" s="224"/>
      <c r="FY3" s="224"/>
      <c r="FZ3" s="224"/>
      <c r="GA3" s="224"/>
      <c r="GB3" s="224"/>
      <c r="GC3" s="224"/>
      <c r="GD3" s="224"/>
      <c r="GE3" s="224"/>
      <c r="GF3" s="224"/>
      <c r="GG3" s="224"/>
      <c r="GH3" s="224"/>
      <c r="GI3" s="224"/>
      <c r="GJ3" s="224"/>
      <c r="GK3" s="224"/>
      <c r="GL3" s="224"/>
      <c r="GM3" s="224"/>
      <c r="GN3" s="224"/>
      <c r="GO3" s="224"/>
      <c r="GP3" s="224"/>
      <c r="GQ3" s="224"/>
      <c r="GR3" s="224"/>
      <c r="GS3" s="224"/>
      <c r="GT3" s="224"/>
      <c r="GU3" s="224"/>
      <c r="GV3" s="224"/>
      <c r="GW3" s="224"/>
      <c r="GX3" s="224"/>
      <c r="GY3" s="224"/>
      <c r="GZ3" s="224"/>
      <c r="HA3" s="224"/>
      <c r="HB3" s="224"/>
      <c r="HC3" s="224"/>
      <c r="HD3" s="224"/>
      <c r="HE3" s="224"/>
      <c r="HF3" s="224"/>
      <c r="HG3" s="224"/>
      <c r="HH3" s="224"/>
      <c r="HI3" s="224"/>
      <c r="HJ3" s="224"/>
      <c r="HK3" s="224"/>
      <c r="HL3" s="224"/>
      <c r="HM3" s="224"/>
      <c r="HN3" s="224"/>
      <c r="HO3" s="224"/>
      <c r="HP3" s="224"/>
      <c r="HQ3" s="224"/>
      <c r="HR3" s="224"/>
      <c r="HS3" s="224"/>
      <c r="HT3" s="224"/>
      <c r="HU3" s="224"/>
      <c r="HV3" s="224"/>
      <c r="HW3" s="224"/>
      <c r="HX3" s="224"/>
      <c r="HY3" s="224"/>
      <c r="HZ3" s="224"/>
      <c r="IA3" s="224"/>
      <c r="IB3" s="224"/>
      <c r="IC3" s="224"/>
      <c r="ID3" s="224"/>
      <c r="IE3" s="224"/>
      <c r="IF3" s="224"/>
      <c r="IG3" s="224"/>
      <c r="IH3" s="224"/>
      <c r="II3" s="224"/>
      <c r="IJ3" s="224"/>
      <c r="IK3" s="224"/>
      <c r="IL3" s="224"/>
      <c r="IM3" s="224"/>
      <c r="IN3" s="224"/>
      <c r="IO3" s="224"/>
      <c r="IP3" s="224"/>
      <c r="IQ3" s="224"/>
      <c r="IR3" s="224"/>
      <c r="IS3" s="224"/>
      <c r="IT3" s="224"/>
      <c r="IU3" s="224"/>
      <c r="IV3" s="224"/>
      <c r="IW3" s="224"/>
      <c r="IX3" s="224"/>
      <c r="IY3" s="224"/>
      <c r="IZ3" s="224"/>
      <c r="JA3" s="224"/>
      <c r="JB3" s="224"/>
      <c r="JC3" s="224"/>
      <c r="JD3" s="224"/>
      <c r="JE3" s="224"/>
      <c r="JF3" s="224"/>
      <c r="JG3" s="224"/>
      <c r="JH3" s="224"/>
      <c r="JI3" s="224"/>
      <c r="JJ3" s="224"/>
      <c r="JK3" s="224"/>
      <c r="JL3" s="224"/>
      <c r="JM3" s="224"/>
      <c r="JN3" s="224"/>
      <c r="JO3" s="224"/>
      <c r="JP3" s="224"/>
      <c r="JQ3" s="224"/>
      <c r="JR3" s="224"/>
      <c r="JS3" s="224"/>
      <c r="JT3" s="224"/>
      <c r="JU3" s="224"/>
      <c r="JV3" s="224"/>
      <c r="JW3" s="224"/>
      <c r="JX3" s="224"/>
      <c r="JY3" s="224"/>
      <c r="JZ3" s="224"/>
      <c r="KA3" s="224"/>
      <c r="KB3" s="224"/>
      <c r="KC3" s="224"/>
      <c r="KD3" s="224"/>
      <c r="KE3" s="224"/>
      <c r="KF3" s="224"/>
      <c r="KG3" s="224"/>
      <c r="KH3" s="224"/>
      <c r="KI3" s="224"/>
      <c r="KJ3" s="224"/>
      <c r="KK3" s="224"/>
      <c r="KL3" s="224"/>
      <c r="KM3" s="224"/>
      <c r="KN3" s="224"/>
      <c r="KO3" s="224"/>
      <c r="KP3" s="224"/>
      <c r="KQ3" s="224"/>
      <c r="KR3" s="224"/>
      <c r="KS3" s="224"/>
      <c r="KT3" s="224"/>
      <c r="KU3" s="224"/>
      <c r="KV3" s="224"/>
      <c r="KW3" s="224"/>
      <c r="KX3" s="224"/>
      <c r="KY3" s="224"/>
      <c r="KZ3" s="224"/>
      <c r="LA3" s="224"/>
      <c r="LB3" s="224"/>
      <c r="LC3" s="224"/>
      <c r="LD3" s="224"/>
      <c r="LE3" s="224"/>
      <c r="LF3" s="224"/>
      <c r="LG3" s="224"/>
      <c r="LH3" s="224"/>
    </row>
    <row r="4" spans="1:320" s="223" customFormat="1" ht="18" customHeight="1" x14ac:dyDescent="0.35">
      <c r="A4" s="383"/>
      <c r="B4" s="390" t="s">
        <v>114</v>
      </c>
      <c r="C4" s="391"/>
      <c r="D4" s="391"/>
      <c r="E4" s="391"/>
      <c r="F4" s="392">
        <f>Create!F15/Create!F16</f>
        <v>2.8571428571428572</v>
      </c>
      <c r="G4" s="393"/>
      <c r="H4" s="225"/>
      <c r="I4" s="226"/>
      <c r="J4" s="227">
        <v>1</v>
      </c>
      <c r="K4" s="228"/>
      <c r="L4" s="226">
        <v>2</v>
      </c>
      <c r="M4" s="226"/>
      <c r="N4" s="226">
        <v>3</v>
      </c>
      <c r="O4" s="226"/>
      <c r="P4" s="226">
        <v>4</v>
      </c>
      <c r="Q4" s="226"/>
      <c r="R4" s="226">
        <v>5</v>
      </c>
      <c r="S4" s="226"/>
      <c r="T4" s="226">
        <v>6</v>
      </c>
      <c r="U4" s="226"/>
      <c r="V4" s="226">
        <v>7</v>
      </c>
      <c r="W4" s="226"/>
      <c r="X4" s="226">
        <v>8</v>
      </c>
      <c r="Y4" s="226"/>
      <c r="Z4" s="226">
        <v>9</v>
      </c>
      <c r="AA4" s="226"/>
      <c r="AB4" s="226">
        <v>10</v>
      </c>
      <c r="AC4" s="226"/>
      <c r="AD4" s="226">
        <v>11</v>
      </c>
      <c r="AE4" s="226"/>
      <c r="AF4" s="224">
        <v>12</v>
      </c>
      <c r="AG4" s="224"/>
      <c r="AH4" s="224"/>
      <c r="AI4" s="229"/>
      <c r="AJ4" s="224"/>
      <c r="AK4" s="224"/>
      <c r="AL4" s="224"/>
      <c r="AM4" s="224"/>
      <c r="AN4" s="224"/>
      <c r="AO4" s="224"/>
      <c r="AP4" s="224"/>
      <c r="AQ4" s="224"/>
      <c r="AR4" s="224"/>
      <c r="AS4" s="224"/>
      <c r="AT4" s="224"/>
      <c r="AU4" s="224"/>
      <c r="AV4" s="224"/>
      <c r="AW4" s="224"/>
      <c r="AX4" s="224"/>
      <c r="AY4" s="224"/>
      <c r="AZ4" s="224"/>
      <c r="BA4" s="224"/>
      <c r="BB4" s="224"/>
      <c r="BC4" s="224"/>
      <c r="BD4" s="224"/>
      <c r="BE4" s="224"/>
      <c r="BF4" s="224"/>
      <c r="BG4" s="224"/>
      <c r="BH4" s="224"/>
      <c r="BI4" s="224"/>
      <c r="BJ4" s="224"/>
      <c r="BK4" s="224"/>
      <c r="BL4" s="224"/>
      <c r="BM4" s="224"/>
      <c r="BN4" s="224"/>
      <c r="BO4" s="224"/>
      <c r="BP4" s="224"/>
      <c r="BQ4" s="224"/>
      <c r="BR4" s="224"/>
      <c r="BS4" s="224"/>
      <c r="BT4" s="224"/>
      <c r="BU4" s="224"/>
      <c r="BV4" s="224"/>
      <c r="BW4" s="224"/>
      <c r="BX4" s="224"/>
      <c r="BY4" s="224"/>
      <c r="BZ4" s="224"/>
      <c r="CA4" s="224"/>
      <c r="CB4" s="224"/>
      <c r="CC4" s="224"/>
      <c r="CD4" s="224"/>
      <c r="CE4" s="224"/>
      <c r="CF4" s="224"/>
      <c r="CG4" s="224"/>
      <c r="CH4" s="224"/>
      <c r="CI4" s="224"/>
      <c r="CJ4" s="224"/>
      <c r="CK4" s="224"/>
      <c r="CL4" s="224"/>
      <c r="CM4" s="224"/>
      <c r="CN4" s="224"/>
      <c r="CO4" s="224"/>
      <c r="CP4" s="224"/>
      <c r="CQ4" s="224"/>
      <c r="CR4" s="224"/>
      <c r="CS4" s="224"/>
      <c r="CT4" s="224"/>
      <c r="CU4" s="224"/>
      <c r="CV4" s="224"/>
      <c r="CW4" s="224"/>
      <c r="CX4" s="224"/>
      <c r="CY4" s="224"/>
      <c r="CZ4" s="224"/>
      <c r="DA4" s="224"/>
      <c r="DB4" s="224"/>
      <c r="DC4" s="224"/>
      <c r="DD4" s="224"/>
      <c r="DE4" s="224"/>
      <c r="DF4" s="224"/>
      <c r="DG4" s="224"/>
      <c r="DH4" s="224"/>
      <c r="DI4" s="224"/>
      <c r="DJ4" s="224"/>
      <c r="DK4" s="224"/>
      <c r="DL4" s="224"/>
      <c r="DM4" s="224"/>
      <c r="DN4" s="224"/>
      <c r="DO4" s="224"/>
      <c r="DP4" s="224"/>
      <c r="DQ4" s="224"/>
      <c r="DR4" s="224"/>
      <c r="DS4" s="224"/>
      <c r="DT4" s="224"/>
      <c r="DU4" s="224"/>
      <c r="DV4" s="224"/>
      <c r="DW4" s="224"/>
      <c r="DX4" s="224"/>
      <c r="DY4" s="224"/>
      <c r="DZ4" s="224"/>
      <c r="EA4" s="224"/>
      <c r="EB4" s="224"/>
      <c r="EC4" s="224"/>
      <c r="ED4" s="224"/>
      <c r="EE4" s="224"/>
      <c r="EF4" s="224"/>
      <c r="EG4" s="224"/>
      <c r="EH4" s="224"/>
      <c r="EI4" s="224"/>
      <c r="EJ4" s="224"/>
      <c r="EK4" s="224"/>
      <c r="EL4" s="224"/>
      <c r="EM4" s="224"/>
      <c r="EN4" s="224"/>
      <c r="EO4" s="224"/>
      <c r="EP4" s="224"/>
      <c r="EQ4" s="224"/>
      <c r="ER4" s="224"/>
      <c r="ES4" s="224"/>
      <c r="ET4" s="224"/>
      <c r="EU4" s="224"/>
      <c r="EV4" s="224"/>
      <c r="EW4" s="224"/>
      <c r="EX4" s="224"/>
      <c r="EY4" s="224"/>
      <c r="EZ4" s="224"/>
      <c r="FA4" s="224"/>
      <c r="FB4" s="224"/>
      <c r="FC4" s="224"/>
      <c r="FD4" s="224"/>
      <c r="FE4" s="224"/>
      <c r="FF4" s="224"/>
      <c r="FG4" s="224"/>
      <c r="FH4" s="224"/>
      <c r="FI4" s="224"/>
      <c r="FJ4" s="224"/>
      <c r="FK4" s="224"/>
      <c r="FL4" s="224"/>
      <c r="FM4" s="224"/>
      <c r="FN4" s="224"/>
      <c r="FO4" s="224"/>
      <c r="FP4" s="224"/>
      <c r="FQ4" s="224"/>
      <c r="FR4" s="224"/>
      <c r="FS4" s="224"/>
      <c r="FT4" s="224"/>
      <c r="FU4" s="224"/>
      <c r="FV4" s="224"/>
      <c r="FW4" s="224"/>
      <c r="FX4" s="224"/>
      <c r="FY4" s="224"/>
      <c r="FZ4" s="224"/>
      <c r="GA4" s="224"/>
      <c r="GB4" s="224"/>
      <c r="GC4" s="224"/>
      <c r="GD4" s="224"/>
      <c r="GE4" s="224"/>
      <c r="GF4" s="224"/>
      <c r="GG4" s="224"/>
      <c r="GH4" s="224"/>
      <c r="GI4" s="224"/>
      <c r="GJ4" s="224"/>
      <c r="GK4" s="224"/>
      <c r="GL4" s="224"/>
      <c r="GM4" s="224"/>
      <c r="GN4" s="224"/>
      <c r="GO4" s="224"/>
      <c r="GP4" s="224"/>
      <c r="GQ4" s="224"/>
      <c r="GR4" s="224"/>
      <c r="GS4" s="224"/>
      <c r="GT4" s="224"/>
      <c r="GU4" s="224"/>
      <c r="GV4" s="224"/>
      <c r="GW4" s="224"/>
      <c r="GX4" s="224"/>
      <c r="GY4" s="224"/>
      <c r="GZ4" s="224"/>
      <c r="HA4" s="224"/>
      <c r="HB4" s="224"/>
      <c r="HC4" s="224"/>
      <c r="HD4" s="224"/>
      <c r="HE4" s="224"/>
      <c r="HF4" s="224"/>
      <c r="HG4" s="224"/>
      <c r="HH4" s="224"/>
      <c r="HI4" s="224"/>
      <c r="HJ4" s="224"/>
      <c r="HK4" s="224"/>
      <c r="HL4" s="224"/>
      <c r="HM4" s="224"/>
      <c r="HN4" s="224"/>
      <c r="HO4" s="224"/>
      <c r="HP4" s="224"/>
      <c r="HQ4" s="224"/>
      <c r="HR4" s="224"/>
      <c r="HS4" s="224"/>
      <c r="HT4" s="224"/>
      <c r="HU4" s="224"/>
      <c r="HV4" s="224"/>
      <c r="HW4" s="224"/>
      <c r="HX4" s="224"/>
      <c r="HY4" s="224"/>
      <c r="HZ4" s="224"/>
      <c r="IA4" s="224"/>
      <c r="IB4" s="224"/>
      <c r="IC4" s="224"/>
      <c r="ID4" s="224"/>
      <c r="IE4" s="224"/>
      <c r="IF4" s="224"/>
      <c r="IG4" s="224"/>
      <c r="IH4" s="224"/>
      <c r="II4" s="224"/>
      <c r="IJ4" s="224"/>
      <c r="IK4" s="224"/>
      <c r="IL4" s="224"/>
      <c r="IM4" s="224"/>
      <c r="IN4" s="224"/>
      <c r="IO4" s="224"/>
      <c r="IP4" s="224"/>
      <c r="IQ4" s="224"/>
      <c r="IR4" s="224"/>
      <c r="IS4" s="224"/>
      <c r="IT4" s="224"/>
      <c r="IU4" s="224"/>
      <c r="IV4" s="224"/>
      <c r="IW4" s="224"/>
      <c r="IX4" s="224"/>
      <c r="IY4" s="224"/>
      <c r="IZ4" s="224"/>
      <c r="JA4" s="224"/>
      <c r="JB4" s="224"/>
      <c r="JC4" s="224"/>
      <c r="JD4" s="224"/>
      <c r="JE4" s="224"/>
      <c r="JF4" s="224"/>
      <c r="JG4" s="224"/>
      <c r="JH4" s="224"/>
      <c r="JI4" s="224"/>
      <c r="JJ4" s="224"/>
      <c r="JK4" s="224"/>
      <c r="JL4" s="224"/>
      <c r="JM4" s="224"/>
      <c r="JN4" s="224"/>
      <c r="JO4" s="224"/>
      <c r="JP4" s="224"/>
      <c r="JQ4" s="224"/>
      <c r="JR4" s="224"/>
      <c r="JS4" s="224"/>
      <c r="JT4" s="224"/>
      <c r="JU4" s="224"/>
      <c r="JV4" s="224"/>
      <c r="JW4" s="224"/>
      <c r="JX4" s="224"/>
      <c r="JY4" s="224"/>
      <c r="JZ4" s="224"/>
      <c r="KA4" s="224"/>
      <c r="KB4" s="224"/>
      <c r="KC4" s="224"/>
      <c r="KD4" s="224"/>
      <c r="KE4" s="224"/>
      <c r="KF4" s="224"/>
      <c r="KG4" s="224"/>
      <c r="KH4" s="224"/>
      <c r="KI4" s="224"/>
      <c r="KJ4" s="224"/>
      <c r="KK4" s="224"/>
      <c r="KL4" s="224"/>
      <c r="KM4" s="224"/>
      <c r="KN4" s="224"/>
      <c r="KO4" s="224"/>
      <c r="KP4" s="224"/>
      <c r="KQ4" s="224"/>
      <c r="KR4" s="224"/>
      <c r="KS4" s="224"/>
      <c r="KT4" s="224"/>
      <c r="KU4" s="224"/>
      <c r="KV4" s="224"/>
      <c r="KW4" s="224"/>
      <c r="KX4" s="224"/>
      <c r="KY4" s="224"/>
      <c r="KZ4" s="224"/>
      <c r="LA4" s="224"/>
      <c r="LB4" s="224"/>
      <c r="LC4" s="224"/>
      <c r="LD4" s="224"/>
      <c r="LE4" s="224"/>
      <c r="LF4" s="224"/>
      <c r="LG4" s="224"/>
      <c r="LH4" s="224"/>
    </row>
    <row r="5" spans="1:320" s="223" customFormat="1" ht="18" customHeight="1" x14ac:dyDescent="0.35">
      <c r="A5" s="383"/>
      <c r="B5" s="390" t="s">
        <v>113</v>
      </c>
      <c r="C5" s="391"/>
      <c r="D5" s="391"/>
      <c r="E5" s="391"/>
      <c r="F5" s="394">
        <f>Create!F6</f>
        <v>2</v>
      </c>
      <c r="G5" s="395"/>
      <c r="H5" s="230"/>
      <c r="I5" s="346" t="str">
        <f>IF(Create!H2 = "Yes", "This whole serial dilution needs to be done " &amp; Create!C6 &amp; " time(s), once for each Conjugate", IF(Create!E6 = 1, "Bla", "This whole serial dilution needs to be done " &amp; Create!E6 &amp; " times, once for each Detect"))</f>
        <v>Bla</v>
      </c>
      <c r="J5" s="346"/>
      <c r="K5" s="346"/>
      <c r="L5" s="346"/>
      <c r="M5" s="346"/>
      <c r="N5" s="231"/>
      <c r="O5" s="231"/>
      <c r="P5" s="231"/>
      <c r="Q5" s="231"/>
      <c r="R5" s="232"/>
      <c r="S5" s="232"/>
      <c r="T5" s="224" t="s">
        <v>112</v>
      </c>
      <c r="U5" s="232"/>
      <c r="V5" s="224" t="s">
        <v>112</v>
      </c>
      <c r="W5" s="232"/>
      <c r="X5" s="224" t="s">
        <v>112</v>
      </c>
      <c r="Y5" s="232"/>
      <c r="Z5" s="224" t="s">
        <v>112</v>
      </c>
      <c r="AA5" s="232"/>
      <c r="AB5" s="224" t="s">
        <v>112</v>
      </c>
      <c r="AC5" s="232"/>
      <c r="AD5" s="224" t="s">
        <v>112</v>
      </c>
      <c r="AE5" s="232"/>
      <c r="AF5" s="224"/>
      <c r="AG5" s="224"/>
      <c r="AH5" s="224"/>
      <c r="AI5" s="224"/>
      <c r="AJ5" s="224"/>
      <c r="AK5" s="224"/>
      <c r="AL5" s="224"/>
      <c r="AM5" s="224"/>
      <c r="AN5" s="224"/>
      <c r="AO5" s="224"/>
      <c r="AP5" s="224"/>
      <c r="AQ5" s="224"/>
      <c r="AR5" s="224"/>
      <c r="AS5" s="224"/>
      <c r="AT5" s="224"/>
      <c r="AU5" s="224"/>
      <c r="AV5" s="224"/>
      <c r="AW5" s="224"/>
      <c r="AX5" s="224"/>
      <c r="AY5" s="224"/>
      <c r="AZ5" s="224"/>
      <c r="BA5" s="224"/>
      <c r="BB5" s="224"/>
      <c r="BC5" s="224"/>
      <c r="BD5" s="224"/>
      <c r="BE5" s="224"/>
      <c r="BF5" s="224"/>
      <c r="BG5" s="224"/>
      <c r="BH5" s="224"/>
      <c r="BI5" s="224"/>
      <c r="BJ5" s="224"/>
      <c r="BK5" s="224"/>
      <c r="BL5" s="224"/>
      <c r="BM5" s="224"/>
      <c r="BN5" s="224"/>
      <c r="BO5" s="224"/>
      <c r="BP5" s="224"/>
      <c r="BQ5" s="224"/>
      <c r="BR5" s="224"/>
      <c r="BS5" s="224"/>
      <c r="BT5" s="224"/>
      <c r="BU5" s="224"/>
      <c r="BV5" s="224"/>
      <c r="BW5" s="224"/>
      <c r="BX5" s="224"/>
      <c r="BY5" s="224"/>
      <c r="BZ5" s="224"/>
      <c r="CA5" s="224"/>
      <c r="CB5" s="224"/>
      <c r="CC5" s="224"/>
      <c r="CD5" s="224"/>
      <c r="CE5" s="224"/>
      <c r="CF5" s="224"/>
      <c r="CG5" s="224"/>
      <c r="CH5" s="224"/>
      <c r="CI5" s="224"/>
      <c r="CJ5" s="224"/>
      <c r="CK5" s="224"/>
      <c r="CL5" s="224"/>
      <c r="CM5" s="224"/>
      <c r="CN5" s="224"/>
      <c r="CO5" s="224"/>
      <c r="CP5" s="224"/>
      <c r="CQ5" s="224"/>
      <c r="CR5" s="224"/>
      <c r="CS5" s="224"/>
      <c r="CT5" s="224"/>
      <c r="CU5" s="224"/>
      <c r="CV5" s="224"/>
      <c r="CW5" s="224"/>
      <c r="CX5" s="224"/>
      <c r="CY5" s="224"/>
      <c r="CZ5" s="224"/>
      <c r="DA5" s="224"/>
      <c r="DB5" s="224"/>
      <c r="DC5" s="224"/>
      <c r="DD5" s="224"/>
      <c r="DE5" s="224"/>
      <c r="DF5" s="224"/>
      <c r="DG5" s="224"/>
      <c r="DH5" s="224"/>
      <c r="DI5" s="224"/>
      <c r="DJ5" s="224"/>
      <c r="DK5" s="224"/>
      <c r="DL5" s="224"/>
      <c r="DM5" s="224"/>
      <c r="DN5" s="224"/>
      <c r="DO5" s="224"/>
      <c r="DP5" s="224"/>
      <c r="DQ5" s="224"/>
      <c r="DR5" s="224"/>
      <c r="DS5" s="224"/>
      <c r="DT5" s="224"/>
      <c r="DU5" s="224"/>
      <c r="DV5" s="224"/>
      <c r="DW5" s="224"/>
      <c r="DX5" s="224"/>
      <c r="DY5" s="224"/>
      <c r="DZ5" s="224"/>
      <c r="EA5" s="224"/>
      <c r="EB5" s="224"/>
      <c r="EC5" s="224"/>
      <c r="ED5" s="224"/>
      <c r="EE5" s="224"/>
      <c r="EF5" s="224"/>
      <c r="EG5" s="224"/>
      <c r="EH5" s="224"/>
      <c r="EI5" s="224"/>
      <c r="EJ5" s="224"/>
      <c r="EK5" s="224"/>
      <c r="EL5" s="224"/>
      <c r="EM5" s="224"/>
      <c r="EN5" s="224"/>
      <c r="EO5" s="224"/>
      <c r="EP5" s="224"/>
      <c r="EQ5" s="224"/>
      <c r="ER5" s="224"/>
      <c r="ES5" s="224"/>
      <c r="ET5" s="224"/>
      <c r="EU5" s="224"/>
      <c r="EV5" s="224"/>
      <c r="EW5" s="224"/>
      <c r="EX5" s="224"/>
      <c r="EY5" s="224"/>
      <c r="EZ5" s="224"/>
      <c r="FA5" s="224"/>
      <c r="FB5" s="224"/>
      <c r="FC5" s="224"/>
      <c r="FD5" s="224"/>
      <c r="FE5" s="224"/>
      <c r="FF5" s="224"/>
      <c r="FG5" s="224"/>
      <c r="FH5" s="224"/>
      <c r="FI5" s="224"/>
      <c r="FJ5" s="224"/>
      <c r="FK5" s="224"/>
      <c r="FL5" s="224"/>
      <c r="FM5" s="224"/>
      <c r="FN5" s="224"/>
      <c r="FO5" s="224"/>
      <c r="FP5" s="224"/>
      <c r="FQ5" s="224"/>
      <c r="FR5" s="224"/>
      <c r="FS5" s="224"/>
      <c r="FT5" s="224"/>
      <c r="FU5" s="224"/>
      <c r="FV5" s="224"/>
      <c r="FW5" s="224"/>
      <c r="FX5" s="224"/>
      <c r="FY5" s="224"/>
      <c r="FZ5" s="224"/>
      <c r="GA5" s="224"/>
      <c r="GB5" s="224"/>
      <c r="GC5" s="224"/>
      <c r="GD5" s="224"/>
      <c r="GE5" s="224"/>
      <c r="GF5" s="224"/>
      <c r="GG5" s="224"/>
      <c r="GH5" s="224"/>
      <c r="GI5" s="224"/>
      <c r="GJ5" s="224"/>
      <c r="GK5" s="224"/>
      <c r="GL5" s="224"/>
      <c r="GM5" s="224"/>
      <c r="GN5" s="224"/>
      <c r="GO5" s="224"/>
      <c r="GP5" s="224"/>
      <c r="GQ5" s="224"/>
      <c r="GR5" s="224"/>
      <c r="GS5" s="224"/>
      <c r="GT5" s="224"/>
      <c r="GU5" s="224"/>
      <c r="GV5" s="224"/>
      <c r="GW5" s="224"/>
      <c r="GX5" s="224"/>
      <c r="GY5" s="224"/>
      <c r="GZ5" s="224"/>
      <c r="HA5" s="224"/>
      <c r="HB5" s="224"/>
      <c r="HC5" s="224"/>
      <c r="HD5" s="224"/>
      <c r="HE5" s="224"/>
      <c r="HF5" s="224"/>
      <c r="HG5" s="224"/>
      <c r="HH5" s="224"/>
      <c r="HI5" s="224"/>
      <c r="HJ5" s="224"/>
      <c r="HK5" s="224"/>
      <c r="HL5" s="224"/>
      <c r="HM5" s="224"/>
      <c r="HN5" s="224"/>
      <c r="HO5" s="224"/>
      <c r="HP5" s="224"/>
      <c r="HQ5" s="224"/>
      <c r="HR5" s="224"/>
      <c r="HS5" s="224"/>
      <c r="HT5" s="224"/>
      <c r="HU5" s="224"/>
      <c r="HV5" s="224"/>
      <c r="HW5" s="224"/>
      <c r="HX5" s="224"/>
      <c r="HY5" s="224"/>
      <c r="HZ5" s="224"/>
      <c r="IA5" s="224"/>
      <c r="IB5" s="224"/>
      <c r="IC5" s="224"/>
      <c r="ID5" s="224"/>
      <c r="IE5" s="224"/>
      <c r="IF5" s="224"/>
      <c r="IG5" s="224"/>
      <c r="IH5" s="224"/>
      <c r="II5" s="224"/>
      <c r="IJ5" s="224"/>
      <c r="IK5" s="224"/>
      <c r="IL5" s="224"/>
      <c r="IM5" s="224"/>
      <c r="IN5" s="224"/>
      <c r="IO5" s="224"/>
      <c r="IP5" s="224"/>
      <c r="IQ5" s="224"/>
      <c r="IR5" s="224"/>
      <c r="IS5" s="224"/>
      <c r="IT5" s="224"/>
      <c r="IU5" s="224"/>
      <c r="IV5" s="224"/>
      <c r="IW5" s="224"/>
      <c r="IX5" s="224"/>
      <c r="IY5" s="224"/>
      <c r="IZ5" s="224"/>
      <c r="JA5" s="224"/>
      <c r="JB5" s="224"/>
      <c r="JC5" s="224"/>
      <c r="JD5" s="224"/>
      <c r="JE5" s="224"/>
      <c r="JF5" s="224"/>
      <c r="JG5" s="224"/>
      <c r="JH5" s="224"/>
      <c r="JI5" s="224"/>
      <c r="JJ5" s="224"/>
      <c r="JK5" s="224"/>
      <c r="JL5" s="224"/>
      <c r="JM5" s="224"/>
      <c r="JN5" s="224"/>
      <c r="JO5" s="224"/>
      <c r="JP5" s="224"/>
      <c r="JQ5" s="224"/>
      <c r="JR5" s="224"/>
      <c r="JS5" s="224"/>
      <c r="JT5" s="224"/>
      <c r="JU5" s="224"/>
      <c r="JV5" s="224"/>
      <c r="JW5" s="224"/>
      <c r="JX5" s="224"/>
      <c r="JY5" s="224"/>
      <c r="JZ5" s="224"/>
      <c r="KA5" s="224"/>
      <c r="KB5" s="224"/>
      <c r="KC5" s="224"/>
      <c r="KD5" s="224"/>
      <c r="KE5" s="224"/>
      <c r="KF5" s="224"/>
      <c r="KG5" s="224"/>
      <c r="KH5" s="224"/>
      <c r="KI5" s="224"/>
      <c r="KJ5" s="224"/>
      <c r="KK5" s="224"/>
      <c r="KL5" s="224"/>
      <c r="KM5" s="224"/>
      <c r="KN5" s="224"/>
      <c r="KO5" s="224"/>
      <c r="KP5" s="224"/>
      <c r="KQ5" s="224"/>
      <c r="KR5" s="224"/>
      <c r="KS5" s="224"/>
      <c r="KT5" s="224"/>
      <c r="KU5" s="224"/>
      <c r="KV5" s="224"/>
      <c r="KW5" s="224"/>
      <c r="KX5" s="224"/>
      <c r="KY5" s="224"/>
      <c r="KZ5" s="224"/>
      <c r="LA5" s="224"/>
      <c r="LB5" s="224"/>
      <c r="LC5" s="224"/>
      <c r="LD5" s="224"/>
      <c r="LE5" s="224"/>
      <c r="LF5" s="224"/>
      <c r="LG5" s="224"/>
      <c r="LH5" s="224"/>
    </row>
    <row r="6" spans="1:320" s="223" customFormat="1" ht="18" customHeight="1" x14ac:dyDescent="0.35">
      <c r="A6" s="383"/>
      <c r="B6" s="390" t="str">
        <f>IF(F25="on","how many wells for dilution 1 :","how many wells for each dilutions :")</f>
        <v>how many wells for each dilutions :</v>
      </c>
      <c r="C6" s="391"/>
      <c r="D6" s="391"/>
      <c r="E6" s="391"/>
      <c r="F6" s="394">
        <f>IF(Create!H2="Yes", ROUNDUP(((Create!F7*Create!F8)/Create!C6)*1.2, 0), ROUNDUP(((Create!F7*Create!F8)/Create!E6)*1.2, 0))</f>
        <v>29</v>
      </c>
      <c r="G6" s="395"/>
      <c r="H6" s="230"/>
      <c r="I6" s="346"/>
      <c r="J6" s="346"/>
      <c r="K6" s="346"/>
      <c r="L6" s="346"/>
      <c r="M6" s="346"/>
      <c r="N6" s="231"/>
      <c r="O6" s="231"/>
      <c r="P6" s="231"/>
      <c r="Q6" s="231"/>
      <c r="R6" s="232"/>
      <c r="S6" s="232"/>
      <c r="T6" s="224"/>
      <c r="U6" s="232"/>
      <c r="V6" s="224"/>
      <c r="W6" s="232"/>
      <c r="X6" s="224"/>
      <c r="Y6" s="232"/>
      <c r="Z6" s="224"/>
      <c r="AA6" s="232"/>
      <c r="AB6" s="224"/>
      <c r="AC6" s="232"/>
      <c r="AD6" s="224"/>
      <c r="AE6" s="232"/>
      <c r="AF6" s="224"/>
      <c r="AG6" s="224"/>
      <c r="AH6" s="224"/>
      <c r="AI6" s="224"/>
      <c r="AJ6" s="224"/>
      <c r="AK6" s="224"/>
      <c r="AL6" s="224"/>
      <c r="AM6" s="224"/>
      <c r="AN6" s="224"/>
      <c r="AO6" s="224"/>
      <c r="AP6" s="224"/>
      <c r="AQ6" s="224"/>
      <c r="AR6" s="224"/>
      <c r="AS6" s="224"/>
      <c r="AT6" s="224"/>
      <c r="AU6" s="224"/>
      <c r="AV6" s="224"/>
      <c r="AW6" s="224"/>
      <c r="AX6" s="224"/>
      <c r="AY6" s="224"/>
      <c r="AZ6" s="224"/>
      <c r="BA6" s="224"/>
      <c r="BB6" s="224"/>
      <c r="BC6" s="224"/>
      <c r="BD6" s="224"/>
      <c r="BE6" s="224"/>
      <c r="BF6" s="224"/>
      <c r="BG6" s="224"/>
      <c r="BH6" s="224"/>
      <c r="BI6" s="224"/>
      <c r="BJ6" s="224"/>
      <c r="BK6" s="224"/>
      <c r="BL6" s="224"/>
      <c r="BM6" s="224"/>
      <c r="BN6" s="224"/>
      <c r="BO6" s="224"/>
      <c r="BP6" s="224"/>
      <c r="BQ6" s="224"/>
      <c r="BR6" s="224"/>
      <c r="BS6" s="224"/>
      <c r="BT6" s="224"/>
      <c r="BU6" s="224"/>
      <c r="BV6" s="224"/>
      <c r="BW6" s="224"/>
      <c r="BX6" s="224"/>
      <c r="BY6" s="224"/>
      <c r="BZ6" s="224"/>
      <c r="CA6" s="224"/>
      <c r="CB6" s="224"/>
      <c r="CC6" s="224"/>
      <c r="CD6" s="224"/>
      <c r="CE6" s="224"/>
      <c r="CF6" s="224"/>
      <c r="CG6" s="224"/>
      <c r="CH6" s="224"/>
      <c r="CI6" s="224"/>
      <c r="CJ6" s="224"/>
      <c r="CK6" s="224"/>
      <c r="CL6" s="224"/>
      <c r="CM6" s="224"/>
      <c r="CN6" s="224"/>
      <c r="CO6" s="224"/>
      <c r="CP6" s="224"/>
      <c r="CQ6" s="224"/>
      <c r="CR6" s="224"/>
      <c r="CS6" s="224"/>
      <c r="CT6" s="224"/>
      <c r="CU6" s="224"/>
      <c r="CV6" s="224"/>
      <c r="CW6" s="224"/>
      <c r="CX6" s="224"/>
      <c r="CY6" s="224"/>
      <c r="CZ6" s="224"/>
      <c r="DA6" s="224"/>
      <c r="DB6" s="224"/>
      <c r="DC6" s="224"/>
      <c r="DD6" s="224"/>
      <c r="DE6" s="224"/>
      <c r="DF6" s="224"/>
      <c r="DG6" s="224"/>
      <c r="DH6" s="224"/>
      <c r="DI6" s="224"/>
      <c r="DJ6" s="224"/>
      <c r="DK6" s="224"/>
      <c r="DL6" s="224"/>
      <c r="DM6" s="224"/>
      <c r="DN6" s="224"/>
      <c r="DO6" s="224"/>
      <c r="DP6" s="224"/>
      <c r="DQ6" s="224"/>
      <c r="DR6" s="224"/>
      <c r="DS6" s="224"/>
      <c r="DT6" s="224"/>
      <c r="DU6" s="224"/>
      <c r="DV6" s="224"/>
      <c r="DW6" s="224"/>
      <c r="DX6" s="224"/>
      <c r="DY6" s="224"/>
      <c r="DZ6" s="224"/>
      <c r="EA6" s="224"/>
      <c r="EB6" s="224"/>
      <c r="EC6" s="224"/>
      <c r="ED6" s="224"/>
      <c r="EE6" s="224"/>
      <c r="EF6" s="224"/>
      <c r="EG6" s="224"/>
      <c r="EH6" s="224"/>
      <c r="EI6" s="224"/>
      <c r="EJ6" s="224"/>
      <c r="EK6" s="224"/>
      <c r="EL6" s="224"/>
      <c r="EM6" s="224"/>
      <c r="EN6" s="224"/>
      <c r="EO6" s="224"/>
      <c r="EP6" s="224"/>
      <c r="EQ6" s="224"/>
      <c r="ER6" s="224"/>
      <c r="ES6" s="224"/>
      <c r="ET6" s="224"/>
      <c r="EU6" s="224"/>
      <c r="EV6" s="224"/>
      <c r="EW6" s="224"/>
      <c r="EX6" s="224"/>
      <c r="EY6" s="224"/>
      <c r="EZ6" s="224"/>
      <c r="FA6" s="224"/>
      <c r="FB6" s="224"/>
      <c r="FC6" s="224"/>
      <c r="FD6" s="224"/>
      <c r="FE6" s="224"/>
      <c r="FF6" s="224"/>
      <c r="FG6" s="224"/>
      <c r="FH6" s="224"/>
      <c r="FI6" s="224"/>
      <c r="FJ6" s="224"/>
      <c r="FK6" s="224"/>
      <c r="FL6" s="224"/>
      <c r="FM6" s="224"/>
      <c r="FN6" s="224"/>
      <c r="FO6" s="224"/>
      <c r="FP6" s="224"/>
      <c r="FQ6" s="224"/>
      <c r="FR6" s="224"/>
      <c r="FS6" s="224"/>
      <c r="FT6" s="224"/>
      <c r="FU6" s="224"/>
      <c r="FV6" s="224"/>
      <c r="FW6" s="224"/>
      <c r="FX6" s="224"/>
      <c r="FY6" s="224"/>
      <c r="FZ6" s="224"/>
      <c r="GA6" s="224"/>
      <c r="GB6" s="224"/>
      <c r="GC6" s="224"/>
      <c r="GD6" s="224"/>
      <c r="GE6" s="224"/>
      <c r="GF6" s="224"/>
      <c r="GG6" s="224"/>
      <c r="GH6" s="224"/>
      <c r="GI6" s="224"/>
      <c r="GJ6" s="224"/>
      <c r="GK6" s="224"/>
      <c r="GL6" s="224"/>
      <c r="GM6" s="224"/>
      <c r="GN6" s="224"/>
      <c r="GO6" s="224"/>
      <c r="GP6" s="224"/>
      <c r="GQ6" s="224"/>
      <c r="GR6" s="224"/>
      <c r="GS6" s="224"/>
      <c r="GT6" s="224"/>
      <c r="GU6" s="224"/>
      <c r="GV6" s="224"/>
      <c r="GW6" s="224"/>
      <c r="GX6" s="224"/>
      <c r="GY6" s="224"/>
      <c r="GZ6" s="224"/>
      <c r="HA6" s="224"/>
      <c r="HB6" s="224"/>
      <c r="HC6" s="224"/>
      <c r="HD6" s="224"/>
      <c r="HE6" s="224"/>
      <c r="HF6" s="224"/>
      <c r="HG6" s="224"/>
      <c r="HH6" s="224"/>
      <c r="HI6" s="224"/>
      <c r="HJ6" s="224"/>
      <c r="HK6" s="224"/>
      <c r="HL6" s="224"/>
      <c r="HM6" s="224"/>
      <c r="HN6" s="224"/>
      <c r="HO6" s="224"/>
      <c r="HP6" s="224"/>
      <c r="HQ6" s="224"/>
      <c r="HR6" s="224"/>
      <c r="HS6" s="224"/>
      <c r="HT6" s="224"/>
      <c r="HU6" s="224"/>
      <c r="HV6" s="224"/>
      <c r="HW6" s="224"/>
      <c r="HX6" s="224"/>
      <c r="HY6" s="224"/>
      <c r="HZ6" s="224"/>
      <c r="IA6" s="224"/>
      <c r="IB6" s="224"/>
      <c r="IC6" s="224"/>
      <c r="ID6" s="224"/>
      <c r="IE6" s="224"/>
      <c r="IF6" s="224"/>
      <c r="IG6" s="224"/>
      <c r="IH6" s="224"/>
      <c r="II6" s="224"/>
      <c r="IJ6" s="224"/>
      <c r="IK6" s="224"/>
      <c r="IL6" s="224"/>
      <c r="IM6" s="224"/>
      <c r="IN6" s="224"/>
      <c r="IO6" s="224"/>
      <c r="IP6" s="224"/>
      <c r="IQ6" s="224"/>
      <c r="IR6" s="224"/>
      <c r="IS6" s="224"/>
      <c r="IT6" s="224"/>
      <c r="IU6" s="224"/>
      <c r="IV6" s="224"/>
      <c r="IW6" s="224"/>
      <c r="IX6" s="224"/>
      <c r="IY6" s="224"/>
      <c r="IZ6" s="224"/>
      <c r="JA6" s="224"/>
      <c r="JB6" s="224"/>
      <c r="JC6" s="224"/>
      <c r="JD6" s="224"/>
      <c r="JE6" s="224"/>
      <c r="JF6" s="224"/>
      <c r="JG6" s="224"/>
      <c r="JH6" s="224"/>
      <c r="JI6" s="224"/>
      <c r="JJ6" s="224"/>
      <c r="JK6" s="224"/>
      <c r="JL6" s="224"/>
      <c r="JM6" s="224"/>
      <c r="JN6" s="224"/>
      <c r="JO6" s="224"/>
      <c r="JP6" s="224"/>
      <c r="JQ6" s="224"/>
      <c r="JR6" s="224"/>
      <c r="JS6" s="224"/>
      <c r="JT6" s="224"/>
      <c r="JU6" s="224"/>
      <c r="JV6" s="224"/>
      <c r="JW6" s="224"/>
      <c r="JX6" s="224"/>
      <c r="JY6" s="224"/>
      <c r="JZ6" s="224"/>
      <c r="KA6" s="224"/>
      <c r="KB6" s="224"/>
      <c r="KC6" s="224"/>
      <c r="KD6" s="224"/>
      <c r="KE6" s="224"/>
      <c r="KF6" s="224"/>
      <c r="KG6" s="224"/>
      <c r="KH6" s="224"/>
      <c r="KI6" s="224"/>
      <c r="KJ6" s="224"/>
      <c r="KK6" s="224"/>
      <c r="KL6" s="224"/>
      <c r="KM6" s="224"/>
      <c r="KN6" s="224"/>
      <c r="KO6" s="224"/>
      <c r="KP6" s="224"/>
      <c r="KQ6" s="224"/>
      <c r="KR6" s="224"/>
      <c r="KS6" s="224"/>
      <c r="KT6" s="224"/>
      <c r="KU6" s="224"/>
      <c r="KV6" s="224"/>
      <c r="KW6" s="224"/>
      <c r="KX6" s="224"/>
      <c r="KY6" s="224"/>
      <c r="KZ6" s="224"/>
      <c r="LA6" s="224"/>
      <c r="LB6" s="224"/>
      <c r="LC6" s="224"/>
      <c r="LD6" s="224"/>
      <c r="LE6" s="224"/>
      <c r="LF6" s="224"/>
      <c r="LG6" s="224"/>
      <c r="LH6" s="224"/>
    </row>
    <row r="7" spans="1:320" ht="37.5" customHeight="1" thickBot="1" x14ac:dyDescent="0.3">
      <c r="A7" s="383"/>
      <c r="B7" s="398" t="s">
        <v>111</v>
      </c>
      <c r="C7" s="399"/>
      <c r="D7" s="399"/>
      <c r="E7" s="399"/>
      <c r="F7" s="400">
        <v>50</v>
      </c>
      <c r="G7" s="401"/>
      <c r="H7" s="190"/>
      <c r="I7" s="346"/>
      <c r="J7" s="346"/>
      <c r="K7" s="346"/>
      <c r="L7" s="346"/>
      <c r="M7" s="346"/>
      <c r="N7" s="156"/>
      <c r="O7" s="156"/>
      <c r="P7" s="156"/>
      <c r="Q7" s="156"/>
      <c r="T7" s="60"/>
      <c r="U7" s="146"/>
      <c r="V7" s="60"/>
      <c r="W7" s="146"/>
      <c r="X7" s="60"/>
      <c r="Y7" s="146"/>
      <c r="Z7" s="60"/>
      <c r="AA7" s="146"/>
      <c r="AB7" s="60"/>
      <c r="AC7" s="146"/>
      <c r="AE7" s="146"/>
    </row>
    <row r="8" spans="1:320" ht="16.5" customHeight="1" x14ac:dyDescent="0.25">
      <c r="A8" s="384"/>
      <c r="B8" s="362"/>
      <c r="C8" s="362"/>
      <c r="D8" s="362"/>
      <c r="E8" s="362"/>
      <c r="F8" s="369"/>
      <c r="G8" s="369"/>
      <c r="H8" s="156"/>
      <c r="J8" s="189"/>
      <c r="K8" s="189"/>
      <c r="L8" s="156"/>
      <c r="M8" s="156"/>
      <c r="N8" s="156"/>
      <c r="O8" s="156"/>
      <c r="P8" s="156"/>
      <c r="Q8" s="156"/>
      <c r="T8" s="60"/>
      <c r="U8" s="146"/>
      <c r="V8" s="60"/>
      <c r="W8" s="146"/>
      <c r="X8" s="60"/>
      <c r="Y8" s="146"/>
      <c r="Z8" s="60"/>
      <c r="AA8" s="146"/>
      <c r="AB8" s="60"/>
      <c r="AC8" s="146"/>
      <c r="AE8" s="146"/>
    </row>
    <row r="9" spans="1:320" s="17" customFormat="1" ht="48.95" customHeight="1" thickBot="1" x14ac:dyDescent="0.3">
      <c r="A9" s="385"/>
      <c r="B9" s="396"/>
      <c r="C9" s="397"/>
      <c r="D9" s="397"/>
      <c r="E9" s="397"/>
      <c r="F9" s="397"/>
      <c r="G9" s="397"/>
      <c r="H9" s="397"/>
      <c r="I9" s="397"/>
      <c r="J9" s="397"/>
      <c r="K9" s="188"/>
      <c r="L9" s="188"/>
      <c r="M9" s="188"/>
      <c r="N9" s="188"/>
      <c r="O9" s="188"/>
      <c r="P9" s="188"/>
      <c r="Q9" s="188"/>
      <c r="R9" s="156"/>
      <c r="S9" s="156"/>
      <c r="T9" s="187"/>
      <c r="U9" s="156"/>
      <c r="V9" s="187"/>
      <c r="W9" s="156"/>
      <c r="X9" s="187"/>
      <c r="Y9" s="156"/>
      <c r="Z9" s="187"/>
      <c r="AA9" s="156"/>
      <c r="AB9" s="187"/>
      <c r="AC9" s="156"/>
      <c r="AD9" s="187"/>
      <c r="AE9" s="156"/>
      <c r="AF9" s="60"/>
      <c r="AG9" s="60"/>
      <c r="AH9" s="60"/>
      <c r="AI9" s="60"/>
      <c r="AJ9" s="60"/>
      <c r="AK9" s="60"/>
      <c r="AL9" s="60"/>
      <c r="AM9" s="60"/>
      <c r="AN9" s="60"/>
      <c r="AO9" s="60"/>
      <c r="AP9" s="60"/>
      <c r="AQ9" s="60"/>
      <c r="AR9" s="60"/>
      <c r="AS9" s="60"/>
      <c r="AT9" s="60"/>
      <c r="AU9" s="60"/>
      <c r="AV9" s="60"/>
      <c r="AW9" s="60"/>
      <c r="AX9" s="60"/>
      <c r="AY9" s="60"/>
      <c r="AZ9" s="60"/>
      <c r="BA9" s="60"/>
      <c r="BB9" s="60"/>
      <c r="BC9" s="60"/>
      <c r="BD9" s="60"/>
      <c r="BE9" s="60"/>
      <c r="BF9" s="60"/>
      <c r="BG9" s="60"/>
      <c r="BH9" s="60"/>
      <c r="BI9" s="60"/>
      <c r="BJ9" s="60"/>
      <c r="BK9" s="60"/>
      <c r="BL9" s="60"/>
      <c r="BM9" s="60"/>
      <c r="BN9" s="60"/>
      <c r="BO9" s="60"/>
      <c r="BP9" s="60"/>
      <c r="BQ9" s="60"/>
      <c r="BR9" s="60"/>
      <c r="BS9" s="60"/>
      <c r="BT9" s="60"/>
      <c r="BU9" s="60"/>
      <c r="BV9" s="60"/>
      <c r="BW9" s="60"/>
      <c r="BX9" s="60"/>
      <c r="BY9" s="60"/>
      <c r="BZ9" s="60"/>
      <c r="CA9" s="60"/>
      <c r="CB9" s="60"/>
      <c r="CC9" s="60"/>
      <c r="CD9" s="60"/>
      <c r="CE9" s="60"/>
      <c r="CF9" s="60"/>
      <c r="CG9" s="60"/>
      <c r="CH9" s="60"/>
      <c r="CI9" s="60"/>
      <c r="CJ9" s="60"/>
      <c r="CK9" s="60"/>
      <c r="CL9" s="60"/>
      <c r="CM9" s="60"/>
      <c r="CN9" s="60"/>
      <c r="CO9" s="60"/>
      <c r="CP9" s="60"/>
      <c r="CQ9" s="60"/>
      <c r="CR9" s="60"/>
      <c r="CS9" s="60"/>
      <c r="CT9" s="60"/>
      <c r="CU9" s="60"/>
      <c r="CV9" s="60"/>
      <c r="CW9" s="60"/>
      <c r="CX9" s="60"/>
      <c r="CY9" s="60"/>
      <c r="CZ9" s="60"/>
      <c r="DA9" s="60"/>
      <c r="DB9" s="60"/>
      <c r="DC9" s="60"/>
      <c r="DD9" s="60"/>
      <c r="DE9" s="60"/>
      <c r="DF9" s="60"/>
      <c r="DG9" s="60"/>
      <c r="DH9" s="60"/>
      <c r="DI9" s="60"/>
      <c r="DJ9" s="60"/>
      <c r="DK9" s="60"/>
      <c r="DL9" s="60"/>
      <c r="DM9" s="60"/>
      <c r="DN9" s="60"/>
      <c r="DO9" s="60"/>
      <c r="DP9" s="60"/>
      <c r="DQ9" s="60"/>
      <c r="DR9" s="60"/>
      <c r="DS9" s="60"/>
      <c r="DT9" s="60"/>
      <c r="DU9" s="60"/>
      <c r="DV9" s="60"/>
      <c r="DW9" s="60"/>
      <c r="DX9" s="60"/>
      <c r="DY9" s="60"/>
      <c r="DZ9" s="60"/>
      <c r="EA9" s="60"/>
      <c r="EB9" s="60"/>
      <c r="EC9" s="60"/>
      <c r="ED9" s="60"/>
      <c r="EE9" s="60"/>
      <c r="EF9" s="60"/>
      <c r="EG9" s="60"/>
      <c r="EH9" s="60"/>
      <c r="EI9" s="60"/>
      <c r="EJ9" s="60"/>
      <c r="EK9" s="60"/>
      <c r="EL9" s="60"/>
      <c r="EM9" s="60"/>
      <c r="EN9" s="60"/>
      <c r="EO9" s="60"/>
      <c r="EP9" s="60"/>
      <c r="EQ9" s="60"/>
      <c r="ER9" s="60"/>
      <c r="ES9" s="60"/>
      <c r="ET9" s="60"/>
      <c r="EU9" s="60"/>
      <c r="EV9" s="60"/>
      <c r="EW9" s="60"/>
      <c r="EX9" s="60"/>
      <c r="EY9" s="60"/>
      <c r="EZ9" s="60"/>
      <c r="FA9" s="60"/>
      <c r="FB9" s="60"/>
      <c r="FC9" s="60"/>
      <c r="FD9" s="60"/>
      <c r="FE9" s="60"/>
      <c r="FF9" s="60"/>
      <c r="FG9" s="60"/>
      <c r="FH9" s="60"/>
      <c r="FI9" s="60"/>
      <c r="FJ9" s="60"/>
      <c r="FK9" s="60"/>
      <c r="FL9" s="60"/>
      <c r="FM9" s="60"/>
      <c r="FN9" s="60"/>
      <c r="FO9" s="60"/>
      <c r="FP9" s="60"/>
      <c r="FQ9" s="60"/>
      <c r="FR9" s="60"/>
      <c r="FS9" s="60"/>
      <c r="FT9" s="60"/>
      <c r="FU9" s="60"/>
      <c r="FV9" s="60"/>
      <c r="FW9" s="60"/>
      <c r="FX9" s="60"/>
      <c r="FY9" s="60"/>
      <c r="FZ9" s="60"/>
      <c r="GA9" s="60"/>
      <c r="GB9" s="60"/>
      <c r="GC9" s="60"/>
      <c r="GD9" s="60"/>
      <c r="GE9" s="60"/>
      <c r="GF9" s="60"/>
      <c r="GG9" s="60"/>
      <c r="GH9" s="60"/>
      <c r="GI9" s="60"/>
      <c r="GJ9" s="60"/>
      <c r="GK9" s="60"/>
      <c r="GL9" s="60"/>
      <c r="GM9" s="60"/>
      <c r="GN9" s="60"/>
      <c r="GO9" s="60"/>
      <c r="GP9" s="60"/>
      <c r="GQ9" s="60"/>
      <c r="GR9" s="60"/>
      <c r="GS9" s="60"/>
      <c r="GT9" s="60"/>
      <c r="GU9" s="60"/>
      <c r="GV9" s="60"/>
      <c r="GW9" s="60"/>
      <c r="GX9" s="60"/>
      <c r="GY9" s="60"/>
      <c r="GZ9" s="60"/>
      <c r="HA9" s="60"/>
      <c r="HB9" s="60"/>
      <c r="HC9" s="60"/>
      <c r="HD9" s="60"/>
      <c r="HE9" s="60"/>
      <c r="HF9" s="60"/>
      <c r="HG9" s="60"/>
      <c r="HH9" s="60"/>
      <c r="HI9" s="60"/>
      <c r="HJ9" s="60"/>
      <c r="HK9" s="60"/>
      <c r="HL9" s="60"/>
      <c r="HM9" s="60"/>
      <c r="HN9" s="60"/>
      <c r="HO9" s="60"/>
      <c r="HP9" s="60"/>
      <c r="HQ9" s="60"/>
      <c r="HR9" s="60"/>
      <c r="HS9" s="60"/>
      <c r="HT9" s="60"/>
      <c r="HU9" s="60"/>
      <c r="HV9" s="60"/>
      <c r="HW9" s="60"/>
      <c r="HX9" s="60"/>
      <c r="HY9" s="60"/>
      <c r="HZ9" s="60"/>
      <c r="IA9" s="60"/>
      <c r="IB9" s="60"/>
      <c r="IC9" s="60"/>
      <c r="ID9" s="60"/>
      <c r="IE9" s="60"/>
      <c r="IF9" s="60"/>
      <c r="IG9" s="60"/>
      <c r="IH9" s="60"/>
      <c r="II9" s="60"/>
      <c r="IJ9" s="60"/>
      <c r="IK9" s="60"/>
      <c r="IL9" s="60"/>
      <c r="IM9" s="60"/>
      <c r="IN9" s="60"/>
      <c r="IO9" s="60"/>
      <c r="IP9" s="60"/>
      <c r="IQ9" s="60"/>
      <c r="IR9" s="60"/>
      <c r="IS9" s="60"/>
      <c r="IT9" s="60"/>
      <c r="IU9" s="60"/>
      <c r="IV9" s="60"/>
      <c r="IW9" s="60"/>
      <c r="IX9" s="60"/>
      <c r="IY9" s="60"/>
      <c r="IZ9" s="60"/>
      <c r="JA9" s="60"/>
      <c r="JB9" s="60"/>
      <c r="JC9" s="60"/>
      <c r="JD9" s="60"/>
      <c r="JE9" s="60"/>
      <c r="JF9" s="60"/>
      <c r="JG9" s="60"/>
      <c r="JH9" s="60"/>
      <c r="JI9" s="60"/>
      <c r="JJ9" s="60"/>
      <c r="JK9" s="60"/>
      <c r="JL9" s="60"/>
      <c r="JM9" s="60"/>
      <c r="JN9" s="60"/>
      <c r="JO9" s="60"/>
      <c r="JP9" s="60"/>
      <c r="JQ9" s="60"/>
      <c r="JR9" s="60"/>
      <c r="JS9" s="60"/>
      <c r="JT9" s="60"/>
      <c r="JU9" s="60"/>
      <c r="JV9" s="60"/>
      <c r="JW9" s="60"/>
      <c r="JX9" s="60"/>
      <c r="JY9" s="60"/>
      <c r="JZ9" s="60"/>
      <c r="KA9" s="60"/>
      <c r="KB9" s="60"/>
      <c r="KC9" s="60"/>
      <c r="KD9" s="60"/>
      <c r="KE9" s="60"/>
      <c r="KF9" s="60"/>
      <c r="KG9" s="60"/>
      <c r="KH9" s="60"/>
      <c r="KI9" s="60"/>
      <c r="KJ9" s="60"/>
      <c r="KK9" s="60"/>
      <c r="KL9" s="60"/>
      <c r="KM9" s="60"/>
      <c r="KN9" s="60"/>
      <c r="KO9" s="60"/>
      <c r="KP9" s="60"/>
      <c r="KQ9" s="60"/>
      <c r="KR9" s="60"/>
      <c r="KS9" s="60"/>
      <c r="KT9" s="60"/>
      <c r="KU9" s="60"/>
      <c r="KV9" s="60"/>
      <c r="KW9" s="60"/>
      <c r="KX9" s="60"/>
      <c r="KY9" s="60"/>
      <c r="KZ9" s="60"/>
      <c r="LA9" s="60"/>
      <c r="LB9" s="60"/>
      <c r="LC9" s="60"/>
      <c r="LD9" s="60"/>
      <c r="LE9" s="60"/>
      <c r="LF9" s="60"/>
      <c r="LG9" s="60"/>
      <c r="LH9" s="60"/>
    </row>
    <row r="10" spans="1:320" s="253" customFormat="1" ht="45" customHeight="1" thickTop="1" thickBot="1" x14ac:dyDescent="0.4">
      <c r="A10" s="177" t="s">
        <v>110</v>
      </c>
      <c r="B10" s="186" t="s">
        <v>107</v>
      </c>
      <c r="C10" s="348" t="s">
        <v>109</v>
      </c>
      <c r="D10" s="348"/>
      <c r="E10" s="349"/>
      <c r="F10" s="350">
        <f>IF(F5&lt;2,((F6*F7*H16)/F2),(H15*H22))</f>
        <v>11.153846153846153</v>
      </c>
      <c r="G10" s="351"/>
      <c r="H10" s="251"/>
      <c r="I10" s="252">
        <f>(IF($F$5&gt;1,(J22*J15)/H15,0))</f>
        <v>780.7692307692306</v>
      </c>
      <c r="K10" s="252">
        <f>(IF($F$5&gt;=2,I10,0))</f>
        <v>780.7692307692306</v>
      </c>
      <c r="M10" s="252">
        <f>(IF($F$5&gt;=3,I10,0))</f>
        <v>0</v>
      </c>
      <c r="O10" s="252">
        <f>(IF($F$5&gt;=4,I10,0))</f>
        <v>0</v>
      </c>
      <c r="Q10" s="252">
        <f>(IF($F$5&gt;=5,I10,0))</f>
        <v>0</v>
      </c>
      <c r="S10" s="252">
        <f>(IF($F$5&gt;=6,K10,0))</f>
        <v>0</v>
      </c>
      <c r="U10" s="252">
        <f>(IF($F$5&gt;=7,M10,0))</f>
        <v>0</v>
      </c>
      <c r="W10" s="252">
        <f>(IF($F$5&gt;=8,O10,0))</f>
        <v>0</v>
      </c>
      <c r="Y10" s="252">
        <f>(IF($F$5&gt;=9,Q10,0))</f>
        <v>0</v>
      </c>
      <c r="AA10" s="252">
        <f>(IF($F$5&gt;=10,S10,0))</f>
        <v>0</v>
      </c>
      <c r="AC10" s="252">
        <f>(IF($F$5&gt;=11,U10,0))</f>
        <v>0</v>
      </c>
      <c r="AE10" s="252">
        <f>(IF($F$5&gt;=12,W10,0))</f>
        <v>0</v>
      </c>
      <c r="AF10" s="254"/>
      <c r="AG10" s="136"/>
      <c r="AH10" s="136"/>
      <c r="AI10" s="136"/>
      <c r="AJ10" s="136"/>
      <c r="AK10" s="136"/>
      <c r="AL10" s="136"/>
      <c r="AM10" s="136"/>
      <c r="AN10" s="136"/>
      <c r="AO10" s="136"/>
      <c r="AP10" s="136"/>
      <c r="AQ10" s="136"/>
      <c r="AR10" s="136"/>
      <c r="AS10" s="136"/>
      <c r="AT10" s="136"/>
      <c r="AU10" s="136"/>
      <c r="AV10" s="136"/>
      <c r="AW10" s="136"/>
      <c r="AX10" s="136"/>
      <c r="AY10" s="136"/>
      <c r="AZ10" s="136"/>
      <c r="BA10" s="136"/>
      <c r="BB10" s="136"/>
      <c r="BC10" s="136"/>
      <c r="BD10" s="136"/>
      <c r="BE10" s="136"/>
      <c r="BF10" s="136"/>
      <c r="BG10" s="136"/>
      <c r="BH10" s="136"/>
      <c r="BI10" s="136"/>
      <c r="BJ10" s="136"/>
      <c r="BK10" s="136"/>
      <c r="BL10" s="136"/>
      <c r="BM10" s="136"/>
      <c r="BN10" s="136"/>
      <c r="BO10" s="136"/>
      <c r="BP10" s="136"/>
      <c r="BQ10" s="136"/>
      <c r="BR10" s="136"/>
      <c r="BS10" s="136"/>
      <c r="BT10" s="136"/>
      <c r="BU10" s="136"/>
      <c r="BV10" s="136"/>
      <c r="BW10" s="136"/>
      <c r="BX10" s="136"/>
      <c r="BY10" s="136"/>
      <c r="BZ10" s="136"/>
      <c r="CA10" s="136"/>
      <c r="CB10" s="136"/>
      <c r="CC10" s="136"/>
      <c r="CD10" s="136"/>
      <c r="CE10" s="136"/>
      <c r="CF10" s="136"/>
      <c r="CG10" s="136"/>
      <c r="CH10" s="136"/>
      <c r="CI10" s="136"/>
      <c r="CJ10" s="136"/>
      <c r="CK10" s="136"/>
      <c r="CL10" s="136"/>
      <c r="CM10" s="136"/>
      <c r="CN10" s="136"/>
      <c r="CO10" s="136"/>
      <c r="CP10" s="136"/>
      <c r="CQ10" s="136"/>
      <c r="CR10" s="136"/>
      <c r="CS10" s="136"/>
      <c r="CT10" s="136"/>
      <c r="CU10" s="136"/>
      <c r="CV10" s="136"/>
      <c r="CW10" s="136"/>
      <c r="CX10" s="136"/>
      <c r="CY10" s="136"/>
      <c r="CZ10" s="136"/>
      <c r="DA10" s="136"/>
      <c r="DB10" s="136"/>
      <c r="DC10" s="136"/>
      <c r="DD10" s="136"/>
      <c r="DE10" s="136"/>
      <c r="DF10" s="136"/>
      <c r="DG10" s="136"/>
      <c r="DH10" s="136"/>
      <c r="DI10" s="136"/>
      <c r="DJ10" s="136"/>
      <c r="DK10" s="136"/>
      <c r="DL10" s="136"/>
      <c r="DM10" s="136"/>
      <c r="DN10" s="136"/>
      <c r="DO10" s="136"/>
      <c r="DP10" s="136"/>
      <c r="DQ10" s="136"/>
      <c r="DR10" s="136"/>
      <c r="DS10" s="136"/>
      <c r="DT10" s="136"/>
      <c r="DU10" s="136"/>
      <c r="DV10" s="136"/>
      <c r="DW10" s="136"/>
      <c r="DX10" s="136"/>
      <c r="DY10" s="136"/>
      <c r="DZ10" s="136"/>
      <c r="EA10" s="136"/>
      <c r="EB10" s="136"/>
      <c r="EC10" s="136"/>
      <c r="ED10" s="136"/>
      <c r="EE10" s="136"/>
      <c r="EF10" s="136"/>
      <c r="EG10" s="136"/>
      <c r="EH10" s="136"/>
      <c r="EI10" s="136"/>
      <c r="EJ10" s="136"/>
      <c r="EK10" s="136"/>
      <c r="EL10" s="136"/>
      <c r="EM10" s="136"/>
      <c r="EN10" s="136"/>
      <c r="EO10" s="136"/>
      <c r="EP10" s="136"/>
      <c r="EQ10" s="136"/>
      <c r="ER10" s="136"/>
      <c r="ES10" s="136"/>
      <c r="ET10" s="136"/>
      <c r="EU10" s="136"/>
      <c r="EV10" s="136"/>
      <c r="EW10" s="136"/>
      <c r="EX10" s="136"/>
      <c r="EY10" s="136"/>
      <c r="EZ10" s="136"/>
      <c r="FA10" s="136"/>
      <c r="FB10" s="136"/>
      <c r="FC10" s="136"/>
      <c r="FD10" s="136"/>
      <c r="FE10" s="136"/>
      <c r="FF10" s="136"/>
      <c r="FG10" s="136"/>
      <c r="FH10" s="136"/>
      <c r="FI10" s="136"/>
      <c r="FJ10" s="136"/>
      <c r="FK10" s="136"/>
      <c r="FL10" s="136"/>
      <c r="FM10" s="136"/>
      <c r="FN10" s="136"/>
      <c r="FO10" s="136"/>
      <c r="FP10" s="136"/>
      <c r="FQ10" s="136"/>
      <c r="FR10" s="136"/>
      <c r="FS10" s="136"/>
      <c r="FT10" s="136"/>
      <c r="FU10" s="136"/>
      <c r="FV10" s="136"/>
      <c r="FW10" s="136"/>
      <c r="FX10" s="136"/>
      <c r="FY10" s="136"/>
      <c r="FZ10" s="136"/>
      <c r="GA10" s="136"/>
      <c r="GB10" s="136"/>
      <c r="GC10" s="136"/>
      <c r="GD10" s="136"/>
      <c r="GE10" s="136"/>
      <c r="GF10" s="136"/>
      <c r="GG10" s="136"/>
      <c r="GH10" s="136"/>
      <c r="GI10" s="136"/>
      <c r="GJ10" s="136"/>
      <c r="GK10" s="136"/>
      <c r="GL10" s="136"/>
      <c r="GM10" s="136"/>
      <c r="GN10" s="136"/>
      <c r="GO10" s="136"/>
      <c r="GP10" s="136"/>
      <c r="GQ10" s="136"/>
      <c r="GR10" s="136"/>
      <c r="GS10" s="136"/>
      <c r="GT10" s="136"/>
      <c r="GU10" s="136"/>
      <c r="GV10" s="136"/>
      <c r="GW10" s="136"/>
      <c r="GX10" s="136"/>
      <c r="GY10" s="136"/>
      <c r="GZ10" s="136"/>
      <c r="HA10" s="136"/>
      <c r="HB10" s="136"/>
      <c r="HC10" s="136"/>
      <c r="HD10" s="136"/>
      <c r="HE10" s="136"/>
      <c r="HF10" s="136"/>
      <c r="HG10" s="136"/>
      <c r="HH10" s="136"/>
      <c r="HI10" s="136"/>
      <c r="HJ10" s="136"/>
      <c r="HK10" s="136"/>
      <c r="HL10" s="136"/>
      <c r="HM10" s="136"/>
      <c r="HN10" s="136"/>
      <c r="HO10" s="136"/>
      <c r="HP10" s="136"/>
      <c r="HQ10" s="136"/>
      <c r="HR10" s="136"/>
      <c r="HS10" s="136"/>
      <c r="HT10" s="136"/>
      <c r="HU10" s="136"/>
      <c r="HV10" s="136"/>
      <c r="HW10" s="136"/>
      <c r="HX10" s="136"/>
      <c r="HY10" s="136"/>
      <c r="HZ10" s="136"/>
      <c r="IA10" s="136"/>
      <c r="IB10" s="136"/>
      <c r="IC10" s="136"/>
      <c r="ID10" s="136"/>
      <c r="IE10" s="136"/>
      <c r="IF10" s="136"/>
      <c r="IG10" s="136"/>
      <c r="IH10" s="136"/>
      <c r="II10" s="136"/>
      <c r="IJ10" s="136"/>
      <c r="IK10" s="136"/>
      <c r="IL10" s="136"/>
      <c r="IM10" s="136"/>
      <c r="IN10" s="136"/>
      <c r="IO10" s="136"/>
      <c r="IP10" s="136"/>
      <c r="IQ10" s="136"/>
      <c r="IR10" s="136"/>
      <c r="IS10" s="136"/>
      <c r="IT10" s="136"/>
      <c r="IU10" s="136"/>
      <c r="IV10" s="136"/>
      <c r="IW10" s="136"/>
      <c r="IX10" s="136"/>
      <c r="IY10" s="136"/>
      <c r="IZ10" s="136"/>
      <c r="JA10" s="136"/>
      <c r="JB10" s="136"/>
      <c r="JC10" s="136"/>
      <c r="JD10" s="136"/>
      <c r="JE10" s="136"/>
      <c r="JF10" s="136"/>
      <c r="JG10" s="136"/>
      <c r="JH10" s="136"/>
      <c r="JI10" s="136"/>
      <c r="JJ10" s="136"/>
      <c r="JK10" s="136"/>
      <c r="JL10" s="136"/>
      <c r="JM10" s="136"/>
      <c r="JN10" s="136"/>
      <c r="JO10" s="136"/>
      <c r="JP10" s="136"/>
      <c r="JQ10" s="136"/>
      <c r="JR10" s="136"/>
      <c r="JS10" s="136"/>
      <c r="JT10" s="136"/>
      <c r="JU10" s="136"/>
      <c r="JV10" s="136"/>
      <c r="JW10" s="136"/>
      <c r="JX10" s="136"/>
      <c r="JY10" s="136"/>
      <c r="JZ10" s="136"/>
      <c r="KA10" s="136"/>
      <c r="KB10" s="136"/>
      <c r="KC10" s="136"/>
      <c r="KD10" s="136"/>
      <c r="KE10" s="136"/>
      <c r="KF10" s="136"/>
      <c r="KG10" s="136"/>
      <c r="KH10" s="136"/>
      <c r="KI10" s="136"/>
      <c r="KJ10" s="136"/>
      <c r="KK10" s="136"/>
      <c r="KL10" s="136"/>
      <c r="KM10" s="136"/>
      <c r="KN10" s="136"/>
      <c r="KO10" s="136"/>
      <c r="KP10" s="136"/>
      <c r="KQ10" s="136"/>
      <c r="KR10" s="136"/>
      <c r="KS10" s="136"/>
      <c r="KT10" s="136"/>
      <c r="KU10" s="136"/>
      <c r="KV10" s="136"/>
      <c r="KW10" s="136"/>
      <c r="KX10" s="136"/>
      <c r="KY10" s="136"/>
      <c r="KZ10" s="136"/>
      <c r="LA10" s="136"/>
      <c r="LB10" s="136"/>
      <c r="LC10" s="136"/>
      <c r="LD10" s="136"/>
      <c r="LE10" s="136"/>
      <c r="LF10" s="136"/>
      <c r="LG10" s="136"/>
      <c r="LH10" s="136"/>
    </row>
    <row r="11" spans="1:320" s="180" customFormat="1" ht="35.1" customHeight="1" thickTop="1" x14ac:dyDescent="0.25">
      <c r="A11" s="181"/>
      <c r="B11" s="360"/>
      <c r="C11" s="185"/>
      <c r="D11" s="185"/>
      <c r="E11" s="185"/>
      <c r="F11" s="185"/>
      <c r="G11" s="185"/>
      <c r="H11" s="184" t="str">
        <f>IF($F$5&gt;1,"↘ ↗","↘  ")</f>
        <v>↘ ↗</v>
      </c>
      <c r="I11" s="183" t="str">
        <f>IF($F$5=1," ",IF(F5&gt;1,"From dilution 1 to 2",0))</f>
        <v>From dilution 1 to 2</v>
      </c>
      <c r="J11" s="184" t="str">
        <f>IF($F$5&gt;1,"↘ ↗",0)</f>
        <v>↘ ↗</v>
      </c>
      <c r="K11" s="183" t="str">
        <f>IF($F$5=2,"Throw away",IF($F5&gt;2,"From dilution 2 to 3",0))</f>
        <v>Throw away</v>
      </c>
      <c r="L11" s="184">
        <f>IF($F$5&gt;2,"↘ ↗",0)</f>
        <v>0</v>
      </c>
      <c r="M11" s="183">
        <f>IF($F$5=3,"Throw away",IF($F5&gt;3,"From dilution 3 to 4",0))</f>
        <v>0</v>
      </c>
      <c r="N11" s="184">
        <f>IF($F$5&gt;3,"↘ ↗",0)</f>
        <v>0</v>
      </c>
      <c r="O11" s="183">
        <f>IF($F$5=4,"Throw away",IF($F5&gt;4,"From dilution 4 to 5",0))</f>
        <v>0</v>
      </c>
      <c r="P11" s="184">
        <f>IF($F$5&gt;4,"↘ ↗",0)</f>
        <v>0</v>
      </c>
      <c r="Q11" s="183">
        <f>IF($F$5=5,"Throw away",IF($F5&gt;5,"From dilution 5 to 6",0))</f>
        <v>0</v>
      </c>
      <c r="R11" s="184">
        <f>IF($F$5&gt;5,"↘ ↗",0)</f>
        <v>0</v>
      </c>
      <c r="S11" s="183">
        <f>IF($F$5=6,"Throw away",IF($F5&gt;6,"From dilution 6 to 7",0))</f>
        <v>0</v>
      </c>
      <c r="T11" s="184">
        <f>IF($F$5&gt;6,"↘ ↗",0)</f>
        <v>0</v>
      </c>
      <c r="U11" s="183">
        <f>IF($F$5=7,"Throw away",IF($F5&gt;7,"From dilution 7 to 8",0))</f>
        <v>0</v>
      </c>
      <c r="V11" s="184">
        <f>IF($F$5&gt;7,"↘ ↗",0)</f>
        <v>0</v>
      </c>
      <c r="W11" s="183" t="str">
        <f>IF($F$5=8,"Throw away",IF($F5&gt;8,"From dilution 8 to 9"," "))</f>
        <v xml:space="preserve"> </v>
      </c>
      <c r="X11" s="184" t="str">
        <f>IF($F$5&gt;8,"↘ ↗"," ")</f>
        <v xml:space="preserve"> </v>
      </c>
      <c r="Y11" s="183" t="str">
        <f>IF($F$5=9,"Throw away",IF($F5&gt;9,"From dilution 9 to 10"," "))</f>
        <v xml:space="preserve"> </v>
      </c>
      <c r="Z11" s="184" t="str">
        <f>IF($F$5&gt;9,"↘ ↗"," ")</f>
        <v xml:space="preserve"> </v>
      </c>
      <c r="AA11" s="183" t="str">
        <f>IF($F$5=10,"Throw away",IF($F5&gt;10,"From dilution 10 to 11"," "))</f>
        <v xml:space="preserve"> </v>
      </c>
      <c r="AB11" s="184" t="str">
        <f>IF($F$5&gt;10,"↘ ↗"," ")</f>
        <v xml:space="preserve"> </v>
      </c>
      <c r="AC11" s="183" t="str">
        <f>IF($F$5=11,"Throw away",IF($F5&gt;11,"From dilution 11 to 12"," "))</f>
        <v xml:space="preserve"> </v>
      </c>
      <c r="AD11" s="184" t="str">
        <f>IF($F$5&gt;11,"↘ ↗"," ")</f>
        <v xml:space="preserve"> </v>
      </c>
      <c r="AE11" s="183" t="str">
        <f>IF($F$5=12,"Throw away",IF($F5&gt;12,"Throw away"," "))</f>
        <v xml:space="preserve"> </v>
      </c>
      <c r="AF11" s="183"/>
      <c r="AG11" s="182"/>
      <c r="AH11" s="182"/>
      <c r="AI11" s="182"/>
      <c r="AJ11" s="182"/>
      <c r="AK11" s="182"/>
      <c r="AL11" s="182"/>
      <c r="AM11" s="182"/>
      <c r="AN11" s="182"/>
      <c r="AO11" s="182"/>
      <c r="AP11" s="182"/>
      <c r="AQ11" s="182"/>
      <c r="AR11" s="182"/>
      <c r="AS11" s="182"/>
      <c r="AT11" s="182"/>
      <c r="AU11" s="182"/>
      <c r="AV11" s="182"/>
      <c r="AW11" s="182"/>
      <c r="AX11" s="182"/>
      <c r="AY11" s="182"/>
      <c r="AZ11" s="182"/>
      <c r="BA11" s="182"/>
      <c r="BB11" s="182"/>
      <c r="BC11" s="182"/>
      <c r="BD11" s="182"/>
      <c r="BE11" s="182"/>
      <c r="BF11" s="182"/>
      <c r="BG11" s="182"/>
      <c r="BH11" s="182"/>
      <c r="BI11" s="182"/>
      <c r="BJ11" s="182"/>
      <c r="BK11" s="182"/>
      <c r="BL11" s="182"/>
      <c r="BM11" s="182"/>
      <c r="BN11" s="182"/>
      <c r="BO11" s="182"/>
      <c r="BP11" s="182"/>
      <c r="BQ11" s="182"/>
      <c r="BR11" s="182"/>
      <c r="BS11" s="182"/>
      <c r="BT11" s="182"/>
      <c r="BU11" s="182"/>
      <c r="BV11" s="182"/>
      <c r="BW11" s="182"/>
      <c r="BX11" s="182"/>
      <c r="BY11" s="182"/>
      <c r="BZ11" s="182"/>
      <c r="CA11" s="182"/>
      <c r="CB11" s="182"/>
      <c r="CC11" s="182"/>
      <c r="CD11" s="182"/>
      <c r="CE11" s="182"/>
      <c r="CF11" s="182"/>
      <c r="CG11" s="182"/>
      <c r="CH11" s="182"/>
      <c r="CI11" s="182"/>
      <c r="CJ11" s="182"/>
      <c r="CK11" s="182"/>
      <c r="CL11" s="182"/>
      <c r="CM11" s="182"/>
      <c r="CN11" s="182"/>
      <c r="CO11" s="182"/>
      <c r="CP11" s="182"/>
      <c r="CQ11" s="182"/>
      <c r="CR11" s="182"/>
      <c r="CS11" s="182"/>
      <c r="CT11" s="182"/>
      <c r="CU11" s="182"/>
      <c r="CV11" s="182"/>
      <c r="CW11" s="182"/>
      <c r="CX11" s="182"/>
      <c r="CY11" s="182"/>
      <c r="CZ11" s="182"/>
      <c r="DA11" s="182"/>
      <c r="DB11" s="182"/>
      <c r="DC11" s="182"/>
      <c r="DD11" s="182"/>
      <c r="DE11" s="182"/>
      <c r="DF11" s="182"/>
      <c r="DG11" s="182"/>
      <c r="DH11" s="182"/>
      <c r="DI11" s="182"/>
      <c r="DJ11" s="182"/>
      <c r="DK11" s="182"/>
      <c r="DL11" s="182"/>
      <c r="DM11" s="182"/>
      <c r="DN11" s="182"/>
      <c r="DO11" s="182"/>
      <c r="DP11" s="182"/>
      <c r="DQ11" s="182"/>
      <c r="DR11" s="182"/>
      <c r="DS11" s="182"/>
      <c r="DT11" s="182"/>
      <c r="DU11" s="182"/>
      <c r="DV11" s="182"/>
      <c r="DW11" s="182"/>
      <c r="DX11" s="182"/>
      <c r="DY11" s="182"/>
      <c r="DZ11" s="182"/>
      <c r="EA11" s="182"/>
      <c r="EB11" s="182"/>
      <c r="EC11" s="182"/>
      <c r="ED11" s="182"/>
      <c r="EE11" s="182"/>
      <c r="EF11" s="182"/>
      <c r="EG11" s="182"/>
      <c r="EH11" s="182"/>
      <c r="EI11" s="182"/>
      <c r="EJ11" s="182"/>
      <c r="EK11" s="182"/>
      <c r="EL11" s="182"/>
      <c r="EM11" s="182"/>
      <c r="EN11" s="182"/>
      <c r="EO11" s="182"/>
      <c r="EP11" s="182"/>
      <c r="EQ11" s="182"/>
      <c r="ER11" s="182"/>
      <c r="ES11" s="182"/>
      <c r="ET11" s="182"/>
      <c r="EU11" s="182"/>
      <c r="EV11" s="182"/>
      <c r="EW11" s="182"/>
      <c r="EX11" s="182"/>
      <c r="EY11" s="182"/>
      <c r="EZ11" s="182"/>
      <c r="FA11" s="182"/>
      <c r="FB11" s="182"/>
      <c r="FC11" s="182"/>
      <c r="FD11" s="182"/>
      <c r="FE11" s="182"/>
      <c r="FF11" s="182"/>
      <c r="FG11" s="182"/>
      <c r="FH11" s="182"/>
      <c r="FI11" s="182"/>
      <c r="FJ11" s="182"/>
      <c r="FK11" s="182"/>
      <c r="FL11" s="182"/>
      <c r="FM11" s="182"/>
      <c r="FN11" s="182"/>
      <c r="FO11" s="182"/>
      <c r="FP11" s="182"/>
      <c r="FQ11" s="182"/>
      <c r="FR11" s="182"/>
      <c r="FS11" s="182"/>
      <c r="FT11" s="182"/>
      <c r="FU11" s="182"/>
      <c r="FV11" s="182"/>
      <c r="FW11" s="182"/>
      <c r="FX11" s="182"/>
      <c r="FY11" s="182"/>
      <c r="FZ11" s="182"/>
      <c r="GA11" s="182"/>
      <c r="GB11" s="182"/>
      <c r="GC11" s="182"/>
      <c r="GD11" s="182"/>
      <c r="GE11" s="182"/>
      <c r="GF11" s="182"/>
      <c r="GG11" s="182"/>
      <c r="GH11" s="182"/>
      <c r="GI11" s="182"/>
      <c r="GJ11" s="182"/>
      <c r="GK11" s="182"/>
      <c r="GL11" s="182"/>
      <c r="GM11" s="182"/>
      <c r="GN11" s="182"/>
      <c r="GO11" s="182"/>
      <c r="GP11" s="182"/>
      <c r="GQ11" s="182"/>
      <c r="GR11" s="182"/>
      <c r="GS11" s="182"/>
      <c r="GT11" s="182"/>
      <c r="GU11" s="182"/>
      <c r="GV11" s="182"/>
      <c r="GW11" s="182"/>
      <c r="GX11" s="182"/>
      <c r="GY11" s="182"/>
      <c r="GZ11" s="182"/>
      <c r="HA11" s="182"/>
      <c r="HB11" s="182"/>
      <c r="HC11" s="182"/>
      <c r="HD11" s="182"/>
      <c r="HE11" s="182"/>
      <c r="HF11" s="182"/>
      <c r="HG11" s="182"/>
      <c r="HH11" s="182"/>
      <c r="HI11" s="182"/>
      <c r="HJ11" s="182"/>
      <c r="HK11" s="182"/>
      <c r="HL11" s="182"/>
      <c r="HM11" s="182"/>
      <c r="HN11" s="182"/>
      <c r="HO11" s="182"/>
      <c r="HP11" s="182"/>
      <c r="HQ11" s="182"/>
      <c r="HR11" s="182"/>
      <c r="HS11" s="182"/>
      <c r="HT11" s="182"/>
      <c r="HU11" s="182"/>
      <c r="HV11" s="182"/>
      <c r="HW11" s="182"/>
      <c r="HX11" s="182"/>
      <c r="HY11" s="182"/>
      <c r="HZ11" s="182"/>
      <c r="IA11" s="182"/>
      <c r="IB11" s="182"/>
      <c r="IC11" s="182"/>
      <c r="ID11" s="182"/>
      <c r="IE11" s="182"/>
      <c r="IF11" s="182"/>
      <c r="IG11" s="182"/>
      <c r="IH11" s="182"/>
      <c r="II11" s="182"/>
      <c r="IJ11" s="182"/>
      <c r="IK11" s="182"/>
      <c r="IL11" s="182"/>
      <c r="IM11" s="182"/>
      <c r="IN11" s="182"/>
      <c r="IO11" s="182"/>
      <c r="IP11" s="182"/>
      <c r="IQ11" s="182"/>
      <c r="IR11" s="182"/>
      <c r="IS11" s="182"/>
      <c r="IT11" s="182"/>
      <c r="IU11" s="182"/>
      <c r="IV11" s="182"/>
      <c r="IW11" s="182"/>
      <c r="IX11" s="182"/>
      <c r="IY11" s="182"/>
      <c r="IZ11" s="182"/>
      <c r="JA11" s="182"/>
      <c r="JB11" s="182"/>
      <c r="JC11" s="182"/>
      <c r="JD11" s="182"/>
      <c r="JE11" s="182"/>
      <c r="JF11" s="182"/>
      <c r="JG11" s="182"/>
      <c r="JH11" s="182"/>
      <c r="JI11" s="182"/>
      <c r="JJ11" s="182"/>
      <c r="JK11" s="182"/>
      <c r="JL11" s="182"/>
      <c r="JM11" s="182"/>
      <c r="JN11" s="182"/>
      <c r="JO11" s="182"/>
      <c r="JP11" s="182"/>
      <c r="JQ11" s="182"/>
      <c r="JR11" s="182"/>
      <c r="JS11" s="182"/>
      <c r="JT11" s="182"/>
      <c r="JU11" s="182"/>
      <c r="JV11" s="182"/>
      <c r="JW11" s="182"/>
      <c r="JX11" s="182"/>
      <c r="JY11" s="182"/>
      <c r="JZ11" s="182"/>
      <c r="KA11" s="182"/>
      <c r="KB11" s="182"/>
      <c r="KC11" s="182"/>
      <c r="KD11" s="182"/>
      <c r="KE11" s="182"/>
      <c r="KF11" s="182"/>
      <c r="KG11" s="182"/>
      <c r="KH11" s="182"/>
      <c r="KI11" s="182"/>
      <c r="KJ11" s="182"/>
      <c r="KK11" s="182"/>
      <c r="KL11" s="182"/>
      <c r="KM11" s="182"/>
      <c r="KN11" s="182"/>
      <c r="KO11" s="182"/>
      <c r="KP11" s="182"/>
      <c r="KQ11" s="182"/>
      <c r="KR11" s="182"/>
      <c r="KS11" s="182"/>
      <c r="KT11" s="182"/>
      <c r="KU11" s="182"/>
      <c r="KV11" s="182"/>
      <c r="KW11" s="182"/>
      <c r="KX11" s="182"/>
      <c r="KY11" s="182"/>
      <c r="KZ11" s="182"/>
      <c r="LA11" s="182"/>
      <c r="LB11" s="182"/>
      <c r="LC11" s="182"/>
      <c r="LD11" s="182"/>
      <c r="LE11" s="182"/>
      <c r="LF11" s="182"/>
      <c r="LG11" s="182"/>
      <c r="LH11" s="182"/>
    </row>
    <row r="12" spans="1:320" s="178" customFormat="1" ht="14.1" customHeight="1" thickBot="1" x14ac:dyDescent="0.3">
      <c r="A12" s="181"/>
      <c r="B12" s="360"/>
      <c r="C12" s="180"/>
      <c r="D12" s="180"/>
      <c r="E12" s="180"/>
      <c r="F12" s="180"/>
      <c r="G12" s="180"/>
      <c r="H12" s="179" t="str">
        <f>IF($F$5&gt;0,"Dilution 1",0)</f>
        <v>Dilution 1</v>
      </c>
      <c r="I12" s="179"/>
      <c r="J12" s="179" t="str">
        <f>IF($F$5&gt;1,"Dilution 2",0)</f>
        <v>Dilution 2</v>
      </c>
      <c r="K12" s="179"/>
      <c r="L12" s="179">
        <f>IF($F$5&gt;2,"Dilution 3",0)</f>
        <v>0</v>
      </c>
      <c r="M12" s="179"/>
      <c r="N12" s="179">
        <f>IF($F$5&gt;3,"Dilution 4",0)</f>
        <v>0</v>
      </c>
      <c r="O12" s="179"/>
      <c r="P12" s="179">
        <f>IF($F$5&gt;4,"Dilution 5",0)</f>
        <v>0</v>
      </c>
      <c r="Q12" s="179"/>
      <c r="R12" s="179">
        <f>IF($F$5&gt;5,"Dilution 6",0)</f>
        <v>0</v>
      </c>
      <c r="S12" s="179"/>
      <c r="T12" s="179">
        <f>IF($F$5&gt;6,"Dilution 7",0)</f>
        <v>0</v>
      </c>
      <c r="U12" s="179"/>
      <c r="V12" s="179">
        <f>IF($F$5&gt;7,"Dilution 8",0)</f>
        <v>0</v>
      </c>
      <c r="W12" s="179"/>
      <c r="X12" s="179" t="str">
        <f>IF($F$5&gt;8,"Dilution 9"," ")</f>
        <v xml:space="preserve"> </v>
      </c>
      <c r="Y12" s="179"/>
      <c r="Z12" s="179" t="str">
        <f>IF($F$5&gt;9,"Dilution 10"," ")</f>
        <v xml:space="preserve"> </v>
      </c>
      <c r="AA12" s="179"/>
      <c r="AB12" s="179" t="str">
        <f>IF($F$5&gt;10,"Dilution 11"," ")</f>
        <v xml:space="preserve"> </v>
      </c>
      <c r="AC12" s="179"/>
      <c r="AD12" s="179" t="str">
        <f>IF($F$5&gt;11,"Dilution 12"," ")</f>
        <v xml:space="preserve"> </v>
      </c>
      <c r="AE12" s="179"/>
      <c r="AF12" s="179"/>
      <c r="AG12" s="168"/>
      <c r="AH12" s="168"/>
      <c r="AI12" s="168"/>
      <c r="AJ12" s="168"/>
      <c r="AK12" s="168"/>
      <c r="AL12" s="168"/>
      <c r="AM12" s="168"/>
      <c r="AN12" s="168"/>
      <c r="AO12" s="168"/>
      <c r="AP12" s="168"/>
      <c r="AQ12" s="168"/>
      <c r="AR12" s="168"/>
      <c r="AS12" s="168"/>
      <c r="AT12" s="168"/>
      <c r="AU12" s="168"/>
      <c r="AV12" s="168"/>
      <c r="AW12" s="168"/>
      <c r="AX12" s="168"/>
      <c r="AY12" s="168"/>
      <c r="AZ12" s="168"/>
      <c r="BA12" s="168"/>
      <c r="BB12" s="168"/>
      <c r="BC12" s="168"/>
      <c r="BD12" s="168"/>
      <c r="BE12" s="168"/>
      <c r="BF12" s="168"/>
      <c r="BG12" s="168"/>
      <c r="BH12" s="168"/>
      <c r="BI12" s="168"/>
      <c r="BJ12" s="168"/>
      <c r="BK12" s="168"/>
      <c r="BL12" s="168"/>
      <c r="BM12" s="168"/>
      <c r="BN12" s="168"/>
      <c r="BO12" s="168"/>
      <c r="BP12" s="168"/>
      <c r="BQ12" s="168"/>
      <c r="BR12" s="168"/>
      <c r="BS12" s="168"/>
      <c r="BT12" s="168"/>
      <c r="BU12" s="168"/>
      <c r="BV12" s="168"/>
      <c r="BW12" s="168"/>
      <c r="BX12" s="168"/>
      <c r="BY12" s="168"/>
      <c r="BZ12" s="168"/>
      <c r="CA12" s="168"/>
      <c r="CB12" s="168"/>
      <c r="CC12" s="168"/>
      <c r="CD12" s="168"/>
      <c r="CE12" s="168"/>
      <c r="CF12" s="168"/>
      <c r="CG12" s="168"/>
      <c r="CH12" s="168"/>
      <c r="CI12" s="168"/>
      <c r="CJ12" s="168"/>
      <c r="CK12" s="168"/>
      <c r="CL12" s="168"/>
      <c r="CM12" s="168"/>
      <c r="CN12" s="168"/>
      <c r="CO12" s="168"/>
      <c r="CP12" s="168"/>
      <c r="CQ12" s="168"/>
      <c r="CR12" s="168"/>
      <c r="CS12" s="168"/>
      <c r="CT12" s="168"/>
      <c r="CU12" s="168"/>
      <c r="CV12" s="168"/>
      <c r="CW12" s="168"/>
      <c r="CX12" s="168"/>
      <c r="CY12" s="168"/>
      <c r="CZ12" s="168"/>
      <c r="DA12" s="168"/>
      <c r="DB12" s="168"/>
      <c r="DC12" s="168"/>
      <c r="DD12" s="168"/>
      <c r="DE12" s="168"/>
      <c r="DF12" s="168"/>
      <c r="DG12" s="168"/>
      <c r="DH12" s="168"/>
      <c r="DI12" s="168"/>
      <c r="DJ12" s="168"/>
      <c r="DK12" s="168"/>
      <c r="DL12" s="168"/>
      <c r="DM12" s="168"/>
      <c r="DN12" s="168"/>
      <c r="DO12" s="168"/>
      <c r="DP12" s="168"/>
      <c r="DQ12" s="168"/>
      <c r="DR12" s="168"/>
      <c r="DS12" s="168"/>
      <c r="DT12" s="168"/>
      <c r="DU12" s="168"/>
      <c r="DV12" s="168"/>
      <c r="DW12" s="168"/>
      <c r="DX12" s="168"/>
      <c r="DY12" s="168"/>
      <c r="DZ12" s="168"/>
      <c r="EA12" s="168"/>
      <c r="EB12" s="168"/>
      <c r="EC12" s="168"/>
      <c r="ED12" s="168"/>
      <c r="EE12" s="168"/>
      <c r="EF12" s="168"/>
      <c r="EG12" s="168"/>
      <c r="EH12" s="168"/>
      <c r="EI12" s="168"/>
      <c r="EJ12" s="168"/>
      <c r="EK12" s="168"/>
      <c r="EL12" s="168"/>
      <c r="EM12" s="168"/>
      <c r="EN12" s="168"/>
      <c r="EO12" s="168"/>
      <c r="EP12" s="168"/>
      <c r="EQ12" s="168"/>
      <c r="ER12" s="168"/>
      <c r="ES12" s="168"/>
      <c r="ET12" s="168"/>
      <c r="EU12" s="168"/>
      <c r="EV12" s="168"/>
      <c r="EW12" s="168"/>
      <c r="EX12" s="168"/>
      <c r="EY12" s="168"/>
      <c r="EZ12" s="168"/>
      <c r="FA12" s="168"/>
      <c r="FB12" s="168"/>
      <c r="FC12" s="168"/>
      <c r="FD12" s="168"/>
      <c r="FE12" s="168"/>
      <c r="FF12" s="168"/>
      <c r="FG12" s="168"/>
      <c r="FH12" s="168"/>
      <c r="FI12" s="168"/>
      <c r="FJ12" s="168"/>
      <c r="FK12" s="168"/>
      <c r="FL12" s="168"/>
      <c r="FM12" s="168"/>
      <c r="FN12" s="168"/>
      <c r="FO12" s="168"/>
      <c r="FP12" s="168"/>
      <c r="FQ12" s="168"/>
      <c r="FR12" s="168"/>
      <c r="FS12" s="168"/>
      <c r="FT12" s="168"/>
      <c r="FU12" s="168"/>
      <c r="FV12" s="168"/>
      <c r="FW12" s="168"/>
      <c r="FX12" s="168"/>
      <c r="FY12" s="168"/>
      <c r="FZ12" s="168"/>
      <c r="GA12" s="168"/>
      <c r="GB12" s="168"/>
      <c r="GC12" s="168"/>
      <c r="GD12" s="168"/>
      <c r="GE12" s="168"/>
      <c r="GF12" s="168"/>
      <c r="GG12" s="168"/>
      <c r="GH12" s="168"/>
      <c r="GI12" s="168"/>
      <c r="GJ12" s="168"/>
      <c r="GK12" s="168"/>
      <c r="GL12" s="168"/>
      <c r="GM12" s="168"/>
      <c r="GN12" s="168"/>
      <c r="GO12" s="168"/>
      <c r="GP12" s="168"/>
      <c r="GQ12" s="168"/>
      <c r="GR12" s="168"/>
      <c r="GS12" s="168"/>
      <c r="GT12" s="168"/>
      <c r="GU12" s="168"/>
      <c r="GV12" s="168"/>
      <c r="GW12" s="168"/>
      <c r="GX12" s="168"/>
      <c r="GY12" s="168"/>
      <c r="GZ12" s="168"/>
      <c r="HA12" s="168"/>
      <c r="HB12" s="168"/>
      <c r="HC12" s="168"/>
      <c r="HD12" s="168"/>
      <c r="HE12" s="168"/>
      <c r="HF12" s="168"/>
      <c r="HG12" s="168"/>
      <c r="HH12" s="168"/>
      <c r="HI12" s="168"/>
      <c r="HJ12" s="168"/>
      <c r="HK12" s="168"/>
      <c r="HL12" s="168"/>
      <c r="HM12" s="168"/>
      <c r="HN12" s="168"/>
      <c r="HO12" s="168"/>
      <c r="HP12" s="168"/>
      <c r="HQ12" s="168"/>
      <c r="HR12" s="168"/>
      <c r="HS12" s="168"/>
      <c r="HT12" s="168"/>
      <c r="HU12" s="168"/>
      <c r="HV12" s="168"/>
      <c r="HW12" s="168"/>
      <c r="HX12" s="168"/>
      <c r="HY12" s="168"/>
      <c r="HZ12" s="168"/>
      <c r="IA12" s="168"/>
      <c r="IB12" s="168"/>
      <c r="IC12" s="168"/>
      <c r="ID12" s="168"/>
      <c r="IE12" s="168"/>
      <c r="IF12" s="168"/>
      <c r="IG12" s="168"/>
      <c r="IH12" s="168"/>
      <c r="II12" s="168"/>
      <c r="IJ12" s="168"/>
      <c r="IK12" s="168"/>
      <c r="IL12" s="168"/>
      <c r="IM12" s="168"/>
      <c r="IN12" s="168"/>
      <c r="IO12" s="168"/>
      <c r="IP12" s="168"/>
      <c r="IQ12" s="168"/>
      <c r="IR12" s="168"/>
      <c r="IS12" s="168"/>
      <c r="IT12" s="168"/>
      <c r="IU12" s="168"/>
      <c r="IV12" s="168"/>
      <c r="IW12" s="168"/>
      <c r="IX12" s="168"/>
      <c r="IY12" s="168"/>
      <c r="IZ12" s="168"/>
      <c r="JA12" s="168"/>
      <c r="JB12" s="168"/>
      <c r="JC12" s="168"/>
      <c r="JD12" s="168"/>
      <c r="JE12" s="168"/>
      <c r="JF12" s="168"/>
      <c r="JG12" s="168"/>
      <c r="JH12" s="168"/>
      <c r="JI12" s="168"/>
      <c r="JJ12" s="168"/>
      <c r="JK12" s="168"/>
      <c r="JL12" s="168"/>
      <c r="JM12" s="168"/>
      <c r="JN12" s="168"/>
      <c r="JO12" s="168"/>
      <c r="JP12" s="168"/>
      <c r="JQ12" s="168"/>
      <c r="JR12" s="168"/>
      <c r="JS12" s="168"/>
      <c r="JT12" s="168"/>
      <c r="JU12" s="168"/>
      <c r="JV12" s="168"/>
      <c r="JW12" s="168"/>
      <c r="JX12" s="168"/>
      <c r="JY12" s="168"/>
      <c r="JZ12" s="168"/>
      <c r="KA12" s="168"/>
      <c r="KB12" s="168"/>
      <c r="KC12" s="168"/>
      <c r="KD12" s="168"/>
      <c r="KE12" s="168"/>
      <c r="KF12" s="168"/>
      <c r="KG12" s="168"/>
      <c r="KH12" s="168"/>
      <c r="KI12" s="168"/>
      <c r="KJ12" s="168"/>
      <c r="KK12" s="168"/>
      <c r="KL12" s="168"/>
      <c r="KM12" s="168"/>
      <c r="KN12" s="168"/>
      <c r="KO12" s="168"/>
      <c r="KP12" s="168"/>
      <c r="KQ12" s="168"/>
      <c r="KR12" s="168"/>
      <c r="KS12" s="168"/>
      <c r="KT12" s="168"/>
      <c r="KU12" s="168"/>
      <c r="KV12" s="168"/>
      <c r="KW12" s="168"/>
      <c r="KX12" s="168"/>
      <c r="KY12" s="168"/>
      <c r="KZ12" s="168"/>
      <c r="LA12" s="168"/>
      <c r="LB12" s="168"/>
      <c r="LC12" s="168"/>
      <c r="LD12" s="168"/>
      <c r="LE12" s="168"/>
      <c r="LF12" s="168"/>
      <c r="LG12" s="168"/>
      <c r="LH12" s="168"/>
    </row>
    <row r="13" spans="1:320" s="259" customFormat="1" ht="45" customHeight="1" thickTop="1" thickBot="1" x14ac:dyDescent="0.4">
      <c r="A13" s="177" t="s">
        <v>108</v>
      </c>
      <c r="B13" s="176" t="s">
        <v>107</v>
      </c>
      <c r="C13" s="361" t="s">
        <v>106</v>
      </c>
      <c r="D13" s="361"/>
      <c r="E13" s="361"/>
      <c r="F13" s="361"/>
      <c r="G13" s="361"/>
      <c r="H13" s="255">
        <f>IF(F5&lt;2,(F7*F6-F10),H22-F10)</f>
        <v>2219.6153846153843</v>
      </c>
      <c r="I13" s="368"/>
      <c r="J13" s="252">
        <f>IF($F$5&gt;=2,J22-I10,0)</f>
        <v>1450</v>
      </c>
      <c r="K13" s="256"/>
      <c r="L13" s="252">
        <f>IF($F$5&gt;=3,L22-K10,0)</f>
        <v>0</v>
      </c>
      <c r="M13" s="257"/>
      <c r="N13" s="252">
        <f>IF($F$5&gt;=4,N22-M10,0)</f>
        <v>0</v>
      </c>
      <c r="O13" s="257"/>
      <c r="P13" s="252">
        <f>IF($F$5&gt;=5,P22-O10,0)</f>
        <v>0</v>
      </c>
      <c r="Q13" s="257"/>
      <c r="R13" s="252">
        <f>IF($F$5&gt;=6,R22-Q10,0)</f>
        <v>0</v>
      </c>
      <c r="S13" s="257"/>
      <c r="T13" s="252">
        <f>IF($F$5&gt;=7,T22-S10,0)</f>
        <v>0</v>
      </c>
      <c r="U13" s="257"/>
      <c r="V13" s="252">
        <f>IF($F$5&gt;=8,V22-U10,0)</f>
        <v>0</v>
      </c>
      <c r="W13" s="257"/>
      <c r="X13" s="252">
        <f>IF($F$5&gt;=9,X22-W10,0)</f>
        <v>0</v>
      </c>
      <c r="Y13" s="257"/>
      <c r="Z13" s="252">
        <f>IF($F$5&gt;=10,Z22-Y10,0)</f>
        <v>0</v>
      </c>
      <c r="AA13" s="257"/>
      <c r="AB13" s="252">
        <f>IF($F$5&gt;=11,AB22-AA10,0)</f>
        <v>0</v>
      </c>
      <c r="AC13" s="257"/>
      <c r="AD13" s="252">
        <f>IF($F$5&gt;=12,AD22-AC10,0)</f>
        <v>0</v>
      </c>
      <c r="AE13" s="257"/>
      <c r="AF13" s="257"/>
      <c r="AG13" s="258"/>
      <c r="AH13" s="258"/>
      <c r="AI13" s="258"/>
      <c r="AJ13" s="258"/>
      <c r="AK13" s="258"/>
      <c r="AL13" s="258"/>
      <c r="AM13" s="258"/>
      <c r="AN13" s="258"/>
      <c r="AO13" s="258"/>
      <c r="AP13" s="258"/>
      <c r="AQ13" s="258"/>
      <c r="AR13" s="258"/>
      <c r="AS13" s="258"/>
      <c r="AT13" s="258"/>
      <c r="AU13" s="258"/>
      <c r="AV13" s="258"/>
      <c r="AW13" s="258"/>
      <c r="AX13" s="258"/>
      <c r="AY13" s="258"/>
      <c r="AZ13" s="258"/>
      <c r="BA13" s="258"/>
      <c r="BB13" s="258"/>
      <c r="BC13" s="258"/>
      <c r="BD13" s="258"/>
      <c r="BE13" s="258"/>
      <c r="BF13" s="258"/>
      <c r="BG13" s="258"/>
      <c r="BH13" s="258"/>
      <c r="BI13" s="258"/>
      <c r="BJ13" s="258"/>
      <c r="BK13" s="258"/>
      <c r="BL13" s="258"/>
      <c r="BM13" s="258"/>
      <c r="BN13" s="258"/>
      <c r="BO13" s="258"/>
      <c r="BP13" s="258"/>
      <c r="BQ13" s="258"/>
      <c r="BR13" s="258"/>
      <c r="BS13" s="258"/>
      <c r="BT13" s="258"/>
      <c r="BU13" s="258"/>
      <c r="BV13" s="258"/>
      <c r="BW13" s="258"/>
      <c r="BX13" s="258"/>
      <c r="BY13" s="258"/>
      <c r="BZ13" s="258"/>
      <c r="CA13" s="258"/>
      <c r="CB13" s="258"/>
      <c r="CC13" s="258"/>
      <c r="CD13" s="258"/>
      <c r="CE13" s="258"/>
      <c r="CF13" s="258"/>
      <c r="CG13" s="258"/>
      <c r="CH13" s="258"/>
      <c r="CI13" s="258"/>
      <c r="CJ13" s="258"/>
      <c r="CK13" s="258"/>
      <c r="CL13" s="258"/>
      <c r="CM13" s="258"/>
      <c r="CN13" s="258"/>
      <c r="CO13" s="258"/>
      <c r="CP13" s="258"/>
      <c r="CQ13" s="258"/>
      <c r="CR13" s="258"/>
      <c r="CS13" s="258"/>
      <c r="CT13" s="258"/>
      <c r="CU13" s="258"/>
      <c r="CV13" s="258"/>
      <c r="CW13" s="258"/>
      <c r="CX13" s="258"/>
      <c r="CY13" s="258"/>
      <c r="CZ13" s="258"/>
      <c r="DA13" s="258"/>
      <c r="DB13" s="258"/>
      <c r="DC13" s="258"/>
      <c r="DD13" s="258"/>
      <c r="DE13" s="258"/>
      <c r="DF13" s="258"/>
      <c r="DG13" s="258"/>
      <c r="DH13" s="258"/>
      <c r="DI13" s="258"/>
      <c r="DJ13" s="258"/>
      <c r="DK13" s="258"/>
      <c r="DL13" s="258"/>
      <c r="DM13" s="258"/>
      <c r="DN13" s="258"/>
      <c r="DO13" s="258"/>
      <c r="DP13" s="258"/>
      <c r="DQ13" s="258"/>
      <c r="DR13" s="258"/>
      <c r="DS13" s="258"/>
      <c r="DT13" s="258"/>
      <c r="DU13" s="258"/>
      <c r="DV13" s="258"/>
      <c r="DW13" s="258"/>
      <c r="DX13" s="258"/>
      <c r="DY13" s="258"/>
      <c r="DZ13" s="258"/>
      <c r="EA13" s="258"/>
      <c r="EB13" s="258"/>
      <c r="EC13" s="258"/>
      <c r="ED13" s="258"/>
      <c r="EE13" s="258"/>
      <c r="EF13" s="258"/>
      <c r="EG13" s="258"/>
      <c r="EH13" s="258"/>
      <c r="EI13" s="258"/>
      <c r="EJ13" s="258"/>
      <c r="EK13" s="258"/>
      <c r="EL13" s="258"/>
      <c r="EM13" s="258"/>
      <c r="EN13" s="258"/>
      <c r="EO13" s="258"/>
      <c r="EP13" s="258"/>
      <c r="EQ13" s="258"/>
      <c r="ER13" s="258"/>
      <c r="ES13" s="258"/>
      <c r="ET13" s="258"/>
      <c r="EU13" s="258"/>
      <c r="EV13" s="258"/>
      <c r="EW13" s="258"/>
      <c r="EX13" s="258"/>
      <c r="EY13" s="258"/>
      <c r="EZ13" s="258"/>
      <c r="FA13" s="258"/>
      <c r="FB13" s="258"/>
      <c r="FC13" s="258"/>
      <c r="FD13" s="258"/>
      <c r="FE13" s="258"/>
      <c r="FF13" s="258"/>
      <c r="FG13" s="258"/>
      <c r="FH13" s="258"/>
      <c r="FI13" s="258"/>
      <c r="FJ13" s="258"/>
      <c r="FK13" s="258"/>
      <c r="FL13" s="258"/>
      <c r="FM13" s="258"/>
      <c r="FN13" s="258"/>
      <c r="FO13" s="258"/>
      <c r="FP13" s="258"/>
      <c r="FQ13" s="258"/>
      <c r="FR13" s="258"/>
      <c r="FS13" s="258"/>
      <c r="FT13" s="258"/>
      <c r="FU13" s="258"/>
      <c r="FV13" s="258"/>
      <c r="FW13" s="258"/>
      <c r="FX13" s="258"/>
      <c r="FY13" s="258"/>
      <c r="FZ13" s="258"/>
      <c r="GA13" s="258"/>
      <c r="GB13" s="258"/>
      <c r="GC13" s="258"/>
      <c r="GD13" s="258"/>
      <c r="GE13" s="258"/>
      <c r="GF13" s="258"/>
      <c r="GG13" s="258"/>
      <c r="GH13" s="258"/>
      <c r="GI13" s="258"/>
      <c r="GJ13" s="258"/>
      <c r="GK13" s="258"/>
      <c r="GL13" s="258"/>
      <c r="GM13" s="258"/>
      <c r="GN13" s="258"/>
      <c r="GO13" s="258"/>
      <c r="GP13" s="258"/>
      <c r="GQ13" s="258"/>
      <c r="GR13" s="258"/>
      <c r="GS13" s="258"/>
      <c r="GT13" s="258"/>
      <c r="GU13" s="258"/>
      <c r="GV13" s="258"/>
      <c r="GW13" s="258"/>
      <c r="GX13" s="258"/>
      <c r="GY13" s="258"/>
      <c r="GZ13" s="258"/>
      <c r="HA13" s="258"/>
      <c r="HB13" s="258"/>
      <c r="HC13" s="258"/>
      <c r="HD13" s="258"/>
      <c r="HE13" s="258"/>
      <c r="HF13" s="258"/>
      <c r="HG13" s="258"/>
      <c r="HH13" s="258"/>
      <c r="HI13" s="258"/>
      <c r="HJ13" s="258"/>
      <c r="HK13" s="258"/>
      <c r="HL13" s="258"/>
      <c r="HM13" s="258"/>
      <c r="HN13" s="258"/>
      <c r="HO13" s="258"/>
      <c r="HP13" s="258"/>
      <c r="HQ13" s="258"/>
      <c r="HR13" s="258"/>
      <c r="HS13" s="258"/>
      <c r="HT13" s="258"/>
      <c r="HU13" s="258"/>
      <c r="HV13" s="258"/>
      <c r="HW13" s="258"/>
      <c r="HX13" s="258"/>
      <c r="HY13" s="258"/>
      <c r="HZ13" s="258"/>
      <c r="IA13" s="258"/>
      <c r="IB13" s="258"/>
      <c r="IC13" s="258"/>
      <c r="ID13" s="258"/>
      <c r="IE13" s="258"/>
      <c r="IF13" s="258"/>
      <c r="IG13" s="258"/>
      <c r="IH13" s="258"/>
      <c r="II13" s="258"/>
      <c r="IJ13" s="258"/>
      <c r="IK13" s="258"/>
      <c r="IL13" s="258"/>
      <c r="IM13" s="258"/>
      <c r="IN13" s="258"/>
      <c r="IO13" s="258"/>
      <c r="IP13" s="258"/>
      <c r="IQ13" s="258"/>
      <c r="IR13" s="258"/>
      <c r="IS13" s="258"/>
      <c r="IT13" s="258"/>
      <c r="IU13" s="258"/>
      <c r="IV13" s="258"/>
      <c r="IW13" s="258"/>
      <c r="IX13" s="258"/>
      <c r="IY13" s="258"/>
      <c r="IZ13" s="258"/>
      <c r="JA13" s="258"/>
      <c r="JB13" s="258"/>
      <c r="JC13" s="258"/>
      <c r="JD13" s="258"/>
      <c r="JE13" s="258"/>
      <c r="JF13" s="258"/>
      <c r="JG13" s="258"/>
      <c r="JH13" s="258"/>
      <c r="JI13" s="258"/>
      <c r="JJ13" s="258"/>
      <c r="JK13" s="258"/>
      <c r="JL13" s="258"/>
      <c r="JM13" s="258"/>
      <c r="JN13" s="258"/>
      <c r="JO13" s="258"/>
      <c r="JP13" s="258"/>
      <c r="JQ13" s="258"/>
      <c r="JR13" s="258"/>
      <c r="JS13" s="258"/>
      <c r="JT13" s="258"/>
      <c r="JU13" s="258"/>
      <c r="JV13" s="258"/>
      <c r="JW13" s="258"/>
      <c r="JX13" s="258"/>
      <c r="JY13" s="258"/>
      <c r="JZ13" s="258"/>
      <c r="KA13" s="258"/>
      <c r="KB13" s="258"/>
      <c r="KC13" s="258"/>
      <c r="KD13" s="258"/>
      <c r="KE13" s="258"/>
      <c r="KF13" s="258"/>
      <c r="KG13" s="258"/>
      <c r="KH13" s="258"/>
      <c r="KI13" s="258"/>
      <c r="KJ13" s="258"/>
      <c r="KK13" s="258"/>
      <c r="KL13" s="258"/>
      <c r="KM13" s="258"/>
      <c r="KN13" s="258"/>
      <c r="KO13" s="258"/>
      <c r="KP13" s="258"/>
      <c r="KQ13" s="258"/>
      <c r="KR13" s="258"/>
      <c r="KS13" s="258"/>
      <c r="KT13" s="258"/>
      <c r="KU13" s="258"/>
      <c r="KV13" s="258"/>
      <c r="KW13" s="258"/>
      <c r="KX13" s="258"/>
      <c r="KY13" s="258"/>
      <c r="KZ13" s="258"/>
      <c r="LA13" s="258"/>
      <c r="LB13" s="258"/>
      <c r="LC13" s="258"/>
      <c r="LD13" s="258"/>
      <c r="LE13" s="258"/>
      <c r="LF13" s="258"/>
      <c r="LG13" s="258"/>
      <c r="LH13" s="258"/>
    </row>
    <row r="14" spans="1:320" s="259" customFormat="1" ht="45" customHeight="1" thickTop="1" x14ac:dyDescent="0.35">
      <c r="A14" s="266"/>
      <c r="B14" s="370" t="s">
        <v>105</v>
      </c>
      <c r="C14" s="371"/>
      <c r="D14" s="371"/>
      <c r="E14" s="371"/>
      <c r="F14" s="371"/>
      <c r="G14" s="371"/>
      <c r="H14" s="267">
        <f>IF(F5&lt;2,F6*F7,H22-I10)</f>
        <v>1450</v>
      </c>
      <c r="I14" s="368"/>
      <c r="J14" s="268">
        <f>IF((AND($F$5&gt;=2,F25="off")),$F$7*$F$6,IF((AND($F$5&gt;=2,F25="on")),$F$7*$F$26,0))</f>
        <v>1450</v>
      </c>
      <c r="K14" s="269"/>
      <c r="L14" s="268">
        <f>IF($F$5&gt;=3,$J$14,0)</f>
        <v>0</v>
      </c>
      <c r="M14" s="269"/>
      <c r="N14" s="268">
        <f>IF($F$5&gt;=4,$J$14,0)</f>
        <v>0</v>
      </c>
      <c r="O14" s="269"/>
      <c r="P14" s="268">
        <f>IF($F$5&gt;=5,$J$14,0)</f>
        <v>0</v>
      </c>
      <c r="Q14" s="269"/>
      <c r="R14" s="268">
        <f>IF($F$5&gt;=6,$J$14,0)</f>
        <v>0</v>
      </c>
      <c r="S14" s="269"/>
      <c r="T14" s="268">
        <f>IF($F$5&gt;=7,$J$14,0)</f>
        <v>0</v>
      </c>
      <c r="U14" s="269"/>
      <c r="V14" s="268">
        <f>IF($F$5&gt;=8,$J$14,0)</f>
        <v>0</v>
      </c>
      <c r="W14" s="269"/>
      <c r="X14" s="268">
        <f>IF($F$5&gt;=9,$J$14,0)</f>
        <v>0</v>
      </c>
      <c r="Y14" s="269"/>
      <c r="Z14" s="268">
        <f>IF($F$5&gt;=10,$J$14,0)</f>
        <v>0</v>
      </c>
      <c r="AA14" s="269"/>
      <c r="AB14" s="268">
        <f>IF($F$5&gt;=11,$J$14,0)</f>
        <v>0</v>
      </c>
      <c r="AC14" s="269"/>
      <c r="AD14" s="268">
        <f>IF($F$5&gt;=12,$J$14,0)</f>
        <v>0</v>
      </c>
      <c r="AE14" s="269"/>
      <c r="AF14" s="269"/>
      <c r="AG14" s="270"/>
      <c r="AH14" s="270"/>
      <c r="AI14" s="270"/>
      <c r="AJ14" s="270"/>
      <c r="AK14" s="270"/>
      <c r="AL14" s="270"/>
      <c r="AM14" s="270"/>
      <c r="AN14" s="270"/>
      <c r="AO14" s="270"/>
      <c r="AP14" s="270"/>
      <c r="AQ14" s="270"/>
      <c r="AR14" s="270"/>
      <c r="AS14" s="270"/>
      <c r="AT14" s="270"/>
      <c r="AU14" s="270"/>
      <c r="AV14" s="270"/>
      <c r="AW14" s="270"/>
      <c r="AX14" s="270"/>
      <c r="AY14" s="270"/>
      <c r="AZ14" s="270"/>
      <c r="BA14" s="270"/>
      <c r="BB14" s="270"/>
      <c r="BC14" s="270"/>
      <c r="BD14" s="270"/>
      <c r="BE14" s="270"/>
      <c r="BF14" s="270"/>
      <c r="BG14" s="270"/>
      <c r="BH14" s="270"/>
      <c r="BI14" s="270"/>
      <c r="BJ14" s="270"/>
      <c r="BK14" s="270"/>
      <c r="BL14" s="270"/>
      <c r="BM14" s="270"/>
      <c r="BN14" s="270"/>
      <c r="BO14" s="270"/>
      <c r="BP14" s="270"/>
      <c r="BQ14" s="270"/>
      <c r="BR14" s="270"/>
      <c r="BS14" s="270"/>
      <c r="BT14" s="270"/>
      <c r="BU14" s="270"/>
      <c r="BV14" s="270"/>
      <c r="BW14" s="270"/>
      <c r="BX14" s="270"/>
      <c r="BY14" s="270"/>
      <c r="BZ14" s="270"/>
      <c r="CA14" s="270"/>
      <c r="CB14" s="270"/>
      <c r="CC14" s="270"/>
      <c r="CD14" s="270"/>
      <c r="CE14" s="270"/>
      <c r="CF14" s="270"/>
      <c r="CG14" s="270"/>
      <c r="CH14" s="270"/>
      <c r="CI14" s="270"/>
      <c r="CJ14" s="270"/>
      <c r="CK14" s="270"/>
      <c r="CL14" s="270"/>
      <c r="CM14" s="270"/>
      <c r="CN14" s="270"/>
      <c r="CO14" s="270"/>
      <c r="CP14" s="270"/>
      <c r="CQ14" s="270"/>
      <c r="CR14" s="270"/>
      <c r="CS14" s="270"/>
      <c r="CT14" s="270"/>
      <c r="CU14" s="270"/>
      <c r="CV14" s="270"/>
      <c r="CW14" s="270"/>
      <c r="CX14" s="270"/>
      <c r="CY14" s="270"/>
      <c r="CZ14" s="270"/>
      <c r="DA14" s="270"/>
      <c r="DB14" s="270"/>
      <c r="DC14" s="270"/>
      <c r="DD14" s="270"/>
      <c r="DE14" s="270"/>
      <c r="DF14" s="270"/>
      <c r="DG14" s="270"/>
      <c r="DH14" s="270"/>
      <c r="DI14" s="270"/>
      <c r="DJ14" s="270"/>
      <c r="DK14" s="270"/>
      <c r="DL14" s="270"/>
      <c r="DM14" s="270"/>
      <c r="DN14" s="270"/>
      <c r="DO14" s="270"/>
      <c r="DP14" s="270"/>
      <c r="DQ14" s="270"/>
      <c r="DR14" s="270"/>
      <c r="DS14" s="270"/>
      <c r="DT14" s="270"/>
      <c r="DU14" s="270"/>
      <c r="DV14" s="270"/>
      <c r="DW14" s="270"/>
      <c r="DX14" s="270"/>
      <c r="DY14" s="270"/>
      <c r="DZ14" s="270"/>
      <c r="EA14" s="270"/>
      <c r="EB14" s="270"/>
      <c r="EC14" s="270"/>
      <c r="ED14" s="270"/>
      <c r="EE14" s="270"/>
      <c r="EF14" s="270"/>
      <c r="EG14" s="270"/>
      <c r="EH14" s="270"/>
      <c r="EI14" s="270"/>
      <c r="EJ14" s="270"/>
      <c r="EK14" s="270"/>
      <c r="EL14" s="270"/>
      <c r="EM14" s="270"/>
      <c r="EN14" s="270"/>
      <c r="EO14" s="270"/>
      <c r="EP14" s="270"/>
      <c r="EQ14" s="270"/>
      <c r="ER14" s="270"/>
      <c r="ES14" s="270"/>
      <c r="ET14" s="270"/>
      <c r="EU14" s="270"/>
      <c r="EV14" s="270"/>
      <c r="EW14" s="270"/>
      <c r="EX14" s="270"/>
      <c r="EY14" s="270"/>
      <c r="EZ14" s="270"/>
      <c r="FA14" s="270"/>
      <c r="FB14" s="270"/>
      <c r="FC14" s="270"/>
      <c r="FD14" s="270"/>
      <c r="FE14" s="270"/>
      <c r="FF14" s="270"/>
      <c r="FG14" s="270"/>
      <c r="FH14" s="270"/>
      <c r="FI14" s="270"/>
      <c r="FJ14" s="270"/>
      <c r="FK14" s="270"/>
      <c r="FL14" s="270"/>
      <c r="FM14" s="270"/>
      <c r="FN14" s="270"/>
      <c r="FO14" s="270"/>
      <c r="FP14" s="270"/>
      <c r="FQ14" s="270"/>
      <c r="FR14" s="270"/>
      <c r="FS14" s="270"/>
      <c r="FT14" s="270"/>
      <c r="FU14" s="270"/>
      <c r="FV14" s="270"/>
      <c r="FW14" s="270"/>
      <c r="FX14" s="270"/>
      <c r="FY14" s="270"/>
      <c r="FZ14" s="270"/>
      <c r="GA14" s="270"/>
      <c r="GB14" s="270"/>
      <c r="GC14" s="270"/>
      <c r="GD14" s="270"/>
      <c r="GE14" s="270"/>
      <c r="GF14" s="270"/>
      <c r="GG14" s="270"/>
      <c r="GH14" s="270"/>
      <c r="GI14" s="270"/>
      <c r="GJ14" s="270"/>
      <c r="GK14" s="270"/>
      <c r="GL14" s="270"/>
      <c r="GM14" s="270"/>
      <c r="GN14" s="270"/>
      <c r="GO14" s="270"/>
      <c r="GP14" s="270"/>
      <c r="GQ14" s="270"/>
      <c r="GR14" s="270"/>
      <c r="GS14" s="270"/>
      <c r="GT14" s="270"/>
      <c r="GU14" s="270"/>
      <c r="GV14" s="270"/>
      <c r="GW14" s="270"/>
      <c r="GX14" s="270"/>
      <c r="GY14" s="270"/>
      <c r="GZ14" s="270"/>
      <c r="HA14" s="270"/>
      <c r="HB14" s="270"/>
      <c r="HC14" s="270"/>
      <c r="HD14" s="270"/>
      <c r="HE14" s="270"/>
      <c r="HF14" s="270"/>
      <c r="HG14" s="270"/>
      <c r="HH14" s="270"/>
      <c r="HI14" s="270"/>
      <c r="HJ14" s="270"/>
      <c r="HK14" s="270"/>
      <c r="HL14" s="270"/>
      <c r="HM14" s="270"/>
      <c r="HN14" s="270"/>
      <c r="HO14" s="270"/>
      <c r="HP14" s="270"/>
      <c r="HQ14" s="270"/>
      <c r="HR14" s="270"/>
      <c r="HS14" s="270"/>
      <c r="HT14" s="270"/>
      <c r="HU14" s="270"/>
      <c r="HV14" s="270"/>
      <c r="HW14" s="270"/>
      <c r="HX14" s="270"/>
      <c r="HY14" s="270"/>
      <c r="HZ14" s="270"/>
      <c r="IA14" s="270"/>
      <c r="IB14" s="270"/>
      <c r="IC14" s="270"/>
      <c r="ID14" s="270"/>
      <c r="IE14" s="270"/>
      <c r="IF14" s="270"/>
      <c r="IG14" s="270"/>
      <c r="IH14" s="270"/>
      <c r="II14" s="270"/>
      <c r="IJ14" s="270"/>
      <c r="IK14" s="270"/>
      <c r="IL14" s="270"/>
      <c r="IM14" s="270"/>
      <c r="IN14" s="270"/>
      <c r="IO14" s="270"/>
      <c r="IP14" s="270"/>
      <c r="IQ14" s="270"/>
      <c r="IR14" s="270"/>
      <c r="IS14" s="270"/>
      <c r="IT14" s="270"/>
      <c r="IU14" s="270"/>
      <c r="IV14" s="270"/>
      <c r="IW14" s="270"/>
      <c r="IX14" s="270"/>
      <c r="IY14" s="270"/>
      <c r="IZ14" s="270"/>
      <c r="JA14" s="270"/>
      <c r="JB14" s="270"/>
      <c r="JC14" s="270"/>
      <c r="JD14" s="270"/>
      <c r="JE14" s="270"/>
      <c r="JF14" s="270"/>
      <c r="JG14" s="270"/>
      <c r="JH14" s="270"/>
      <c r="JI14" s="270"/>
      <c r="JJ14" s="270"/>
      <c r="JK14" s="270"/>
      <c r="JL14" s="270"/>
      <c r="JM14" s="270"/>
      <c r="JN14" s="270"/>
      <c r="JO14" s="270"/>
      <c r="JP14" s="270"/>
      <c r="JQ14" s="270"/>
      <c r="JR14" s="270"/>
      <c r="JS14" s="270"/>
      <c r="JT14" s="270"/>
      <c r="JU14" s="270"/>
      <c r="JV14" s="270"/>
      <c r="JW14" s="270"/>
      <c r="JX14" s="270"/>
      <c r="JY14" s="270"/>
      <c r="JZ14" s="270"/>
      <c r="KA14" s="270"/>
      <c r="KB14" s="270"/>
      <c r="KC14" s="270"/>
      <c r="KD14" s="270"/>
      <c r="KE14" s="270"/>
      <c r="KF14" s="270"/>
      <c r="KG14" s="270"/>
      <c r="KH14" s="270"/>
      <c r="KI14" s="270"/>
      <c r="KJ14" s="270"/>
      <c r="KK14" s="270"/>
      <c r="KL14" s="270"/>
      <c r="KM14" s="270"/>
      <c r="KN14" s="270"/>
      <c r="KO14" s="270"/>
      <c r="KP14" s="270"/>
      <c r="KQ14" s="270"/>
      <c r="KR14" s="270"/>
      <c r="KS14" s="270"/>
      <c r="KT14" s="270"/>
      <c r="KU14" s="270"/>
      <c r="KV14" s="270"/>
      <c r="KW14" s="270"/>
      <c r="KX14" s="270"/>
      <c r="KY14" s="270"/>
      <c r="KZ14" s="270"/>
      <c r="LA14" s="270"/>
      <c r="LB14" s="270"/>
      <c r="LC14" s="270"/>
      <c r="LD14" s="270"/>
      <c r="LE14" s="270"/>
      <c r="LF14" s="270"/>
      <c r="LG14" s="270"/>
      <c r="LH14" s="270"/>
    </row>
    <row r="15" spans="1:320" s="169" customFormat="1" ht="33.75" hidden="1" customHeight="1" x14ac:dyDescent="0.3">
      <c r="A15" s="175"/>
      <c r="B15" s="370"/>
      <c r="C15" s="371"/>
      <c r="D15" s="371"/>
      <c r="E15" s="371"/>
      <c r="F15" s="371"/>
      <c r="G15" s="371"/>
      <c r="H15" s="174">
        <f>IF($F$5&gt;=H4,1/G3,0)</f>
        <v>5.0000000000000001E-3</v>
      </c>
      <c r="I15" s="368"/>
      <c r="J15" s="173">
        <f>IF($F$5&gt;J4,$H$15/($F$4^J4),0)</f>
        <v>1.75E-3</v>
      </c>
      <c r="K15" s="172"/>
      <c r="L15" s="173">
        <f>IF($F$5&gt;L4,$H$15/($F$4^L4),0)</f>
        <v>0</v>
      </c>
      <c r="M15" s="172"/>
      <c r="N15" s="173">
        <f>IF($F$5&gt;N4,$H$15/($F$4^N4),0)</f>
        <v>0</v>
      </c>
      <c r="O15" s="172"/>
      <c r="P15" s="173">
        <f>IF($F$5&gt;P4,$H$15/($F$4^P4),0)</f>
        <v>0</v>
      </c>
      <c r="Q15" s="172"/>
      <c r="R15" s="173">
        <f>IF($F$5&gt;R4,$H$15/($F$4^R4),0)</f>
        <v>0</v>
      </c>
      <c r="S15" s="172"/>
      <c r="T15" s="173">
        <f>IF($F$5&gt;T4,$H$15/($F$4^T4),0)</f>
        <v>0</v>
      </c>
      <c r="U15" s="172"/>
      <c r="V15" s="173">
        <f>IF($F$5&gt;V4,$H$15/($F$4^V4),0)</f>
        <v>0</v>
      </c>
      <c r="W15" s="172"/>
      <c r="X15" s="173">
        <f>IF($F$5&gt;X4,$H$15/($F$4^X4),0)</f>
        <v>0</v>
      </c>
      <c r="Y15" s="172"/>
      <c r="Z15" s="173">
        <f>IF($F$5&gt;Z4,$H$15/($F$4^Z4),0)</f>
        <v>0</v>
      </c>
      <c r="AA15" s="172"/>
      <c r="AB15" s="173">
        <f>IF($F$5&gt;AB4,$H$15/($F$4^AB4),0)</f>
        <v>0</v>
      </c>
      <c r="AC15" s="172"/>
      <c r="AD15" s="173">
        <f>IF($F$5&gt;AD4,$H$15/($F$4^AD4),0)</f>
        <v>0</v>
      </c>
      <c r="AE15" s="172"/>
      <c r="AF15" s="171"/>
      <c r="AG15" s="170"/>
      <c r="AH15" s="170"/>
      <c r="AI15" s="170"/>
      <c r="AJ15" s="170"/>
      <c r="AK15" s="170"/>
      <c r="AL15" s="170"/>
      <c r="AM15" s="170"/>
      <c r="AN15" s="170"/>
      <c r="AO15" s="170"/>
      <c r="AP15" s="170"/>
      <c r="AQ15" s="170"/>
      <c r="AR15" s="170"/>
      <c r="AS15" s="170"/>
      <c r="AT15" s="170"/>
      <c r="AU15" s="170"/>
      <c r="AV15" s="170"/>
      <c r="AW15" s="170"/>
      <c r="AX15" s="170"/>
      <c r="AY15" s="170"/>
      <c r="AZ15" s="170"/>
      <c r="BA15" s="170"/>
      <c r="BB15" s="170"/>
      <c r="BC15" s="170"/>
      <c r="BD15" s="170"/>
      <c r="BE15" s="170"/>
      <c r="BF15" s="170"/>
      <c r="BG15" s="170"/>
      <c r="BH15" s="170"/>
      <c r="BI15" s="170"/>
      <c r="BJ15" s="170"/>
      <c r="BK15" s="170"/>
      <c r="BL15" s="170"/>
      <c r="BM15" s="170"/>
      <c r="BN15" s="170"/>
      <c r="BO15" s="170"/>
      <c r="BP15" s="170"/>
      <c r="BQ15" s="170"/>
      <c r="BR15" s="170"/>
      <c r="BS15" s="170"/>
      <c r="BT15" s="170"/>
      <c r="BU15" s="170"/>
      <c r="BV15" s="170"/>
      <c r="BW15" s="170"/>
      <c r="BX15" s="170"/>
      <c r="BY15" s="170"/>
      <c r="BZ15" s="170"/>
      <c r="CA15" s="170"/>
      <c r="CB15" s="170"/>
      <c r="CC15" s="170"/>
      <c r="CD15" s="170"/>
      <c r="CE15" s="170"/>
      <c r="CF15" s="170"/>
      <c r="CG15" s="170"/>
      <c r="CH15" s="170"/>
      <c r="CI15" s="170"/>
      <c r="CJ15" s="170"/>
      <c r="CK15" s="170"/>
      <c r="CL15" s="170"/>
      <c r="CM15" s="170"/>
      <c r="CN15" s="170"/>
      <c r="CO15" s="170"/>
      <c r="CP15" s="170"/>
      <c r="CQ15" s="170"/>
      <c r="CR15" s="170"/>
      <c r="CS15" s="170"/>
      <c r="CT15" s="170"/>
      <c r="CU15" s="170"/>
      <c r="CV15" s="170"/>
      <c r="CW15" s="170"/>
      <c r="CX15" s="170"/>
      <c r="CY15" s="170"/>
      <c r="CZ15" s="170"/>
      <c r="DA15" s="170"/>
      <c r="DB15" s="170"/>
      <c r="DC15" s="170"/>
      <c r="DD15" s="170"/>
      <c r="DE15" s="170"/>
      <c r="DF15" s="170"/>
      <c r="DG15" s="170"/>
      <c r="DH15" s="170"/>
      <c r="DI15" s="170"/>
      <c r="DJ15" s="170"/>
      <c r="DK15" s="170"/>
      <c r="DL15" s="170"/>
      <c r="DM15" s="170"/>
      <c r="DN15" s="170"/>
      <c r="DO15" s="170"/>
      <c r="DP15" s="170"/>
      <c r="DQ15" s="170"/>
      <c r="DR15" s="170"/>
      <c r="DS15" s="170"/>
      <c r="DT15" s="170"/>
      <c r="DU15" s="170"/>
      <c r="DV15" s="170"/>
      <c r="DW15" s="170"/>
      <c r="DX15" s="170"/>
      <c r="DY15" s="170"/>
      <c r="DZ15" s="170"/>
      <c r="EA15" s="170"/>
      <c r="EB15" s="170"/>
      <c r="EC15" s="170"/>
      <c r="ED15" s="170"/>
      <c r="EE15" s="170"/>
      <c r="EF15" s="170"/>
      <c r="EG15" s="170"/>
      <c r="EH15" s="170"/>
      <c r="EI15" s="170"/>
      <c r="EJ15" s="170"/>
      <c r="EK15" s="170"/>
      <c r="EL15" s="170"/>
      <c r="EM15" s="170"/>
      <c r="EN15" s="170"/>
      <c r="EO15" s="170"/>
      <c r="EP15" s="170"/>
      <c r="EQ15" s="170"/>
      <c r="ER15" s="170"/>
      <c r="ES15" s="170"/>
      <c r="ET15" s="170"/>
      <c r="EU15" s="170"/>
      <c r="EV15" s="170"/>
      <c r="EW15" s="170"/>
      <c r="EX15" s="170"/>
      <c r="EY15" s="170"/>
      <c r="EZ15" s="170"/>
      <c r="FA15" s="170"/>
      <c r="FB15" s="170"/>
      <c r="FC15" s="170"/>
      <c r="FD15" s="170"/>
      <c r="FE15" s="170"/>
      <c r="FF15" s="170"/>
      <c r="FG15" s="170"/>
      <c r="FH15" s="170"/>
      <c r="FI15" s="170"/>
      <c r="FJ15" s="170"/>
      <c r="FK15" s="170"/>
      <c r="FL15" s="170"/>
      <c r="FM15" s="170"/>
      <c r="FN15" s="170"/>
      <c r="FO15" s="170"/>
      <c r="FP15" s="170"/>
      <c r="FQ15" s="170"/>
      <c r="FR15" s="170"/>
      <c r="FS15" s="170"/>
      <c r="FT15" s="170"/>
      <c r="FU15" s="170"/>
      <c r="FV15" s="170"/>
      <c r="FW15" s="170"/>
      <c r="FX15" s="170"/>
      <c r="FY15" s="170"/>
      <c r="FZ15" s="170"/>
      <c r="GA15" s="170"/>
      <c r="GB15" s="170"/>
      <c r="GC15" s="170"/>
      <c r="GD15" s="170"/>
      <c r="GE15" s="170"/>
      <c r="GF15" s="170"/>
      <c r="GG15" s="170"/>
      <c r="GH15" s="170"/>
      <c r="GI15" s="170"/>
      <c r="GJ15" s="170"/>
      <c r="GK15" s="170"/>
      <c r="GL15" s="170"/>
      <c r="GM15" s="170"/>
      <c r="GN15" s="170"/>
      <c r="GO15" s="170"/>
      <c r="GP15" s="170"/>
      <c r="GQ15" s="170"/>
      <c r="GR15" s="170"/>
      <c r="GS15" s="170"/>
      <c r="GT15" s="170"/>
      <c r="GU15" s="170"/>
      <c r="GV15" s="170"/>
      <c r="GW15" s="170"/>
      <c r="GX15" s="170"/>
      <c r="GY15" s="170"/>
      <c r="GZ15" s="170"/>
      <c r="HA15" s="170"/>
      <c r="HB15" s="170"/>
      <c r="HC15" s="170"/>
      <c r="HD15" s="170"/>
      <c r="HE15" s="170"/>
      <c r="HF15" s="170"/>
      <c r="HG15" s="170"/>
      <c r="HH15" s="170"/>
      <c r="HI15" s="170"/>
      <c r="HJ15" s="170"/>
      <c r="HK15" s="170"/>
      <c r="HL15" s="170"/>
      <c r="HM15" s="170"/>
      <c r="HN15" s="170"/>
      <c r="HO15" s="170"/>
      <c r="HP15" s="170"/>
      <c r="HQ15" s="170"/>
      <c r="HR15" s="170"/>
      <c r="HS15" s="170"/>
      <c r="HT15" s="170"/>
      <c r="HU15" s="170"/>
      <c r="HV15" s="170"/>
      <c r="HW15" s="170"/>
      <c r="HX15" s="170"/>
      <c r="HY15" s="170"/>
      <c r="HZ15" s="170"/>
      <c r="IA15" s="170"/>
      <c r="IB15" s="170"/>
      <c r="IC15" s="170"/>
      <c r="ID15" s="170"/>
      <c r="IE15" s="170"/>
      <c r="IF15" s="170"/>
      <c r="IG15" s="170"/>
      <c r="IH15" s="170"/>
      <c r="II15" s="170"/>
      <c r="IJ15" s="170"/>
      <c r="IK15" s="170"/>
      <c r="IL15" s="170"/>
      <c r="IM15" s="170"/>
      <c r="IN15" s="170"/>
      <c r="IO15" s="170"/>
      <c r="IP15" s="170"/>
      <c r="IQ15" s="170"/>
      <c r="IR15" s="170"/>
      <c r="IS15" s="170"/>
      <c r="IT15" s="170"/>
      <c r="IU15" s="170"/>
      <c r="IV15" s="170"/>
      <c r="IW15" s="170"/>
      <c r="IX15" s="170"/>
      <c r="IY15" s="170"/>
      <c r="IZ15" s="170"/>
      <c r="JA15" s="170"/>
      <c r="JB15" s="170"/>
      <c r="JC15" s="170"/>
      <c r="JD15" s="170"/>
      <c r="JE15" s="170"/>
      <c r="JF15" s="170"/>
      <c r="JG15" s="170"/>
      <c r="JH15" s="170"/>
      <c r="JI15" s="170"/>
      <c r="JJ15" s="170"/>
      <c r="JK15" s="170"/>
      <c r="JL15" s="170"/>
      <c r="JM15" s="170"/>
      <c r="JN15" s="170"/>
      <c r="JO15" s="170"/>
      <c r="JP15" s="170"/>
      <c r="JQ15" s="170"/>
      <c r="JR15" s="170"/>
      <c r="JS15" s="170"/>
      <c r="JT15" s="170"/>
      <c r="JU15" s="170"/>
      <c r="JV15" s="170"/>
      <c r="JW15" s="170"/>
      <c r="JX15" s="170"/>
      <c r="JY15" s="170"/>
      <c r="JZ15" s="170"/>
      <c r="KA15" s="170"/>
      <c r="KB15" s="170"/>
      <c r="KC15" s="170"/>
      <c r="KD15" s="170"/>
      <c r="KE15" s="170"/>
      <c r="KF15" s="170"/>
      <c r="KG15" s="170"/>
      <c r="KH15" s="170"/>
      <c r="KI15" s="170"/>
      <c r="KJ15" s="170"/>
      <c r="KK15" s="170"/>
      <c r="KL15" s="170"/>
      <c r="KM15" s="170"/>
      <c r="KN15" s="170"/>
      <c r="KO15" s="170"/>
      <c r="KP15" s="170"/>
      <c r="KQ15" s="170"/>
      <c r="KR15" s="170"/>
      <c r="KS15" s="170"/>
      <c r="KT15" s="170"/>
      <c r="KU15" s="170"/>
      <c r="KV15" s="170"/>
      <c r="KW15" s="170"/>
      <c r="KX15" s="170"/>
      <c r="KY15" s="170"/>
      <c r="KZ15" s="170"/>
      <c r="LA15" s="170"/>
      <c r="LB15" s="170"/>
      <c r="LC15" s="170"/>
      <c r="LD15" s="170"/>
      <c r="LE15" s="170"/>
      <c r="LF15" s="170"/>
      <c r="LG15" s="170"/>
      <c r="LH15" s="170"/>
    </row>
    <row r="16" spans="1:320" s="265" customFormat="1" ht="45" customHeight="1" x14ac:dyDescent="0.35">
      <c r="A16" s="260"/>
      <c r="B16" s="372" t="s">
        <v>150</v>
      </c>
      <c r="C16" s="373"/>
      <c r="D16" s="373"/>
      <c r="E16" s="373"/>
      <c r="F16" s="373"/>
      <c r="G16" s="373"/>
      <c r="H16" s="283">
        <f>IF($F$5&gt;=H4,$F$2*H15,0)</f>
        <v>10</v>
      </c>
      <c r="I16" s="368"/>
      <c r="J16" s="261">
        <f>IF($F$5&gt;=J4,$F$2*J15,0)</f>
        <v>3.5</v>
      </c>
      <c r="K16" s="262"/>
      <c r="L16" s="261">
        <f>IF($F$5&gt;=L4,$F$2*L15,0)</f>
        <v>0</v>
      </c>
      <c r="M16" s="262"/>
      <c r="N16" s="261">
        <f>IF($F$5&gt;=N4,$F$2*N15,0)</f>
        <v>0</v>
      </c>
      <c r="O16" s="262"/>
      <c r="P16" s="261">
        <f>IF($F$5&gt;=P4,$F$2*P15,0)</f>
        <v>0</v>
      </c>
      <c r="Q16" s="262"/>
      <c r="R16" s="261">
        <f>IF($F$5&gt;=R4,$F$2*R15,0)</f>
        <v>0</v>
      </c>
      <c r="S16" s="262"/>
      <c r="T16" s="261">
        <f>IF($F$5&gt;=T4,$F$2*T15,0)</f>
        <v>0</v>
      </c>
      <c r="U16" s="262"/>
      <c r="V16" s="261">
        <f>IF($F$5&gt;=V4,$F$2*V15,0)</f>
        <v>0</v>
      </c>
      <c r="W16" s="262"/>
      <c r="X16" s="261">
        <f>IF($F$5&gt;=X4,$F$2*X15,0)</f>
        <v>0</v>
      </c>
      <c r="Y16" s="262"/>
      <c r="Z16" s="261">
        <f>IF($F$5&gt;=Z4,$F$2*Z15,0)</f>
        <v>0</v>
      </c>
      <c r="AA16" s="262"/>
      <c r="AB16" s="261">
        <f>IF($F$5&gt;=AB4,$F$2*AB15,0)</f>
        <v>0</v>
      </c>
      <c r="AC16" s="262"/>
      <c r="AD16" s="261">
        <f>IF($F$5&gt;=AD4,$F$2*AD15,0)</f>
        <v>0</v>
      </c>
      <c r="AE16" s="263"/>
      <c r="AF16" s="264"/>
      <c r="AG16" s="264"/>
      <c r="AH16" s="264"/>
      <c r="AI16" s="264"/>
      <c r="AJ16" s="264"/>
      <c r="AK16" s="264"/>
      <c r="AL16" s="264"/>
      <c r="AM16" s="264"/>
      <c r="AN16" s="264"/>
      <c r="AO16" s="264"/>
      <c r="AP16" s="264"/>
      <c r="AQ16" s="264"/>
      <c r="AR16" s="264"/>
      <c r="AS16" s="264"/>
      <c r="AT16" s="264"/>
      <c r="AU16" s="264"/>
      <c r="AV16" s="264"/>
      <c r="AW16" s="264"/>
      <c r="AX16" s="264"/>
      <c r="AY16" s="264"/>
      <c r="AZ16" s="264"/>
      <c r="BA16" s="264"/>
      <c r="BB16" s="264"/>
      <c r="BC16" s="264"/>
      <c r="BD16" s="264"/>
      <c r="BE16" s="264"/>
      <c r="BF16" s="264"/>
      <c r="BG16" s="264"/>
      <c r="BH16" s="264"/>
      <c r="BI16" s="264"/>
      <c r="BJ16" s="264"/>
      <c r="BK16" s="264"/>
      <c r="BL16" s="264"/>
      <c r="BM16" s="264"/>
      <c r="BN16" s="264"/>
      <c r="BO16" s="264"/>
      <c r="BP16" s="264"/>
      <c r="BQ16" s="264"/>
      <c r="BR16" s="264"/>
      <c r="BS16" s="264"/>
      <c r="BT16" s="264"/>
      <c r="BU16" s="264"/>
      <c r="BV16" s="264"/>
      <c r="BW16" s="264"/>
      <c r="BX16" s="264"/>
      <c r="BY16" s="264"/>
      <c r="BZ16" s="264"/>
      <c r="CA16" s="264"/>
      <c r="CB16" s="264"/>
      <c r="CC16" s="264"/>
      <c r="CD16" s="264"/>
      <c r="CE16" s="264"/>
      <c r="CF16" s="264"/>
      <c r="CG16" s="264"/>
      <c r="CH16" s="264"/>
      <c r="CI16" s="264"/>
      <c r="CJ16" s="264"/>
      <c r="CK16" s="264"/>
      <c r="CL16" s="264"/>
      <c r="CM16" s="264"/>
      <c r="CN16" s="264"/>
      <c r="CO16" s="264"/>
      <c r="CP16" s="264"/>
      <c r="CQ16" s="264"/>
      <c r="CR16" s="264"/>
      <c r="CS16" s="264"/>
      <c r="CT16" s="264"/>
      <c r="CU16" s="264"/>
      <c r="CV16" s="264"/>
      <c r="CW16" s="264"/>
      <c r="CX16" s="264"/>
      <c r="CY16" s="264"/>
      <c r="CZ16" s="264"/>
      <c r="DA16" s="264"/>
      <c r="DB16" s="264"/>
      <c r="DC16" s="264"/>
      <c r="DD16" s="264"/>
      <c r="DE16" s="264"/>
      <c r="DF16" s="264"/>
      <c r="DG16" s="264"/>
      <c r="DH16" s="264"/>
      <c r="DI16" s="264"/>
      <c r="DJ16" s="264"/>
      <c r="DK16" s="264"/>
      <c r="DL16" s="264"/>
      <c r="DM16" s="264"/>
      <c r="DN16" s="264"/>
      <c r="DO16" s="264"/>
      <c r="DP16" s="264"/>
      <c r="DQ16" s="264"/>
      <c r="DR16" s="264"/>
      <c r="DS16" s="264"/>
      <c r="DT16" s="264"/>
      <c r="DU16" s="264"/>
      <c r="DV16" s="264"/>
      <c r="DW16" s="264"/>
      <c r="DX16" s="264"/>
      <c r="DY16" s="264"/>
      <c r="DZ16" s="264"/>
      <c r="EA16" s="264"/>
      <c r="EB16" s="264"/>
      <c r="EC16" s="264"/>
      <c r="ED16" s="264"/>
      <c r="EE16" s="264"/>
      <c r="EF16" s="264"/>
      <c r="EG16" s="264"/>
      <c r="EH16" s="264"/>
      <c r="EI16" s="264"/>
      <c r="EJ16" s="264"/>
      <c r="EK16" s="264"/>
      <c r="EL16" s="264"/>
      <c r="EM16" s="264"/>
      <c r="EN16" s="264"/>
      <c r="EO16" s="264"/>
      <c r="EP16" s="264"/>
      <c r="EQ16" s="264"/>
      <c r="ER16" s="264"/>
      <c r="ES16" s="264"/>
      <c r="ET16" s="264"/>
      <c r="EU16" s="264"/>
      <c r="EV16" s="264"/>
      <c r="EW16" s="264"/>
      <c r="EX16" s="264"/>
      <c r="EY16" s="264"/>
      <c r="EZ16" s="264"/>
      <c r="FA16" s="264"/>
      <c r="FB16" s="264"/>
      <c r="FC16" s="264"/>
      <c r="FD16" s="264"/>
      <c r="FE16" s="264"/>
      <c r="FF16" s="264"/>
      <c r="FG16" s="264"/>
      <c r="FH16" s="264"/>
      <c r="FI16" s="264"/>
      <c r="FJ16" s="264"/>
      <c r="FK16" s="264"/>
      <c r="FL16" s="264"/>
      <c r="FM16" s="264"/>
      <c r="FN16" s="264"/>
      <c r="FO16" s="264"/>
      <c r="FP16" s="264"/>
      <c r="FQ16" s="264"/>
      <c r="FR16" s="264"/>
      <c r="FS16" s="264"/>
      <c r="FT16" s="264"/>
      <c r="FU16" s="264"/>
      <c r="FV16" s="264"/>
      <c r="FW16" s="264"/>
      <c r="FX16" s="264"/>
      <c r="FY16" s="264"/>
      <c r="FZ16" s="264"/>
      <c r="GA16" s="264"/>
      <c r="GB16" s="264"/>
      <c r="GC16" s="264"/>
      <c r="GD16" s="264"/>
      <c r="GE16" s="264"/>
      <c r="GF16" s="264"/>
      <c r="GG16" s="264"/>
      <c r="GH16" s="264"/>
      <c r="GI16" s="264"/>
      <c r="GJ16" s="264"/>
      <c r="GK16" s="264"/>
      <c r="GL16" s="264"/>
      <c r="GM16" s="264"/>
      <c r="GN16" s="264"/>
      <c r="GO16" s="264"/>
      <c r="GP16" s="264"/>
      <c r="GQ16" s="264"/>
      <c r="GR16" s="264"/>
      <c r="GS16" s="264"/>
      <c r="GT16" s="264"/>
      <c r="GU16" s="264"/>
      <c r="GV16" s="264"/>
      <c r="GW16" s="264"/>
      <c r="GX16" s="264"/>
      <c r="GY16" s="264"/>
      <c r="GZ16" s="264"/>
      <c r="HA16" s="264"/>
      <c r="HB16" s="264"/>
      <c r="HC16" s="264"/>
      <c r="HD16" s="264"/>
      <c r="HE16" s="264"/>
      <c r="HF16" s="264"/>
      <c r="HG16" s="264"/>
      <c r="HH16" s="264"/>
      <c r="HI16" s="264"/>
      <c r="HJ16" s="264"/>
      <c r="HK16" s="264"/>
      <c r="HL16" s="264"/>
      <c r="HM16" s="264"/>
      <c r="HN16" s="264"/>
      <c r="HO16" s="264"/>
      <c r="HP16" s="264"/>
      <c r="HQ16" s="264"/>
      <c r="HR16" s="264"/>
      <c r="HS16" s="264"/>
      <c r="HT16" s="264"/>
      <c r="HU16" s="264"/>
      <c r="HV16" s="264"/>
      <c r="HW16" s="264"/>
      <c r="HX16" s="264"/>
      <c r="HY16" s="264"/>
      <c r="HZ16" s="264"/>
      <c r="IA16" s="264"/>
      <c r="IB16" s="264"/>
      <c r="IC16" s="264"/>
      <c r="ID16" s="264"/>
      <c r="IE16" s="264"/>
      <c r="IF16" s="264"/>
      <c r="IG16" s="264"/>
      <c r="IH16" s="264"/>
      <c r="II16" s="264"/>
      <c r="IJ16" s="264"/>
      <c r="IK16" s="264"/>
      <c r="IL16" s="264"/>
      <c r="IM16" s="264"/>
      <c r="IN16" s="264"/>
      <c r="IO16" s="264"/>
      <c r="IP16" s="264"/>
      <c r="IQ16" s="264"/>
      <c r="IR16" s="264"/>
      <c r="IS16" s="264"/>
      <c r="IT16" s="264"/>
      <c r="IU16" s="264"/>
      <c r="IV16" s="264"/>
      <c r="IW16" s="264"/>
      <c r="IX16" s="264"/>
      <c r="IY16" s="264"/>
      <c r="IZ16" s="264"/>
      <c r="JA16" s="264"/>
      <c r="JB16" s="264"/>
      <c r="JC16" s="264"/>
      <c r="JD16" s="264"/>
      <c r="JE16" s="264"/>
      <c r="JF16" s="264"/>
      <c r="JG16" s="264"/>
      <c r="JH16" s="264"/>
      <c r="JI16" s="264"/>
      <c r="JJ16" s="264"/>
      <c r="JK16" s="264"/>
      <c r="JL16" s="264"/>
      <c r="JM16" s="264"/>
      <c r="JN16" s="264"/>
      <c r="JO16" s="264"/>
      <c r="JP16" s="264"/>
      <c r="JQ16" s="264"/>
      <c r="JR16" s="264"/>
      <c r="JS16" s="264"/>
      <c r="JT16" s="264"/>
      <c r="JU16" s="264"/>
      <c r="JV16" s="264"/>
      <c r="JW16" s="264"/>
      <c r="JX16" s="264"/>
      <c r="JY16" s="264"/>
      <c r="JZ16" s="264"/>
      <c r="KA16" s="264"/>
      <c r="KB16" s="264"/>
      <c r="KC16" s="264"/>
      <c r="KD16" s="264"/>
      <c r="KE16" s="264"/>
      <c r="KF16" s="264"/>
      <c r="KG16" s="264"/>
      <c r="KH16" s="264"/>
      <c r="KI16" s="264"/>
      <c r="KJ16" s="264"/>
      <c r="KK16" s="264"/>
      <c r="KL16" s="264"/>
      <c r="KM16" s="264"/>
      <c r="KN16" s="264"/>
      <c r="KO16" s="264"/>
      <c r="KP16" s="264"/>
      <c r="KQ16" s="264"/>
      <c r="KR16" s="264"/>
      <c r="KS16" s="264"/>
      <c r="KT16" s="264"/>
      <c r="KU16" s="264"/>
      <c r="KV16" s="264"/>
      <c r="KW16" s="264"/>
      <c r="KX16" s="264"/>
      <c r="KY16" s="264"/>
      <c r="KZ16" s="264"/>
      <c r="LA16" s="264"/>
      <c r="LB16" s="264"/>
      <c r="LC16" s="264"/>
      <c r="LD16" s="264"/>
      <c r="LE16" s="264"/>
      <c r="LF16" s="264"/>
      <c r="LG16" s="264"/>
      <c r="LH16" s="264"/>
    </row>
    <row r="17" spans="1:320" s="265" customFormat="1" ht="24" thickBot="1" x14ac:dyDescent="0.4">
      <c r="A17" s="260"/>
      <c r="B17" s="374" t="s">
        <v>151</v>
      </c>
      <c r="C17" s="375"/>
      <c r="D17" s="375"/>
      <c r="E17" s="375"/>
      <c r="F17" s="375"/>
      <c r="G17" s="375"/>
      <c r="H17" s="289">
        <f>H16/1000</f>
        <v>0.01</v>
      </c>
      <c r="I17" s="279"/>
      <c r="J17" s="290">
        <f>J16/1000</f>
        <v>3.5000000000000001E-3</v>
      </c>
      <c r="K17" s="23"/>
      <c r="L17" s="290">
        <f>L16/1000</f>
        <v>0</v>
      </c>
      <c r="M17" s="23"/>
      <c r="N17" s="290">
        <f>N16/1000</f>
        <v>0</v>
      </c>
      <c r="O17" s="23"/>
      <c r="P17" s="290">
        <f>P16/1000</f>
        <v>0</v>
      </c>
      <c r="Q17" s="23"/>
      <c r="R17" s="290">
        <f>R16/1000</f>
        <v>0</v>
      </c>
      <c r="S17" s="23"/>
      <c r="T17" s="290">
        <f>T16/1000</f>
        <v>0</v>
      </c>
      <c r="U17" s="23"/>
      <c r="V17" s="290"/>
      <c r="W17" s="23"/>
      <c r="X17" s="290"/>
      <c r="Y17" s="23"/>
      <c r="Z17" s="290"/>
      <c r="AA17" s="23"/>
      <c r="AB17" s="290"/>
      <c r="AC17" s="262"/>
      <c r="AD17" s="261"/>
      <c r="AE17" s="263"/>
      <c r="AF17" s="264"/>
      <c r="AG17" s="264"/>
      <c r="AH17" s="264"/>
      <c r="AI17" s="264"/>
      <c r="AJ17" s="264"/>
      <c r="AK17" s="264"/>
      <c r="AL17" s="264"/>
      <c r="AM17" s="264"/>
      <c r="AN17" s="264"/>
      <c r="AO17" s="264"/>
      <c r="AP17" s="264"/>
      <c r="AQ17" s="264"/>
      <c r="AR17" s="264"/>
      <c r="AS17" s="264"/>
      <c r="AT17" s="264"/>
      <c r="AU17" s="264"/>
      <c r="AV17" s="264"/>
      <c r="AW17" s="264"/>
      <c r="AX17" s="264"/>
      <c r="AY17" s="264"/>
      <c r="AZ17" s="264"/>
      <c r="BA17" s="264"/>
      <c r="BB17" s="264"/>
      <c r="BC17" s="264"/>
      <c r="BD17" s="264"/>
      <c r="BE17" s="264"/>
      <c r="BF17" s="264"/>
      <c r="BG17" s="264"/>
      <c r="BH17" s="264"/>
      <c r="BI17" s="264"/>
      <c r="BJ17" s="264"/>
      <c r="BK17" s="264"/>
      <c r="BL17" s="264"/>
      <c r="BM17" s="264"/>
      <c r="BN17" s="264"/>
      <c r="BO17" s="264"/>
      <c r="BP17" s="264"/>
      <c r="BQ17" s="264"/>
      <c r="BR17" s="264"/>
      <c r="BS17" s="264"/>
      <c r="BT17" s="264"/>
      <c r="BU17" s="264"/>
      <c r="BV17" s="264"/>
      <c r="BW17" s="264"/>
      <c r="BX17" s="264"/>
      <c r="BY17" s="264"/>
      <c r="BZ17" s="264"/>
      <c r="CA17" s="264"/>
      <c r="CB17" s="264"/>
      <c r="CC17" s="264"/>
      <c r="CD17" s="264"/>
      <c r="CE17" s="264"/>
      <c r="CF17" s="264"/>
      <c r="CG17" s="264"/>
      <c r="CH17" s="264"/>
      <c r="CI17" s="264"/>
      <c r="CJ17" s="264"/>
      <c r="CK17" s="264"/>
      <c r="CL17" s="264"/>
      <c r="CM17" s="264"/>
      <c r="CN17" s="264"/>
      <c r="CO17" s="264"/>
      <c r="CP17" s="264"/>
      <c r="CQ17" s="264"/>
      <c r="CR17" s="264"/>
      <c r="CS17" s="264"/>
      <c r="CT17" s="264"/>
      <c r="CU17" s="264"/>
      <c r="CV17" s="264"/>
      <c r="CW17" s="264"/>
      <c r="CX17" s="264"/>
      <c r="CY17" s="264"/>
      <c r="CZ17" s="264"/>
      <c r="DA17" s="264"/>
      <c r="DB17" s="264"/>
      <c r="DC17" s="264"/>
      <c r="DD17" s="264"/>
      <c r="DE17" s="264"/>
      <c r="DF17" s="264"/>
      <c r="DG17" s="264"/>
      <c r="DH17" s="264"/>
      <c r="DI17" s="264"/>
      <c r="DJ17" s="264"/>
      <c r="DK17" s="264"/>
      <c r="DL17" s="264"/>
      <c r="DM17" s="264"/>
      <c r="DN17" s="264"/>
      <c r="DO17" s="264"/>
      <c r="DP17" s="264"/>
      <c r="DQ17" s="264"/>
      <c r="DR17" s="264"/>
      <c r="DS17" s="264"/>
      <c r="DT17" s="264"/>
      <c r="DU17" s="264"/>
      <c r="DV17" s="264"/>
      <c r="DW17" s="264"/>
      <c r="DX17" s="264"/>
      <c r="DY17" s="264"/>
      <c r="DZ17" s="264"/>
      <c r="EA17" s="264"/>
      <c r="EB17" s="264"/>
      <c r="EC17" s="264"/>
      <c r="ED17" s="264"/>
      <c r="EE17" s="264"/>
      <c r="EF17" s="264"/>
      <c r="EG17" s="264"/>
      <c r="EH17" s="264"/>
      <c r="EI17" s="264"/>
      <c r="EJ17" s="264"/>
      <c r="EK17" s="264"/>
      <c r="EL17" s="264"/>
      <c r="EM17" s="264"/>
      <c r="EN17" s="264"/>
      <c r="EO17" s="264"/>
      <c r="EP17" s="264"/>
      <c r="EQ17" s="264"/>
      <c r="ER17" s="264"/>
      <c r="ES17" s="264"/>
      <c r="ET17" s="264"/>
      <c r="EU17" s="264"/>
      <c r="EV17" s="264"/>
      <c r="EW17" s="264"/>
      <c r="EX17" s="264"/>
      <c r="EY17" s="264"/>
      <c r="EZ17" s="264"/>
      <c r="FA17" s="264"/>
      <c r="FB17" s="264"/>
      <c r="FC17" s="264"/>
      <c r="FD17" s="264"/>
      <c r="FE17" s="264"/>
      <c r="FF17" s="264"/>
      <c r="FG17" s="264"/>
      <c r="FH17" s="264"/>
      <c r="FI17" s="264"/>
      <c r="FJ17" s="264"/>
      <c r="FK17" s="264"/>
      <c r="FL17" s="264"/>
      <c r="FM17" s="264"/>
      <c r="FN17" s="264"/>
      <c r="FO17" s="264"/>
      <c r="FP17" s="264"/>
      <c r="FQ17" s="264"/>
      <c r="FR17" s="264"/>
      <c r="FS17" s="264"/>
      <c r="FT17" s="264"/>
      <c r="FU17" s="264"/>
      <c r="FV17" s="264"/>
      <c r="FW17" s="264"/>
      <c r="FX17" s="264"/>
      <c r="FY17" s="264"/>
      <c r="FZ17" s="264"/>
      <c r="GA17" s="264"/>
      <c r="GB17" s="264"/>
      <c r="GC17" s="264"/>
      <c r="GD17" s="264"/>
      <c r="GE17" s="264"/>
      <c r="GF17" s="264"/>
      <c r="GG17" s="264"/>
      <c r="GH17" s="264"/>
      <c r="GI17" s="264"/>
      <c r="GJ17" s="264"/>
      <c r="GK17" s="264"/>
      <c r="GL17" s="264"/>
      <c r="GM17" s="264"/>
      <c r="GN17" s="264"/>
      <c r="GO17" s="264"/>
      <c r="GP17" s="264"/>
      <c r="GQ17" s="264"/>
      <c r="GR17" s="264"/>
      <c r="GS17" s="264"/>
      <c r="GT17" s="264"/>
      <c r="GU17" s="264"/>
      <c r="GV17" s="264"/>
      <c r="GW17" s="264"/>
      <c r="GX17" s="264"/>
      <c r="GY17" s="264"/>
      <c r="GZ17" s="264"/>
      <c r="HA17" s="264"/>
      <c r="HB17" s="264"/>
      <c r="HC17" s="264"/>
      <c r="HD17" s="264"/>
      <c r="HE17" s="264"/>
      <c r="HF17" s="264"/>
      <c r="HG17" s="264"/>
      <c r="HH17" s="264"/>
      <c r="HI17" s="264"/>
      <c r="HJ17" s="264"/>
      <c r="HK17" s="264"/>
      <c r="HL17" s="264"/>
      <c r="HM17" s="264"/>
      <c r="HN17" s="264"/>
      <c r="HO17" s="264"/>
      <c r="HP17" s="264"/>
      <c r="HQ17" s="264"/>
      <c r="HR17" s="264"/>
      <c r="HS17" s="264"/>
      <c r="HT17" s="264"/>
      <c r="HU17" s="264"/>
      <c r="HV17" s="264"/>
      <c r="HW17" s="264"/>
      <c r="HX17" s="264"/>
      <c r="HY17" s="264"/>
      <c r="HZ17" s="264"/>
      <c r="IA17" s="264"/>
      <c r="IB17" s="264"/>
      <c r="IC17" s="264"/>
      <c r="ID17" s="264"/>
      <c r="IE17" s="264"/>
      <c r="IF17" s="264"/>
      <c r="IG17" s="264"/>
      <c r="IH17" s="264"/>
      <c r="II17" s="264"/>
      <c r="IJ17" s="264"/>
      <c r="IK17" s="264"/>
      <c r="IL17" s="264"/>
      <c r="IM17" s="264"/>
      <c r="IN17" s="264"/>
      <c r="IO17" s="264"/>
      <c r="IP17" s="264"/>
      <c r="IQ17" s="264"/>
      <c r="IR17" s="264"/>
      <c r="IS17" s="264"/>
      <c r="IT17" s="264"/>
      <c r="IU17" s="264"/>
      <c r="IV17" s="264"/>
      <c r="IW17" s="264"/>
      <c r="IX17" s="264"/>
      <c r="IY17" s="264"/>
      <c r="IZ17" s="264"/>
      <c r="JA17" s="264"/>
      <c r="JB17" s="264"/>
      <c r="JC17" s="264"/>
      <c r="JD17" s="264"/>
      <c r="JE17" s="264"/>
      <c r="JF17" s="264"/>
      <c r="JG17" s="264"/>
      <c r="JH17" s="264"/>
      <c r="JI17" s="264"/>
      <c r="JJ17" s="264"/>
      <c r="JK17" s="264"/>
      <c r="JL17" s="264"/>
      <c r="JM17" s="264"/>
      <c r="JN17" s="264"/>
      <c r="JO17" s="264"/>
      <c r="JP17" s="264"/>
      <c r="JQ17" s="264"/>
      <c r="JR17" s="264"/>
      <c r="JS17" s="264"/>
      <c r="JT17" s="264"/>
      <c r="JU17" s="264"/>
      <c r="JV17" s="264"/>
      <c r="JW17" s="264"/>
      <c r="JX17" s="264"/>
      <c r="JY17" s="264"/>
      <c r="JZ17" s="264"/>
      <c r="KA17" s="264"/>
      <c r="KB17" s="264"/>
      <c r="KC17" s="264"/>
      <c r="KD17" s="264"/>
      <c r="KE17" s="264"/>
      <c r="KF17" s="264"/>
      <c r="KG17" s="264"/>
      <c r="KH17" s="264"/>
      <c r="KI17" s="264"/>
      <c r="KJ17" s="264"/>
      <c r="KK17" s="264"/>
      <c r="KL17" s="264"/>
      <c r="KM17" s="264"/>
      <c r="KN17" s="264"/>
      <c r="KO17" s="264"/>
      <c r="KP17" s="264"/>
      <c r="KQ17" s="264"/>
      <c r="KR17" s="264"/>
      <c r="KS17" s="264"/>
      <c r="KT17" s="264"/>
      <c r="KU17" s="264"/>
      <c r="KV17" s="264"/>
      <c r="KW17" s="264"/>
      <c r="KX17" s="264"/>
      <c r="KY17" s="264"/>
      <c r="KZ17" s="264"/>
      <c r="LA17" s="264"/>
      <c r="LB17" s="264"/>
      <c r="LC17" s="264"/>
      <c r="LD17" s="264"/>
      <c r="LE17" s="264"/>
      <c r="LF17" s="264"/>
      <c r="LG17" s="264"/>
      <c r="LH17" s="264"/>
    </row>
    <row r="18" spans="1:320" s="17" customFormat="1" ht="15.75" thickTop="1" x14ac:dyDescent="0.25">
      <c r="A18" s="147"/>
      <c r="E18" s="156"/>
      <c r="F18" s="156"/>
      <c r="G18" s="156"/>
      <c r="H18" s="156"/>
      <c r="I18" s="156"/>
      <c r="J18" s="156"/>
      <c r="K18" s="156"/>
      <c r="L18" s="156"/>
      <c r="M18" s="156"/>
      <c r="N18" s="156"/>
      <c r="O18" s="156"/>
      <c r="P18" s="156"/>
      <c r="Q18" s="156"/>
      <c r="R18" s="156"/>
      <c r="S18" s="156"/>
      <c r="U18" s="156"/>
      <c r="W18" s="156"/>
      <c r="Y18" s="156"/>
      <c r="AA18" s="156"/>
      <c r="AC18" s="156"/>
      <c r="AE18" s="156"/>
      <c r="AF18" s="60"/>
      <c r="AG18" s="60"/>
      <c r="AH18" s="60"/>
      <c r="AI18" s="60"/>
      <c r="AJ18" s="60"/>
      <c r="AK18" s="60"/>
      <c r="AL18" s="60"/>
      <c r="AM18" s="60"/>
      <c r="AN18" s="60"/>
      <c r="AO18" s="60"/>
      <c r="AP18" s="60"/>
      <c r="AQ18" s="60"/>
      <c r="AR18" s="60"/>
      <c r="AS18" s="60"/>
      <c r="AT18" s="60"/>
      <c r="AU18" s="60"/>
      <c r="AV18" s="60"/>
      <c r="AW18" s="60"/>
      <c r="AX18" s="60"/>
      <c r="AY18" s="60"/>
      <c r="AZ18" s="60"/>
      <c r="BA18" s="60"/>
      <c r="BB18" s="60"/>
      <c r="BC18" s="60"/>
      <c r="BD18" s="60"/>
      <c r="BE18" s="60"/>
      <c r="BF18" s="60"/>
      <c r="BG18" s="60"/>
      <c r="BH18" s="60"/>
      <c r="BI18" s="60"/>
      <c r="BJ18" s="60"/>
      <c r="BK18" s="60"/>
      <c r="BL18" s="60"/>
      <c r="BM18" s="60"/>
      <c r="BN18" s="60"/>
      <c r="BO18" s="60"/>
      <c r="BP18" s="60"/>
      <c r="BQ18" s="60"/>
      <c r="BR18" s="60"/>
      <c r="BS18" s="60"/>
      <c r="BT18" s="60"/>
      <c r="BU18" s="60"/>
      <c r="BV18" s="60"/>
      <c r="BW18" s="60"/>
      <c r="BX18" s="60"/>
      <c r="BY18" s="60"/>
      <c r="BZ18" s="60"/>
      <c r="CA18" s="60"/>
      <c r="CB18" s="60"/>
      <c r="CC18" s="60"/>
      <c r="CD18" s="60"/>
      <c r="CE18" s="60"/>
      <c r="CF18" s="60"/>
      <c r="CG18" s="60"/>
      <c r="CH18" s="60"/>
      <c r="CI18" s="60"/>
      <c r="CJ18" s="60"/>
      <c r="CK18" s="60"/>
      <c r="CL18" s="60"/>
      <c r="CM18" s="60"/>
      <c r="CN18" s="60"/>
      <c r="CO18" s="60"/>
      <c r="CP18" s="60"/>
      <c r="CQ18" s="60"/>
      <c r="CR18" s="60"/>
      <c r="CS18" s="60"/>
      <c r="CT18" s="60"/>
      <c r="CU18" s="60"/>
      <c r="CV18" s="60"/>
      <c r="CW18" s="60"/>
      <c r="CX18" s="60"/>
      <c r="CY18" s="60"/>
      <c r="CZ18" s="60"/>
      <c r="DA18" s="60"/>
      <c r="DB18" s="60"/>
      <c r="DC18" s="60"/>
      <c r="DD18" s="60"/>
      <c r="DE18" s="60"/>
      <c r="DF18" s="60"/>
      <c r="DG18" s="60"/>
      <c r="DH18" s="60"/>
      <c r="DI18" s="60"/>
      <c r="DJ18" s="60"/>
      <c r="DK18" s="60"/>
      <c r="DL18" s="60"/>
      <c r="DM18" s="60"/>
      <c r="DN18" s="60"/>
      <c r="DO18" s="60"/>
      <c r="DP18" s="60"/>
      <c r="DQ18" s="60"/>
      <c r="DR18" s="60"/>
      <c r="DS18" s="60"/>
      <c r="DT18" s="60"/>
      <c r="DU18" s="60"/>
      <c r="DV18" s="60"/>
      <c r="DW18" s="60"/>
      <c r="DX18" s="60"/>
      <c r="DY18" s="60"/>
      <c r="DZ18" s="60"/>
      <c r="EA18" s="60"/>
      <c r="EB18" s="60"/>
      <c r="EC18" s="60"/>
      <c r="ED18" s="60"/>
      <c r="EE18" s="60"/>
      <c r="EF18" s="60"/>
      <c r="EG18" s="60"/>
      <c r="EH18" s="60"/>
      <c r="EI18" s="60"/>
      <c r="EJ18" s="60"/>
      <c r="EK18" s="60"/>
      <c r="EL18" s="60"/>
      <c r="EM18" s="60"/>
      <c r="EN18" s="60"/>
      <c r="EO18" s="60"/>
      <c r="EP18" s="60"/>
      <c r="EQ18" s="60"/>
      <c r="ER18" s="60"/>
      <c r="ES18" s="60"/>
      <c r="ET18" s="60"/>
      <c r="EU18" s="60"/>
      <c r="EV18" s="60"/>
      <c r="EW18" s="60"/>
      <c r="EX18" s="60"/>
      <c r="EY18" s="60"/>
      <c r="EZ18" s="60"/>
      <c r="FA18" s="60"/>
      <c r="FB18" s="60"/>
      <c r="FC18" s="60"/>
      <c r="FD18" s="60"/>
      <c r="FE18" s="60"/>
      <c r="FF18" s="60"/>
      <c r="FG18" s="60"/>
      <c r="FH18" s="60"/>
      <c r="FI18" s="60"/>
      <c r="FJ18" s="60"/>
      <c r="FK18" s="60"/>
      <c r="FL18" s="60"/>
      <c r="FM18" s="60"/>
      <c r="FN18" s="60"/>
      <c r="FO18" s="60"/>
      <c r="FP18" s="60"/>
      <c r="FQ18" s="60"/>
      <c r="FR18" s="60"/>
      <c r="FS18" s="60"/>
      <c r="FT18" s="60"/>
      <c r="FU18" s="60"/>
      <c r="FV18" s="60"/>
      <c r="FW18" s="60"/>
      <c r="FX18" s="60"/>
      <c r="FY18" s="60"/>
      <c r="FZ18" s="60"/>
      <c r="GA18" s="60"/>
      <c r="GB18" s="60"/>
      <c r="GC18" s="60"/>
      <c r="GD18" s="60"/>
      <c r="GE18" s="60"/>
      <c r="GF18" s="60"/>
      <c r="GG18" s="60"/>
      <c r="GH18" s="60"/>
      <c r="GI18" s="60"/>
      <c r="GJ18" s="60"/>
      <c r="GK18" s="60"/>
      <c r="GL18" s="60"/>
      <c r="GM18" s="60"/>
      <c r="GN18" s="60"/>
      <c r="GO18" s="60"/>
      <c r="GP18" s="60"/>
      <c r="GQ18" s="60"/>
      <c r="GR18" s="60"/>
      <c r="GS18" s="60"/>
      <c r="GT18" s="60"/>
      <c r="GU18" s="60"/>
      <c r="GV18" s="60"/>
      <c r="GW18" s="60"/>
      <c r="GX18" s="60"/>
      <c r="GY18" s="60"/>
      <c r="GZ18" s="60"/>
      <c r="HA18" s="60"/>
      <c r="HB18" s="60"/>
      <c r="HC18" s="60"/>
      <c r="HD18" s="60"/>
      <c r="HE18" s="60"/>
      <c r="HF18" s="60"/>
      <c r="HG18" s="60"/>
      <c r="HH18" s="60"/>
      <c r="HI18" s="60"/>
      <c r="HJ18" s="60"/>
      <c r="HK18" s="60"/>
      <c r="HL18" s="60"/>
      <c r="HM18" s="60"/>
      <c r="HN18" s="60"/>
      <c r="HO18" s="60"/>
      <c r="HP18" s="60"/>
      <c r="HQ18" s="60"/>
      <c r="HR18" s="60"/>
      <c r="HS18" s="60"/>
      <c r="HT18" s="60"/>
      <c r="HU18" s="60"/>
      <c r="HV18" s="60"/>
      <c r="HW18" s="60"/>
      <c r="HX18" s="60"/>
      <c r="HY18" s="60"/>
      <c r="HZ18" s="60"/>
      <c r="IA18" s="60"/>
      <c r="IB18" s="60"/>
      <c r="IC18" s="60"/>
      <c r="ID18" s="60"/>
      <c r="IE18" s="60"/>
      <c r="IF18" s="60"/>
      <c r="IG18" s="60"/>
      <c r="IH18" s="60"/>
      <c r="II18" s="60"/>
      <c r="IJ18" s="60"/>
      <c r="IK18" s="60"/>
      <c r="IL18" s="60"/>
      <c r="IM18" s="60"/>
      <c r="IN18" s="60"/>
      <c r="IO18" s="60"/>
      <c r="IP18" s="60"/>
      <c r="IQ18" s="60"/>
      <c r="IR18" s="60"/>
      <c r="IS18" s="60"/>
      <c r="IT18" s="60"/>
      <c r="IU18" s="60"/>
      <c r="IV18" s="60"/>
      <c r="IW18" s="60"/>
      <c r="IX18" s="60"/>
      <c r="IY18" s="60"/>
      <c r="IZ18" s="60"/>
      <c r="JA18" s="60"/>
      <c r="JB18" s="60"/>
      <c r="JC18" s="60"/>
      <c r="JD18" s="60"/>
      <c r="JE18" s="60"/>
      <c r="JF18" s="60"/>
      <c r="JG18" s="60"/>
      <c r="JH18" s="60"/>
      <c r="JI18" s="60"/>
      <c r="JJ18" s="60"/>
      <c r="JK18" s="60"/>
      <c r="JL18" s="60"/>
      <c r="JM18" s="60"/>
      <c r="JN18" s="60"/>
      <c r="JO18" s="60"/>
      <c r="JP18" s="60"/>
      <c r="JQ18" s="60"/>
      <c r="JR18" s="60"/>
      <c r="JS18" s="60"/>
      <c r="JT18" s="60"/>
      <c r="JU18" s="60"/>
      <c r="JV18" s="60"/>
      <c r="JW18" s="60"/>
      <c r="JX18" s="60"/>
      <c r="JY18" s="60"/>
      <c r="JZ18" s="60"/>
      <c r="KA18" s="60"/>
      <c r="KB18" s="60"/>
      <c r="KC18" s="60"/>
      <c r="KD18" s="60"/>
      <c r="KE18" s="60"/>
      <c r="KF18" s="60"/>
      <c r="KG18" s="60"/>
      <c r="KH18" s="60"/>
      <c r="KI18" s="60"/>
      <c r="KJ18" s="60"/>
      <c r="KK18" s="60"/>
      <c r="KL18" s="60"/>
      <c r="KM18" s="60"/>
      <c r="KN18" s="60"/>
      <c r="KO18" s="60"/>
      <c r="KP18" s="60"/>
      <c r="KQ18" s="60"/>
      <c r="KR18" s="60"/>
      <c r="KS18" s="60"/>
      <c r="KT18" s="60"/>
      <c r="KU18" s="60"/>
      <c r="KV18" s="60"/>
      <c r="KW18" s="60"/>
      <c r="KX18" s="60"/>
      <c r="KY18" s="60"/>
      <c r="KZ18" s="60"/>
      <c r="LA18" s="60"/>
      <c r="LB18" s="60"/>
      <c r="LC18" s="60"/>
      <c r="LD18" s="60"/>
      <c r="LE18" s="60"/>
      <c r="LF18" s="60"/>
      <c r="LG18" s="60"/>
      <c r="LH18" s="60"/>
    </row>
    <row r="19" spans="1:320" ht="15.75" thickBot="1" x14ac:dyDescent="0.3">
      <c r="B19" s="17"/>
      <c r="C19" s="17"/>
      <c r="D19" s="17"/>
      <c r="E19" s="156"/>
      <c r="F19" s="156"/>
      <c r="G19" s="156"/>
      <c r="H19" s="156"/>
      <c r="I19" s="156"/>
      <c r="J19" s="156"/>
      <c r="K19" s="156"/>
      <c r="L19" s="156"/>
      <c r="M19" s="156"/>
      <c r="N19" s="156"/>
      <c r="O19" s="156"/>
      <c r="P19" s="156"/>
      <c r="Q19" s="156"/>
      <c r="R19" s="156"/>
      <c r="S19" s="156"/>
      <c r="U19" s="156"/>
      <c r="W19" s="156"/>
      <c r="Y19" s="156"/>
      <c r="AA19" s="156"/>
      <c r="AC19" s="156"/>
      <c r="AD19" s="17"/>
      <c r="AE19" s="156"/>
    </row>
    <row r="20" spans="1:320" ht="71.099999999999994" customHeight="1" thickBot="1" x14ac:dyDescent="0.3">
      <c r="B20" s="363" t="s">
        <v>17</v>
      </c>
      <c r="C20" s="364"/>
      <c r="D20" s="364"/>
      <c r="E20" s="364"/>
      <c r="F20" s="365" t="s">
        <v>18</v>
      </c>
      <c r="G20" s="365"/>
      <c r="H20" s="365"/>
      <c r="I20" s="365"/>
      <c r="J20" s="366"/>
      <c r="K20" s="156"/>
      <c r="R20" s="168"/>
      <c r="S20" s="168"/>
      <c r="T20" s="168"/>
      <c r="U20" s="168"/>
      <c r="V20" s="168"/>
      <c r="W20" s="168"/>
      <c r="X20" s="168"/>
      <c r="Y20" s="168"/>
      <c r="Z20" s="168"/>
      <c r="AA20" s="168"/>
      <c r="AB20" s="168"/>
      <c r="AC20" s="168"/>
      <c r="AD20" s="168"/>
      <c r="AE20" s="168"/>
    </row>
    <row r="21" spans="1:320" x14ac:dyDescent="0.25">
      <c r="B21" s="17"/>
      <c r="C21" s="17"/>
      <c r="D21" s="17"/>
      <c r="E21" s="156"/>
      <c r="F21" s="156"/>
      <c r="G21" s="156"/>
      <c r="H21" s="156"/>
      <c r="I21" s="156"/>
      <c r="J21" s="156"/>
      <c r="K21" s="156"/>
      <c r="R21" s="156"/>
      <c r="S21" s="156"/>
      <c r="U21" s="156"/>
      <c r="W21" s="156"/>
      <c r="Y21" s="156"/>
      <c r="AA21" s="156"/>
      <c r="AC21" s="156"/>
      <c r="AD21" s="17"/>
      <c r="AE21" s="156"/>
    </row>
    <row r="22" spans="1:320" s="161" customFormat="1" ht="86.25" customHeight="1" x14ac:dyDescent="0.35">
      <c r="A22" s="163"/>
      <c r="C22" s="345" t="s">
        <v>104</v>
      </c>
      <c r="D22" s="345"/>
      <c r="E22" s="345"/>
      <c r="F22" s="345"/>
      <c r="G22" s="167"/>
      <c r="H22" s="165">
        <f>H23/(1-1/$F$4)</f>
        <v>2230.7692307692305</v>
      </c>
      <c r="I22" s="166"/>
      <c r="J22" s="165">
        <f>J14/(1-1/$F$4)</f>
        <v>2230.7692307692305</v>
      </c>
      <c r="K22" s="165"/>
      <c r="L22" s="165">
        <f>L14/(1-1/$F$4)</f>
        <v>0</v>
      </c>
      <c r="M22" s="165"/>
      <c r="N22" s="165">
        <f>N14/(1-1/$F$4)</f>
        <v>0</v>
      </c>
      <c r="O22" s="165"/>
      <c r="P22" s="165">
        <f>P14/(1-1/$F$4)</f>
        <v>0</v>
      </c>
      <c r="Q22" s="165"/>
      <c r="R22" s="165">
        <f>R14/(1-1/$F$4)</f>
        <v>0</v>
      </c>
      <c r="S22" s="165"/>
      <c r="T22" s="165">
        <f>T14/(1-1/$F$4)</f>
        <v>0</v>
      </c>
      <c r="U22" s="165"/>
      <c r="V22" s="165">
        <f>V14/(1-1/$F$4)</f>
        <v>0</v>
      </c>
      <c r="W22" s="165"/>
      <c r="X22" s="165">
        <f>X14/(1-1/$F$4)</f>
        <v>0</v>
      </c>
      <c r="Y22" s="165"/>
      <c r="Z22" s="165">
        <f>Z14/(1-1/$F$4)</f>
        <v>0</v>
      </c>
      <c r="AA22" s="165"/>
      <c r="AB22" s="165">
        <f>AB14/(1-1/$F$4)</f>
        <v>0</v>
      </c>
      <c r="AC22" s="165"/>
      <c r="AD22" s="165">
        <f>AD14/(1-1/$F$4)</f>
        <v>0</v>
      </c>
      <c r="AE22" s="165"/>
      <c r="AF22" s="164"/>
      <c r="AG22" s="164"/>
      <c r="AH22" s="164"/>
      <c r="AI22" s="164"/>
      <c r="AJ22" s="164"/>
      <c r="AK22" s="164"/>
      <c r="AL22" s="164"/>
      <c r="AM22" s="164"/>
      <c r="AN22" s="164"/>
      <c r="AO22" s="164"/>
      <c r="AP22" s="164"/>
      <c r="AQ22" s="164"/>
      <c r="AR22" s="164"/>
      <c r="AS22" s="164"/>
      <c r="AT22" s="164"/>
      <c r="AU22" s="164"/>
      <c r="AV22" s="164"/>
      <c r="AW22" s="164"/>
      <c r="AX22" s="164"/>
      <c r="AY22" s="164"/>
      <c r="AZ22" s="164"/>
      <c r="BA22" s="164"/>
      <c r="BB22" s="164"/>
      <c r="BC22" s="164"/>
      <c r="BD22" s="164"/>
      <c r="BE22" s="164"/>
      <c r="BF22" s="164"/>
      <c r="BG22" s="164"/>
      <c r="BH22" s="164"/>
      <c r="BI22" s="164"/>
      <c r="BJ22" s="164"/>
      <c r="BK22" s="164"/>
      <c r="BL22" s="164"/>
      <c r="BM22" s="164"/>
      <c r="BN22" s="164"/>
      <c r="BO22" s="164"/>
      <c r="BP22" s="164"/>
      <c r="BQ22" s="164"/>
      <c r="BR22" s="164"/>
      <c r="BS22" s="164"/>
      <c r="BT22" s="164"/>
      <c r="BU22" s="164"/>
      <c r="BV22" s="164"/>
      <c r="BW22" s="164"/>
      <c r="BX22" s="164"/>
      <c r="BY22" s="164"/>
      <c r="BZ22" s="164"/>
      <c r="CA22" s="164"/>
      <c r="CB22" s="164"/>
      <c r="CC22" s="164"/>
      <c r="CD22" s="164"/>
      <c r="CE22" s="164"/>
      <c r="CF22" s="164"/>
      <c r="CG22" s="164"/>
      <c r="CH22" s="164"/>
      <c r="CI22" s="164"/>
      <c r="CJ22" s="164"/>
      <c r="CK22" s="164"/>
      <c r="CL22" s="164"/>
      <c r="CM22" s="164"/>
      <c r="CN22" s="164"/>
      <c r="CO22" s="164"/>
      <c r="CP22" s="164"/>
      <c r="CQ22" s="164"/>
      <c r="CR22" s="164"/>
      <c r="CS22" s="164"/>
      <c r="CT22" s="164"/>
      <c r="CU22" s="164"/>
      <c r="CV22" s="164"/>
      <c r="CW22" s="164"/>
      <c r="CX22" s="164"/>
      <c r="CY22" s="164"/>
      <c r="CZ22" s="164"/>
      <c r="DA22" s="164"/>
      <c r="DB22" s="164"/>
      <c r="DC22" s="164"/>
      <c r="DD22" s="164"/>
      <c r="DE22" s="164"/>
      <c r="DF22" s="164"/>
      <c r="DG22" s="164"/>
      <c r="DH22" s="164"/>
      <c r="DI22" s="164"/>
      <c r="DJ22" s="164"/>
      <c r="DK22" s="164"/>
      <c r="DL22" s="164"/>
      <c r="DM22" s="164"/>
      <c r="DN22" s="164"/>
      <c r="DO22" s="164"/>
      <c r="DP22" s="164"/>
      <c r="DQ22" s="164"/>
      <c r="DR22" s="164"/>
      <c r="DS22" s="164"/>
      <c r="DT22" s="164"/>
      <c r="DU22" s="164"/>
      <c r="DV22" s="164"/>
      <c r="DW22" s="164"/>
      <c r="DX22" s="164"/>
      <c r="DY22" s="164"/>
      <c r="DZ22" s="164"/>
      <c r="EA22" s="164"/>
      <c r="EB22" s="164"/>
      <c r="EC22" s="164"/>
      <c r="ED22" s="164"/>
      <c r="EE22" s="164"/>
      <c r="EF22" s="164"/>
      <c r="EG22" s="164"/>
      <c r="EH22" s="164"/>
      <c r="EI22" s="164"/>
      <c r="EJ22" s="164"/>
      <c r="EK22" s="164"/>
      <c r="EL22" s="164"/>
      <c r="EM22" s="164"/>
      <c r="EN22" s="164"/>
      <c r="EO22" s="164"/>
      <c r="EP22" s="164"/>
      <c r="EQ22" s="164"/>
      <c r="ER22" s="164"/>
      <c r="ES22" s="164"/>
      <c r="ET22" s="164"/>
      <c r="EU22" s="164"/>
      <c r="EV22" s="164"/>
      <c r="EW22" s="164"/>
      <c r="EX22" s="164"/>
      <c r="EY22" s="164"/>
      <c r="EZ22" s="164"/>
      <c r="FA22" s="164"/>
      <c r="FB22" s="164"/>
      <c r="FC22" s="164"/>
      <c r="FD22" s="164"/>
      <c r="FE22" s="164"/>
      <c r="FF22" s="164"/>
      <c r="FG22" s="164"/>
      <c r="FH22" s="164"/>
      <c r="FI22" s="164"/>
      <c r="FJ22" s="164"/>
      <c r="FK22" s="164"/>
      <c r="FL22" s="164"/>
      <c r="FM22" s="164"/>
      <c r="FN22" s="164"/>
      <c r="FO22" s="164"/>
      <c r="FP22" s="164"/>
      <c r="FQ22" s="164"/>
      <c r="FR22" s="164"/>
      <c r="FS22" s="164"/>
      <c r="FT22" s="164"/>
      <c r="FU22" s="164"/>
      <c r="FV22" s="164"/>
      <c r="FW22" s="164"/>
      <c r="FX22" s="164"/>
      <c r="FY22" s="164"/>
      <c r="FZ22" s="164"/>
      <c r="GA22" s="164"/>
      <c r="GB22" s="164"/>
      <c r="GC22" s="164"/>
      <c r="GD22" s="164"/>
      <c r="GE22" s="164"/>
      <c r="GF22" s="164"/>
      <c r="GG22" s="164"/>
      <c r="GH22" s="164"/>
      <c r="GI22" s="164"/>
      <c r="GJ22" s="164"/>
      <c r="GK22" s="164"/>
      <c r="GL22" s="164"/>
      <c r="GM22" s="164"/>
      <c r="GN22" s="164"/>
      <c r="GO22" s="164"/>
      <c r="GP22" s="164"/>
      <c r="GQ22" s="164"/>
      <c r="GR22" s="164"/>
      <c r="GS22" s="164"/>
      <c r="GT22" s="164"/>
      <c r="GU22" s="164"/>
      <c r="GV22" s="164"/>
      <c r="GW22" s="164"/>
      <c r="GX22" s="164"/>
      <c r="GY22" s="164"/>
      <c r="GZ22" s="164"/>
      <c r="HA22" s="164"/>
      <c r="HB22" s="164"/>
      <c r="HC22" s="164"/>
      <c r="HD22" s="164"/>
      <c r="HE22" s="164"/>
      <c r="HF22" s="164"/>
      <c r="HG22" s="164"/>
      <c r="HH22" s="164"/>
      <c r="HI22" s="164"/>
      <c r="HJ22" s="164"/>
      <c r="HK22" s="164"/>
      <c r="HL22" s="164"/>
      <c r="HM22" s="164"/>
      <c r="HN22" s="164"/>
      <c r="HO22" s="164"/>
      <c r="HP22" s="164"/>
      <c r="HQ22" s="164"/>
      <c r="HR22" s="164"/>
      <c r="HS22" s="164"/>
      <c r="HT22" s="164"/>
      <c r="HU22" s="164"/>
      <c r="HV22" s="164"/>
      <c r="HW22" s="164"/>
      <c r="HX22" s="164"/>
      <c r="HY22" s="164"/>
      <c r="HZ22" s="164"/>
      <c r="IA22" s="164"/>
      <c r="IB22" s="164"/>
      <c r="IC22" s="164"/>
      <c r="ID22" s="164"/>
      <c r="IE22" s="164"/>
      <c r="IF22" s="164"/>
      <c r="IG22" s="164"/>
      <c r="IH22" s="164"/>
      <c r="II22" s="164"/>
      <c r="IJ22" s="164"/>
      <c r="IK22" s="164"/>
      <c r="IL22" s="164"/>
      <c r="IM22" s="164"/>
      <c r="IN22" s="164"/>
      <c r="IO22" s="164"/>
      <c r="IP22" s="164"/>
      <c r="IQ22" s="164"/>
      <c r="IR22" s="164"/>
      <c r="IS22" s="164"/>
      <c r="IT22" s="164"/>
      <c r="IU22" s="164"/>
      <c r="IV22" s="164"/>
      <c r="IW22" s="164"/>
      <c r="IX22" s="164"/>
      <c r="IY22" s="164"/>
      <c r="IZ22" s="164"/>
      <c r="JA22" s="164"/>
      <c r="JB22" s="164"/>
      <c r="JC22" s="164"/>
      <c r="JD22" s="164"/>
      <c r="JE22" s="164"/>
      <c r="JF22" s="164"/>
      <c r="JG22" s="164"/>
      <c r="JH22" s="164"/>
      <c r="JI22" s="164"/>
      <c r="JJ22" s="164"/>
      <c r="JK22" s="164"/>
      <c r="JL22" s="164"/>
      <c r="JM22" s="164"/>
      <c r="JN22" s="164"/>
      <c r="JO22" s="164"/>
      <c r="JP22" s="164"/>
      <c r="JQ22" s="164"/>
      <c r="JR22" s="164"/>
      <c r="JS22" s="164"/>
      <c r="JT22" s="164"/>
      <c r="JU22" s="164"/>
      <c r="JV22" s="164"/>
      <c r="JW22" s="164"/>
      <c r="JX22" s="164"/>
      <c r="JY22" s="164"/>
      <c r="JZ22" s="164"/>
      <c r="KA22" s="164"/>
      <c r="KB22" s="164"/>
      <c r="KC22" s="164"/>
      <c r="KD22" s="164"/>
      <c r="KE22" s="164"/>
      <c r="KF22" s="164"/>
      <c r="KG22" s="164"/>
      <c r="KH22" s="164"/>
      <c r="KI22" s="164"/>
      <c r="KJ22" s="164"/>
      <c r="KK22" s="164"/>
      <c r="KL22" s="164"/>
      <c r="KM22" s="164"/>
      <c r="KN22" s="164"/>
      <c r="KO22" s="164"/>
      <c r="KP22" s="164"/>
      <c r="KQ22" s="164"/>
      <c r="KR22" s="164"/>
      <c r="KS22" s="164"/>
      <c r="KT22" s="164"/>
      <c r="KU22" s="164"/>
      <c r="KV22" s="164"/>
      <c r="KW22" s="164"/>
      <c r="KX22" s="164"/>
      <c r="KY22" s="164"/>
      <c r="KZ22" s="164"/>
      <c r="LA22" s="164"/>
      <c r="LB22" s="164"/>
      <c r="LC22" s="164"/>
      <c r="LD22" s="164"/>
      <c r="LE22" s="164"/>
      <c r="LF22" s="164"/>
      <c r="LG22" s="164"/>
      <c r="LH22" s="164"/>
    </row>
    <row r="23" spans="1:320" s="161" customFormat="1" ht="18.75" x14ac:dyDescent="0.25">
      <c r="A23" s="163"/>
      <c r="E23" s="160"/>
      <c r="F23" s="160"/>
      <c r="G23" s="160"/>
      <c r="H23" s="162">
        <f>IF(F25="on",$F$7*$F$6+$F$7*((F26-F6)/$F$4),$F$7*$F$6)</f>
        <v>1450</v>
      </c>
      <c r="I23" s="160"/>
      <c r="J23" s="160"/>
      <c r="K23" s="160"/>
      <c r="L23" s="160"/>
      <c r="M23" s="160"/>
      <c r="N23" s="160"/>
      <c r="O23" s="160"/>
      <c r="P23" s="160"/>
      <c r="Q23" s="160"/>
      <c r="R23" s="160"/>
      <c r="S23" s="160"/>
    </row>
    <row r="24" spans="1:320" ht="87.6" hidden="1" customHeight="1" thickBot="1" x14ac:dyDescent="0.3">
      <c r="H24" s="148"/>
      <c r="I24" s="156"/>
      <c r="J24" s="156"/>
      <c r="K24" s="156"/>
      <c r="L24" s="156"/>
      <c r="M24" s="156"/>
      <c r="N24" s="156"/>
      <c r="O24" s="156"/>
      <c r="P24" s="156"/>
      <c r="Q24" s="156"/>
      <c r="R24" s="156"/>
      <c r="S24" s="156"/>
    </row>
    <row r="25" spans="1:320" ht="87.6" hidden="1" customHeight="1" x14ac:dyDescent="0.25">
      <c r="B25" s="379" t="s">
        <v>103</v>
      </c>
      <c r="C25" s="380"/>
      <c r="D25" s="380"/>
      <c r="E25" s="380"/>
      <c r="F25" s="381" t="s">
        <v>102</v>
      </c>
      <c r="G25" s="382"/>
      <c r="H25" s="160"/>
    </row>
    <row r="26" spans="1:320" ht="87.6" hidden="1" customHeight="1" thickBot="1" x14ac:dyDescent="0.35">
      <c r="B26" s="356" t="str">
        <f>IF(F25="off","off","how many capillaries for the other dilutions :")</f>
        <v>off</v>
      </c>
      <c r="C26" s="357"/>
      <c r="D26" s="357"/>
      <c r="E26" s="357"/>
      <c r="F26" s="358">
        <v>3</v>
      </c>
      <c r="G26" s="359"/>
      <c r="H26" s="148"/>
      <c r="I26" s="156"/>
      <c r="J26" s="156"/>
      <c r="K26" s="156"/>
      <c r="L26" s="156"/>
      <c r="M26" s="156"/>
      <c r="N26" s="156"/>
      <c r="O26" s="156"/>
      <c r="P26" s="156"/>
      <c r="Q26" s="156"/>
      <c r="R26" s="156"/>
      <c r="S26" s="156"/>
    </row>
    <row r="27" spans="1:320" ht="87.6" hidden="1" customHeight="1" x14ac:dyDescent="0.25">
      <c r="B27" s="122"/>
      <c r="C27" s="122"/>
      <c r="F27" s="157"/>
      <c r="G27" s="157"/>
      <c r="H27" s="159"/>
      <c r="I27" s="157"/>
      <c r="J27" s="157"/>
      <c r="K27" s="157"/>
      <c r="L27" s="157"/>
      <c r="M27" s="157"/>
      <c r="N27" s="157"/>
      <c r="O27" s="157"/>
      <c r="P27" s="157"/>
      <c r="Q27" s="157"/>
      <c r="R27" s="157"/>
      <c r="S27" s="156"/>
    </row>
    <row r="28" spans="1:320" ht="87.6" hidden="1" customHeight="1" x14ac:dyDescent="0.25">
      <c r="B28" s="122"/>
      <c r="C28" s="122"/>
      <c r="D28" s="122"/>
      <c r="E28" s="157"/>
      <c r="F28" s="157"/>
      <c r="G28" s="157"/>
      <c r="H28" s="157"/>
      <c r="I28" s="157"/>
      <c r="J28" s="157"/>
      <c r="K28" s="157"/>
      <c r="L28" s="157"/>
      <c r="M28" s="157"/>
      <c r="N28" s="157"/>
      <c r="O28" s="157"/>
      <c r="P28" s="157"/>
      <c r="Q28" s="157"/>
      <c r="R28" s="157"/>
      <c r="S28" s="156"/>
    </row>
    <row r="29" spans="1:320" ht="87.6" hidden="1" customHeight="1" x14ac:dyDescent="0.25">
      <c r="B29" s="122"/>
      <c r="C29" s="122"/>
      <c r="D29" s="122"/>
      <c r="E29" s="157"/>
      <c r="F29" s="157"/>
      <c r="G29" s="157"/>
      <c r="H29" s="157"/>
      <c r="I29" s="157"/>
      <c r="J29" s="157"/>
      <c r="K29" s="157"/>
      <c r="L29" s="157"/>
      <c r="M29" s="157"/>
      <c r="N29" s="157"/>
      <c r="O29" s="157"/>
      <c r="P29" s="157"/>
      <c r="Q29" s="157"/>
      <c r="R29" s="157"/>
      <c r="S29" s="156"/>
    </row>
    <row r="30" spans="1:320" ht="87.6" hidden="1" customHeight="1" x14ac:dyDescent="0.25">
      <c r="B30" s="17"/>
      <c r="C30" s="17"/>
      <c r="D30" s="17"/>
      <c r="E30" s="156"/>
      <c r="F30" s="156"/>
      <c r="G30" s="156"/>
      <c r="H30" s="156"/>
      <c r="I30" s="156"/>
      <c r="J30" s="156"/>
      <c r="K30" s="156"/>
      <c r="L30" s="156"/>
      <c r="M30" s="156"/>
      <c r="N30" s="156"/>
      <c r="O30" s="156"/>
      <c r="P30" s="156"/>
      <c r="Q30" s="156"/>
      <c r="R30" s="156"/>
      <c r="S30" s="156"/>
    </row>
    <row r="31" spans="1:320" ht="87.6" hidden="1" customHeight="1" x14ac:dyDescent="0.25">
      <c r="B31" s="17"/>
      <c r="E31" s="156"/>
      <c r="F31" s="156"/>
      <c r="G31" s="156"/>
      <c r="H31" s="156"/>
      <c r="I31" s="156"/>
      <c r="J31" s="156"/>
      <c r="K31" s="156"/>
      <c r="L31" s="156"/>
      <c r="M31" s="156"/>
      <c r="N31" s="156"/>
      <c r="O31" s="156"/>
      <c r="P31" s="156"/>
      <c r="Q31" s="156"/>
      <c r="R31" s="156"/>
      <c r="S31" s="156"/>
    </row>
    <row r="32" spans="1:320" x14ac:dyDescent="0.25">
      <c r="H32" s="156"/>
      <c r="I32" s="156"/>
      <c r="J32" s="156"/>
      <c r="K32" s="156"/>
      <c r="L32" s="156"/>
      <c r="M32" s="156"/>
      <c r="N32" s="156"/>
      <c r="O32" s="156"/>
      <c r="P32" s="156"/>
      <c r="Q32" s="156"/>
      <c r="R32" s="156"/>
      <c r="S32" s="156"/>
    </row>
    <row r="33" spans="1:320" x14ac:dyDescent="0.25">
      <c r="H33" s="156"/>
      <c r="I33" s="156"/>
      <c r="J33" s="156"/>
      <c r="K33" s="156"/>
      <c r="L33" s="156"/>
      <c r="M33" s="156"/>
      <c r="N33" s="156"/>
      <c r="O33" s="156"/>
      <c r="P33" s="156"/>
      <c r="Q33" s="156"/>
      <c r="R33" s="156"/>
      <c r="S33" s="156"/>
    </row>
    <row r="34" spans="1:320" x14ac:dyDescent="0.25">
      <c r="B34" s="17"/>
      <c r="C34" s="17"/>
      <c r="D34" s="17"/>
      <c r="E34" s="156"/>
      <c r="F34" s="156"/>
      <c r="G34" s="156"/>
      <c r="H34" s="156"/>
      <c r="I34" s="156"/>
      <c r="J34" s="156"/>
      <c r="K34" s="156"/>
      <c r="L34" s="156"/>
      <c r="M34" s="156"/>
      <c r="N34" s="156"/>
      <c r="O34" s="156"/>
      <c r="P34" s="156"/>
      <c r="Q34" s="156"/>
      <c r="R34" s="156"/>
      <c r="S34" s="156"/>
    </row>
    <row r="35" spans="1:320" x14ac:dyDescent="0.25">
      <c r="B35" s="17"/>
      <c r="C35" s="17"/>
      <c r="D35" s="17"/>
      <c r="E35" s="156"/>
      <c r="F35" s="156"/>
      <c r="G35" s="156"/>
      <c r="H35" s="156"/>
      <c r="I35" s="156"/>
      <c r="J35" s="156"/>
      <c r="K35" s="156"/>
      <c r="L35" s="156"/>
      <c r="M35" s="156"/>
      <c r="N35" s="156"/>
      <c r="O35" s="156"/>
      <c r="P35" s="156"/>
      <c r="Q35" s="156"/>
      <c r="R35" s="156"/>
      <c r="S35" s="156"/>
    </row>
    <row r="36" spans="1:320" s="17" customFormat="1" x14ac:dyDescent="0.25">
      <c r="A36" s="147"/>
      <c r="E36" s="156"/>
      <c r="F36" s="156"/>
      <c r="G36" s="156"/>
      <c r="H36" s="156"/>
      <c r="I36" s="156"/>
      <c r="J36" s="156"/>
      <c r="K36" s="156"/>
      <c r="L36" s="156"/>
      <c r="M36" s="156"/>
      <c r="N36" s="156"/>
      <c r="O36" s="156"/>
      <c r="P36" s="156"/>
      <c r="Q36" s="156"/>
      <c r="R36" s="156"/>
      <c r="S36" s="156"/>
      <c r="AC36" s="60"/>
      <c r="AD36" s="60"/>
      <c r="AE36" s="60"/>
      <c r="AF36" s="60"/>
      <c r="AG36" s="60"/>
      <c r="AH36" s="60"/>
      <c r="AI36" s="60"/>
      <c r="AJ36" s="60"/>
      <c r="AK36" s="60"/>
      <c r="AL36" s="60"/>
      <c r="AM36" s="60"/>
      <c r="AN36" s="60"/>
      <c r="AO36" s="60"/>
      <c r="AP36" s="60"/>
      <c r="AQ36" s="60"/>
      <c r="AR36" s="60"/>
      <c r="AS36" s="60"/>
      <c r="AT36" s="60"/>
      <c r="AU36" s="60"/>
      <c r="AV36" s="60"/>
      <c r="AW36" s="60"/>
      <c r="AX36" s="60"/>
      <c r="AY36" s="60"/>
      <c r="AZ36" s="60"/>
      <c r="BA36" s="60"/>
      <c r="BB36" s="60"/>
      <c r="BC36" s="60"/>
      <c r="BD36" s="60"/>
      <c r="BE36" s="60"/>
      <c r="BF36" s="60"/>
      <c r="BG36" s="60"/>
      <c r="BH36" s="60"/>
      <c r="BI36" s="60"/>
      <c r="BJ36" s="60"/>
      <c r="BK36" s="60"/>
      <c r="BL36" s="60"/>
      <c r="BM36" s="60"/>
      <c r="BN36" s="60"/>
      <c r="BO36" s="60"/>
      <c r="BP36" s="60"/>
      <c r="BQ36" s="60"/>
      <c r="BR36" s="60"/>
      <c r="BS36" s="60"/>
      <c r="BT36" s="60"/>
      <c r="BU36" s="60"/>
      <c r="BV36" s="60"/>
      <c r="BW36" s="60"/>
      <c r="BX36" s="60"/>
      <c r="BY36" s="60"/>
      <c r="BZ36" s="60"/>
      <c r="CA36" s="60"/>
      <c r="CB36" s="60"/>
      <c r="CC36" s="60"/>
      <c r="CD36" s="60"/>
      <c r="CE36" s="60"/>
      <c r="CF36" s="60"/>
      <c r="CG36" s="60"/>
      <c r="CH36" s="60"/>
      <c r="CI36" s="60"/>
      <c r="CJ36" s="60"/>
      <c r="CK36" s="60"/>
      <c r="CL36" s="60"/>
      <c r="CM36" s="60"/>
      <c r="CN36" s="60"/>
      <c r="CO36" s="60"/>
      <c r="CP36" s="60"/>
      <c r="CQ36" s="60"/>
      <c r="CR36" s="60"/>
      <c r="CS36" s="60"/>
      <c r="CT36" s="60"/>
      <c r="CU36" s="60"/>
      <c r="CV36" s="60"/>
      <c r="CW36" s="60"/>
      <c r="CX36" s="60"/>
      <c r="CY36" s="60"/>
      <c r="CZ36" s="60"/>
      <c r="DA36" s="60"/>
      <c r="DB36" s="60"/>
      <c r="DC36" s="60"/>
      <c r="DD36" s="60"/>
      <c r="DE36" s="60"/>
      <c r="DF36" s="60"/>
      <c r="DG36" s="60"/>
      <c r="DH36" s="60"/>
      <c r="DI36" s="60"/>
      <c r="DJ36" s="60"/>
      <c r="DK36" s="60"/>
      <c r="DL36" s="60"/>
      <c r="DM36" s="60"/>
      <c r="DN36" s="60"/>
      <c r="DO36" s="60"/>
      <c r="DP36" s="60"/>
      <c r="DQ36" s="60"/>
      <c r="DR36" s="60"/>
      <c r="DS36" s="60"/>
      <c r="DT36" s="60"/>
      <c r="DU36" s="60"/>
      <c r="DV36" s="60"/>
      <c r="DW36" s="60"/>
      <c r="DX36" s="60"/>
      <c r="DY36" s="60"/>
      <c r="DZ36" s="60"/>
      <c r="EA36" s="60"/>
      <c r="EB36" s="60"/>
      <c r="EC36" s="60"/>
      <c r="ED36" s="60"/>
      <c r="EE36" s="60"/>
      <c r="EF36" s="60"/>
      <c r="EG36" s="60"/>
      <c r="EH36" s="60"/>
      <c r="EI36" s="60"/>
      <c r="EJ36" s="60"/>
      <c r="EK36" s="60"/>
      <c r="EL36" s="60"/>
      <c r="EM36" s="60"/>
      <c r="EN36" s="60"/>
      <c r="EO36" s="60"/>
      <c r="EP36" s="60"/>
      <c r="EQ36" s="60"/>
      <c r="ER36" s="60"/>
      <c r="ES36" s="60"/>
      <c r="ET36" s="60"/>
      <c r="EU36" s="60"/>
      <c r="EV36" s="60"/>
      <c r="EW36" s="60"/>
      <c r="EX36" s="60"/>
      <c r="EY36" s="60"/>
      <c r="EZ36" s="60"/>
      <c r="FA36" s="60"/>
      <c r="FB36" s="60"/>
      <c r="FC36" s="60"/>
      <c r="FD36" s="60"/>
      <c r="FE36" s="60"/>
      <c r="FF36" s="60"/>
      <c r="FG36" s="60"/>
      <c r="FH36" s="60"/>
      <c r="FI36" s="60"/>
      <c r="FJ36" s="60"/>
      <c r="FK36" s="60"/>
      <c r="FL36" s="60"/>
      <c r="FM36" s="60"/>
      <c r="FN36" s="60"/>
      <c r="FO36" s="60"/>
      <c r="FP36" s="60"/>
      <c r="FQ36" s="60"/>
      <c r="FR36" s="60"/>
      <c r="FS36" s="60"/>
      <c r="FT36" s="60"/>
      <c r="FU36" s="60"/>
      <c r="FV36" s="60"/>
      <c r="FW36" s="60"/>
      <c r="FX36" s="60"/>
      <c r="FY36" s="60"/>
      <c r="FZ36" s="60"/>
      <c r="GA36" s="60"/>
      <c r="GB36" s="60"/>
      <c r="GC36" s="60"/>
      <c r="GD36" s="60"/>
      <c r="GE36" s="60"/>
      <c r="GF36" s="60"/>
      <c r="GG36" s="60"/>
      <c r="GH36" s="60"/>
      <c r="GI36" s="60"/>
      <c r="GJ36" s="60"/>
      <c r="GK36" s="60"/>
      <c r="GL36" s="60"/>
      <c r="GM36" s="60"/>
      <c r="GN36" s="60"/>
      <c r="GO36" s="60"/>
      <c r="GP36" s="60"/>
      <c r="GQ36" s="60"/>
      <c r="GR36" s="60"/>
      <c r="GS36" s="60"/>
      <c r="GT36" s="60"/>
      <c r="GU36" s="60"/>
      <c r="GV36" s="60"/>
      <c r="GW36" s="60"/>
      <c r="GX36" s="60"/>
      <c r="GY36" s="60"/>
      <c r="GZ36" s="60"/>
      <c r="HA36" s="60"/>
      <c r="HB36" s="60"/>
      <c r="HC36" s="60"/>
      <c r="HD36" s="60"/>
      <c r="HE36" s="60"/>
      <c r="HF36" s="60"/>
      <c r="HG36" s="60"/>
      <c r="HH36" s="60"/>
      <c r="HI36" s="60"/>
      <c r="HJ36" s="60"/>
      <c r="HK36" s="60"/>
      <c r="HL36" s="60"/>
      <c r="HM36" s="60"/>
      <c r="HN36" s="60"/>
      <c r="HO36" s="60"/>
      <c r="HP36" s="60"/>
      <c r="HQ36" s="60"/>
      <c r="HR36" s="60"/>
      <c r="HS36" s="60"/>
      <c r="HT36" s="60"/>
      <c r="HU36" s="60"/>
      <c r="HV36" s="60"/>
      <c r="HW36" s="60"/>
      <c r="HX36" s="60"/>
      <c r="HY36" s="60"/>
      <c r="HZ36" s="60"/>
      <c r="IA36" s="60"/>
      <c r="IB36" s="60"/>
      <c r="IC36" s="60"/>
      <c r="ID36" s="60"/>
      <c r="IE36" s="60"/>
      <c r="IF36" s="60"/>
      <c r="IG36" s="60"/>
      <c r="IH36" s="60"/>
      <c r="II36" s="60"/>
      <c r="IJ36" s="60"/>
      <c r="IK36" s="60"/>
      <c r="IL36" s="60"/>
      <c r="IM36" s="60"/>
      <c r="IN36" s="60"/>
      <c r="IO36" s="60"/>
      <c r="IP36" s="60"/>
      <c r="IQ36" s="60"/>
      <c r="IR36" s="60"/>
      <c r="IS36" s="60"/>
      <c r="IT36" s="60"/>
      <c r="IU36" s="60"/>
      <c r="IV36" s="60"/>
      <c r="IW36" s="60"/>
      <c r="IX36" s="60"/>
      <c r="IY36" s="60"/>
      <c r="IZ36" s="60"/>
      <c r="JA36" s="60"/>
      <c r="JB36" s="60"/>
      <c r="JC36" s="60"/>
      <c r="JD36" s="60"/>
      <c r="JE36" s="60"/>
      <c r="JF36" s="60"/>
      <c r="JG36" s="60"/>
      <c r="JH36" s="60"/>
      <c r="JI36" s="60"/>
      <c r="JJ36" s="60"/>
      <c r="JK36" s="60"/>
      <c r="JL36" s="60"/>
      <c r="JM36" s="60"/>
      <c r="JN36" s="60"/>
      <c r="JO36" s="60"/>
      <c r="JP36" s="60"/>
      <c r="JQ36" s="60"/>
      <c r="JR36" s="60"/>
      <c r="JS36" s="60"/>
      <c r="JT36" s="60"/>
      <c r="JU36" s="60"/>
      <c r="JV36" s="60"/>
      <c r="JW36" s="60"/>
      <c r="JX36" s="60"/>
      <c r="JY36" s="60"/>
      <c r="JZ36" s="60"/>
      <c r="KA36" s="60"/>
      <c r="KB36" s="60"/>
      <c r="KC36" s="60"/>
      <c r="KD36" s="60"/>
      <c r="KE36" s="60"/>
      <c r="KF36" s="60"/>
      <c r="KG36" s="60"/>
      <c r="KH36" s="60"/>
      <c r="KI36" s="60"/>
      <c r="KJ36" s="60"/>
      <c r="KK36" s="60"/>
      <c r="KL36" s="60"/>
      <c r="KM36" s="60"/>
      <c r="KN36" s="60"/>
      <c r="KO36" s="60"/>
      <c r="KP36" s="60"/>
      <c r="KQ36" s="60"/>
      <c r="KR36" s="60"/>
      <c r="KS36" s="60"/>
      <c r="KT36" s="60"/>
      <c r="KU36" s="60"/>
      <c r="KV36" s="60"/>
      <c r="KW36" s="60"/>
      <c r="KX36" s="60"/>
      <c r="KY36" s="60"/>
      <c r="KZ36" s="60"/>
      <c r="LA36" s="60"/>
      <c r="LB36" s="60"/>
      <c r="LC36" s="60"/>
      <c r="LD36" s="60"/>
      <c r="LE36" s="60"/>
      <c r="LF36" s="60"/>
      <c r="LG36" s="60"/>
      <c r="LH36" s="60"/>
    </row>
    <row r="37" spans="1:320" s="17" customFormat="1" x14ac:dyDescent="0.25">
      <c r="A37" s="147"/>
      <c r="E37" s="156"/>
      <c r="F37" s="156"/>
      <c r="G37" s="156"/>
      <c r="H37" s="156"/>
      <c r="I37" s="156"/>
      <c r="J37" s="156"/>
      <c r="K37" s="156"/>
      <c r="L37" s="156"/>
      <c r="M37" s="156"/>
      <c r="N37" s="156"/>
      <c r="O37" s="156"/>
      <c r="P37" s="156"/>
      <c r="Q37" s="156"/>
      <c r="R37" s="156"/>
      <c r="S37" s="156"/>
      <c r="AC37" s="60"/>
      <c r="AD37" s="60"/>
      <c r="AE37" s="60"/>
      <c r="AF37" s="60"/>
      <c r="AG37" s="60"/>
      <c r="AH37" s="60"/>
      <c r="AI37" s="60"/>
      <c r="AJ37" s="60"/>
      <c r="AK37" s="60"/>
      <c r="AL37" s="60"/>
      <c r="AM37" s="60"/>
      <c r="AN37" s="60"/>
      <c r="AO37" s="60"/>
      <c r="AP37" s="60"/>
      <c r="AQ37" s="60"/>
      <c r="AR37" s="60"/>
      <c r="AS37" s="60"/>
      <c r="AT37" s="60"/>
      <c r="AU37" s="60"/>
      <c r="AV37" s="60"/>
      <c r="AW37" s="60"/>
      <c r="AX37" s="60"/>
      <c r="AY37" s="60"/>
      <c r="AZ37" s="60"/>
      <c r="BA37" s="60"/>
      <c r="BB37" s="60"/>
      <c r="BC37" s="60"/>
      <c r="BD37" s="60"/>
      <c r="BE37" s="60"/>
      <c r="BF37" s="60"/>
      <c r="BG37" s="60"/>
      <c r="BH37" s="60"/>
      <c r="BI37" s="60"/>
      <c r="BJ37" s="60"/>
      <c r="BK37" s="60"/>
      <c r="BL37" s="60"/>
      <c r="BM37" s="60"/>
      <c r="BN37" s="60"/>
      <c r="BO37" s="60"/>
      <c r="BP37" s="60"/>
      <c r="BQ37" s="60"/>
      <c r="BR37" s="60"/>
      <c r="BS37" s="60"/>
      <c r="BT37" s="60"/>
      <c r="BU37" s="60"/>
      <c r="BV37" s="60"/>
      <c r="BW37" s="60"/>
      <c r="BX37" s="60"/>
      <c r="BY37" s="60"/>
      <c r="BZ37" s="60"/>
      <c r="CA37" s="60"/>
      <c r="CB37" s="60"/>
      <c r="CC37" s="60"/>
      <c r="CD37" s="60"/>
      <c r="CE37" s="60"/>
      <c r="CF37" s="60"/>
      <c r="CG37" s="60"/>
      <c r="CH37" s="60"/>
      <c r="CI37" s="60"/>
      <c r="CJ37" s="60"/>
      <c r="CK37" s="60"/>
      <c r="CL37" s="60"/>
      <c r="CM37" s="60"/>
      <c r="CN37" s="60"/>
      <c r="CO37" s="60"/>
      <c r="CP37" s="60"/>
      <c r="CQ37" s="60"/>
      <c r="CR37" s="60"/>
      <c r="CS37" s="60"/>
      <c r="CT37" s="60"/>
      <c r="CU37" s="60"/>
      <c r="CV37" s="60"/>
      <c r="CW37" s="60"/>
      <c r="CX37" s="60"/>
      <c r="CY37" s="60"/>
      <c r="CZ37" s="60"/>
      <c r="DA37" s="60"/>
      <c r="DB37" s="60"/>
      <c r="DC37" s="60"/>
      <c r="DD37" s="60"/>
      <c r="DE37" s="60"/>
      <c r="DF37" s="60"/>
      <c r="DG37" s="60"/>
      <c r="DH37" s="60"/>
      <c r="DI37" s="60"/>
      <c r="DJ37" s="60"/>
      <c r="DK37" s="60"/>
      <c r="DL37" s="60"/>
      <c r="DM37" s="60"/>
      <c r="DN37" s="60"/>
      <c r="DO37" s="60"/>
      <c r="DP37" s="60"/>
      <c r="DQ37" s="60"/>
      <c r="DR37" s="60"/>
      <c r="DS37" s="60"/>
      <c r="DT37" s="60"/>
      <c r="DU37" s="60"/>
      <c r="DV37" s="60"/>
      <c r="DW37" s="60"/>
      <c r="DX37" s="60"/>
      <c r="DY37" s="60"/>
      <c r="DZ37" s="60"/>
      <c r="EA37" s="60"/>
      <c r="EB37" s="60"/>
      <c r="EC37" s="60"/>
      <c r="ED37" s="60"/>
      <c r="EE37" s="60"/>
      <c r="EF37" s="60"/>
      <c r="EG37" s="60"/>
      <c r="EH37" s="60"/>
      <c r="EI37" s="60"/>
      <c r="EJ37" s="60"/>
      <c r="EK37" s="60"/>
      <c r="EL37" s="60"/>
      <c r="EM37" s="60"/>
      <c r="EN37" s="60"/>
      <c r="EO37" s="60"/>
      <c r="EP37" s="60"/>
      <c r="EQ37" s="60"/>
      <c r="ER37" s="60"/>
      <c r="ES37" s="60"/>
      <c r="ET37" s="60"/>
      <c r="EU37" s="60"/>
      <c r="EV37" s="60"/>
      <c r="EW37" s="60"/>
      <c r="EX37" s="60"/>
      <c r="EY37" s="60"/>
      <c r="EZ37" s="60"/>
      <c r="FA37" s="60"/>
      <c r="FB37" s="60"/>
      <c r="FC37" s="60"/>
      <c r="FD37" s="60"/>
      <c r="FE37" s="60"/>
      <c r="FF37" s="60"/>
      <c r="FG37" s="60"/>
      <c r="FH37" s="60"/>
      <c r="FI37" s="60"/>
      <c r="FJ37" s="60"/>
      <c r="FK37" s="60"/>
      <c r="FL37" s="60"/>
      <c r="FM37" s="60"/>
      <c r="FN37" s="60"/>
      <c r="FO37" s="60"/>
      <c r="FP37" s="60"/>
      <c r="FQ37" s="60"/>
      <c r="FR37" s="60"/>
      <c r="FS37" s="60"/>
      <c r="FT37" s="60"/>
      <c r="FU37" s="60"/>
      <c r="FV37" s="60"/>
      <c r="FW37" s="60"/>
      <c r="FX37" s="60"/>
      <c r="FY37" s="60"/>
      <c r="FZ37" s="60"/>
      <c r="GA37" s="60"/>
      <c r="GB37" s="60"/>
      <c r="GC37" s="60"/>
      <c r="GD37" s="60"/>
      <c r="GE37" s="60"/>
      <c r="GF37" s="60"/>
      <c r="GG37" s="60"/>
      <c r="GH37" s="60"/>
      <c r="GI37" s="60"/>
      <c r="GJ37" s="60"/>
      <c r="GK37" s="60"/>
      <c r="GL37" s="60"/>
      <c r="GM37" s="60"/>
      <c r="GN37" s="60"/>
      <c r="GO37" s="60"/>
      <c r="GP37" s="60"/>
      <c r="GQ37" s="60"/>
      <c r="GR37" s="60"/>
      <c r="GS37" s="60"/>
      <c r="GT37" s="60"/>
      <c r="GU37" s="60"/>
      <c r="GV37" s="60"/>
      <c r="GW37" s="60"/>
      <c r="GX37" s="60"/>
      <c r="GY37" s="60"/>
      <c r="GZ37" s="60"/>
      <c r="HA37" s="60"/>
      <c r="HB37" s="60"/>
      <c r="HC37" s="60"/>
      <c r="HD37" s="60"/>
      <c r="HE37" s="60"/>
      <c r="HF37" s="60"/>
      <c r="HG37" s="60"/>
      <c r="HH37" s="60"/>
      <c r="HI37" s="60"/>
      <c r="HJ37" s="60"/>
      <c r="HK37" s="60"/>
      <c r="HL37" s="60"/>
      <c r="HM37" s="60"/>
      <c r="HN37" s="60"/>
      <c r="HO37" s="60"/>
      <c r="HP37" s="60"/>
      <c r="HQ37" s="60"/>
      <c r="HR37" s="60"/>
      <c r="HS37" s="60"/>
      <c r="HT37" s="60"/>
      <c r="HU37" s="60"/>
      <c r="HV37" s="60"/>
      <c r="HW37" s="60"/>
      <c r="HX37" s="60"/>
      <c r="HY37" s="60"/>
      <c r="HZ37" s="60"/>
      <c r="IA37" s="60"/>
      <c r="IB37" s="60"/>
      <c r="IC37" s="60"/>
      <c r="ID37" s="60"/>
      <c r="IE37" s="60"/>
      <c r="IF37" s="60"/>
      <c r="IG37" s="60"/>
      <c r="IH37" s="60"/>
      <c r="II37" s="60"/>
      <c r="IJ37" s="60"/>
      <c r="IK37" s="60"/>
      <c r="IL37" s="60"/>
      <c r="IM37" s="60"/>
      <c r="IN37" s="60"/>
      <c r="IO37" s="60"/>
      <c r="IP37" s="60"/>
      <c r="IQ37" s="60"/>
      <c r="IR37" s="60"/>
      <c r="IS37" s="60"/>
      <c r="IT37" s="60"/>
      <c r="IU37" s="60"/>
      <c r="IV37" s="60"/>
      <c r="IW37" s="60"/>
      <c r="IX37" s="60"/>
      <c r="IY37" s="60"/>
      <c r="IZ37" s="60"/>
      <c r="JA37" s="60"/>
      <c r="JB37" s="60"/>
      <c r="JC37" s="60"/>
      <c r="JD37" s="60"/>
      <c r="JE37" s="60"/>
      <c r="JF37" s="60"/>
      <c r="JG37" s="60"/>
      <c r="JH37" s="60"/>
      <c r="JI37" s="60"/>
      <c r="JJ37" s="60"/>
      <c r="JK37" s="60"/>
      <c r="JL37" s="60"/>
      <c r="JM37" s="60"/>
      <c r="JN37" s="60"/>
      <c r="JO37" s="60"/>
      <c r="JP37" s="60"/>
      <c r="JQ37" s="60"/>
      <c r="JR37" s="60"/>
      <c r="JS37" s="60"/>
      <c r="JT37" s="60"/>
      <c r="JU37" s="60"/>
      <c r="JV37" s="60"/>
      <c r="JW37" s="60"/>
      <c r="JX37" s="60"/>
      <c r="JY37" s="60"/>
      <c r="JZ37" s="60"/>
      <c r="KA37" s="60"/>
      <c r="KB37" s="60"/>
      <c r="KC37" s="60"/>
      <c r="KD37" s="60"/>
      <c r="KE37" s="60"/>
      <c r="KF37" s="60"/>
      <c r="KG37" s="60"/>
      <c r="KH37" s="60"/>
      <c r="KI37" s="60"/>
      <c r="KJ37" s="60"/>
      <c r="KK37" s="60"/>
      <c r="KL37" s="60"/>
      <c r="KM37" s="60"/>
      <c r="KN37" s="60"/>
      <c r="KO37" s="60"/>
      <c r="KP37" s="60"/>
      <c r="KQ37" s="60"/>
      <c r="KR37" s="60"/>
      <c r="KS37" s="60"/>
      <c r="KT37" s="60"/>
      <c r="KU37" s="60"/>
      <c r="KV37" s="60"/>
      <c r="KW37" s="60"/>
      <c r="KX37" s="60"/>
      <c r="KY37" s="60"/>
      <c r="KZ37" s="60"/>
      <c r="LA37" s="60"/>
      <c r="LB37" s="60"/>
      <c r="LC37" s="60"/>
      <c r="LD37" s="60"/>
      <c r="LE37" s="60"/>
      <c r="LF37" s="60"/>
      <c r="LG37" s="60"/>
      <c r="LH37" s="60"/>
    </row>
    <row r="38" spans="1:320" s="17" customFormat="1" x14ac:dyDescent="0.25">
      <c r="A38" s="147"/>
      <c r="E38" s="156"/>
      <c r="F38" s="157"/>
      <c r="G38" s="157"/>
      <c r="H38" s="156"/>
      <c r="I38" s="156"/>
      <c r="J38" s="156"/>
      <c r="K38" s="156"/>
      <c r="L38" s="156"/>
      <c r="M38" s="156"/>
      <c r="N38" s="156"/>
      <c r="O38" s="156"/>
      <c r="P38" s="156"/>
      <c r="Q38" s="156"/>
      <c r="R38" s="156"/>
      <c r="S38" s="156"/>
      <c r="AC38" s="60"/>
      <c r="AD38" s="60"/>
      <c r="AE38" s="60"/>
      <c r="AF38" s="60"/>
      <c r="AG38" s="60"/>
      <c r="AH38" s="60"/>
      <c r="AI38" s="60"/>
      <c r="AJ38" s="60"/>
      <c r="AK38" s="60"/>
      <c r="AL38" s="60"/>
      <c r="AM38" s="60"/>
      <c r="AN38" s="60"/>
      <c r="AO38" s="60"/>
      <c r="AP38" s="60"/>
      <c r="AQ38" s="60"/>
      <c r="AR38" s="60"/>
      <c r="AS38" s="60"/>
      <c r="AT38" s="60"/>
      <c r="AU38" s="60"/>
      <c r="AV38" s="60"/>
      <c r="AW38" s="60"/>
      <c r="AX38" s="60"/>
      <c r="AY38" s="60"/>
      <c r="AZ38" s="60"/>
      <c r="BA38" s="60"/>
      <c r="BB38" s="60"/>
      <c r="BC38" s="60"/>
      <c r="BD38" s="60"/>
      <c r="BE38" s="60"/>
      <c r="BF38" s="60"/>
      <c r="BG38" s="60"/>
      <c r="BH38" s="60"/>
      <c r="BI38" s="60"/>
      <c r="BJ38" s="60"/>
      <c r="BK38" s="60"/>
      <c r="BL38" s="60"/>
      <c r="BM38" s="60"/>
      <c r="BN38" s="60"/>
      <c r="BO38" s="60"/>
      <c r="BP38" s="60"/>
      <c r="BQ38" s="60"/>
      <c r="BR38" s="60"/>
      <c r="BS38" s="60"/>
      <c r="BT38" s="60"/>
      <c r="BU38" s="60"/>
      <c r="BV38" s="60"/>
      <c r="BW38" s="60"/>
      <c r="BX38" s="60"/>
      <c r="BY38" s="60"/>
      <c r="BZ38" s="60"/>
      <c r="CA38" s="60"/>
      <c r="CB38" s="60"/>
      <c r="CC38" s="60"/>
      <c r="CD38" s="60"/>
      <c r="CE38" s="60"/>
      <c r="CF38" s="60"/>
      <c r="CG38" s="60"/>
      <c r="CH38" s="60"/>
      <c r="CI38" s="60"/>
      <c r="CJ38" s="60"/>
      <c r="CK38" s="60"/>
      <c r="CL38" s="60"/>
      <c r="CM38" s="60"/>
      <c r="CN38" s="60"/>
      <c r="CO38" s="60"/>
      <c r="CP38" s="60"/>
      <c r="CQ38" s="60"/>
      <c r="CR38" s="60"/>
      <c r="CS38" s="60"/>
      <c r="CT38" s="60"/>
      <c r="CU38" s="60"/>
      <c r="CV38" s="60"/>
      <c r="CW38" s="60"/>
      <c r="CX38" s="60"/>
      <c r="CY38" s="60"/>
      <c r="CZ38" s="60"/>
      <c r="DA38" s="60"/>
      <c r="DB38" s="60"/>
      <c r="DC38" s="60"/>
      <c r="DD38" s="60"/>
      <c r="DE38" s="60"/>
      <c r="DF38" s="60"/>
      <c r="DG38" s="60"/>
      <c r="DH38" s="60"/>
      <c r="DI38" s="60"/>
      <c r="DJ38" s="60"/>
      <c r="DK38" s="60"/>
      <c r="DL38" s="60"/>
      <c r="DM38" s="60"/>
      <c r="DN38" s="60"/>
      <c r="DO38" s="60"/>
      <c r="DP38" s="60"/>
      <c r="DQ38" s="60"/>
      <c r="DR38" s="60"/>
      <c r="DS38" s="60"/>
      <c r="DT38" s="60"/>
      <c r="DU38" s="60"/>
      <c r="DV38" s="60"/>
      <c r="DW38" s="60"/>
      <c r="DX38" s="60"/>
      <c r="DY38" s="60"/>
      <c r="DZ38" s="60"/>
      <c r="EA38" s="60"/>
      <c r="EB38" s="60"/>
      <c r="EC38" s="60"/>
      <c r="ED38" s="60"/>
      <c r="EE38" s="60"/>
      <c r="EF38" s="60"/>
      <c r="EG38" s="60"/>
      <c r="EH38" s="60"/>
      <c r="EI38" s="60"/>
      <c r="EJ38" s="60"/>
      <c r="EK38" s="60"/>
      <c r="EL38" s="60"/>
      <c r="EM38" s="60"/>
      <c r="EN38" s="60"/>
      <c r="EO38" s="60"/>
      <c r="EP38" s="60"/>
      <c r="EQ38" s="60"/>
      <c r="ER38" s="60"/>
      <c r="ES38" s="60"/>
      <c r="ET38" s="60"/>
      <c r="EU38" s="60"/>
      <c r="EV38" s="60"/>
      <c r="EW38" s="60"/>
      <c r="EX38" s="60"/>
      <c r="EY38" s="60"/>
      <c r="EZ38" s="60"/>
      <c r="FA38" s="60"/>
      <c r="FB38" s="60"/>
      <c r="FC38" s="60"/>
      <c r="FD38" s="60"/>
      <c r="FE38" s="60"/>
      <c r="FF38" s="60"/>
      <c r="FG38" s="60"/>
      <c r="FH38" s="60"/>
      <c r="FI38" s="60"/>
      <c r="FJ38" s="60"/>
      <c r="FK38" s="60"/>
      <c r="FL38" s="60"/>
      <c r="FM38" s="60"/>
      <c r="FN38" s="60"/>
      <c r="FO38" s="60"/>
      <c r="FP38" s="60"/>
      <c r="FQ38" s="60"/>
      <c r="FR38" s="60"/>
      <c r="FS38" s="60"/>
      <c r="FT38" s="60"/>
      <c r="FU38" s="60"/>
      <c r="FV38" s="60"/>
      <c r="FW38" s="60"/>
      <c r="FX38" s="60"/>
      <c r="FY38" s="60"/>
      <c r="FZ38" s="60"/>
      <c r="GA38" s="60"/>
      <c r="GB38" s="60"/>
      <c r="GC38" s="60"/>
      <c r="GD38" s="60"/>
      <c r="GE38" s="60"/>
      <c r="GF38" s="60"/>
      <c r="GG38" s="60"/>
      <c r="GH38" s="60"/>
      <c r="GI38" s="60"/>
      <c r="GJ38" s="60"/>
      <c r="GK38" s="60"/>
      <c r="GL38" s="60"/>
      <c r="GM38" s="60"/>
      <c r="GN38" s="60"/>
      <c r="GO38" s="60"/>
      <c r="GP38" s="60"/>
      <c r="GQ38" s="60"/>
      <c r="GR38" s="60"/>
      <c r="GS38" s="60"/>
      <c r="GT38" s="60"/>
      <c r="GU38" s="60"/>
      <c r="GV38" s="60"/>
      <c r="GW38" s="60"/>
      <c r="GX38" s="60"/>
      <c r="GY38" s="60"/>
      <c r="GZ38" s="60"/>
      <c r="HA38" s="60"/>
      <c r="HB38" s="60"/>
      <c r="HC38" s="60"/>
      <c r="HD38" s="60"/>
      <c r="HE38" s="60"/>
      <c r="HF38" s="60"/>
      <c r="HG38" s="60"/>
      <c r="HH38" s="60"/>
      <c r="HI38" s="60"/>
      <c r="HJ38" s="60"/>
      <c r="HK38" s="60"/>
      <c r="HL38" s="60"/>
      <c r="HM38" s="60"/>
      <c r="HN38" s="60"/>
      <c r="HO38" s="60"/>
      <c r="HP38" s="60"/>
      <c r="HQ38" s="60"/>
      <c r="HR38" s="60"/>
      <c r="HS38" s="60"/>
      <c r="HT38" s="60"/>
      <c r="HU38" s="60"/>
      <c r="HV38" s="60"/>
      <c r="HW38" s="60"/>
      <c r="HX38" s="60"/>
      <c r="HY38" s="60"/>
      <c r="HZ38" s="60"/>
      <c r="IA38" s="60"/>
      <c r="IB38" s="60"/>
      <c r="IC38" s="60"/>
      <c r="ID38" s="60"/>
      <c r="IE38" s="60"/>
      <c r="IF38" s="60"/>
      <c r="IG38" s="60"/>
      <c r="IH38" s="60"/>
      <c r="II38" s="60"/>
      <c r="IJ38" s="60"/>
      <c r="IK38" s="60"/>
      <c r="IL38" s="60"/>
      <c r="IM38" s="60"/>
      <c r="IN38" s="60"/>
      <c r="IO38" s="60"/>
      <c r="IP38" s="60"/>
      <c r="IQ38" s="60"/>
      <c r="IR38" s="60"/>
      <c r="IS38" s="60"/>
      <c r="IT38" s="60"/>
      <c r="IU38" s="60"/>
      <c r="IV38" s="60"/>
      <c r="IW38" s="60"/>
      <c r="IX38" s="60"/>
      <c r="IY38" s="60"/>
      <c r="IZ38" s="60"/>
      <c r="JA38" s="60"/>
      <c r="JB38" s="60"/>
      <c r="JC38" s="60"/>
      <c r="JD38" s="60"/>
      <c r="JE38" s="60"/>
      <c r="JF38" s="60"/>
      <c r="JG38" s="60"/>
      <c r="JH38" s="60"/>
      <c r="JI38" s="60"/>
      <c r="JJ38" s="60"/>
      <c r="JK38" s="60"/>
      <c r="JL38" s="60"/>
      <c r="JM38" s="60"/>
      <c r="JN38" s="60"/>
      <c r="JO38" s="60"/>
      <c r="JP38" s="60"/>
      <c r="JQ38" s="60"/>
      <c r="JR38" s="60"/>
      <c r="JS38" s="60"/>
      <c r="JT38" s="60"/>
      <c r="JU38" s="60"/>
      <c r="JV38" s="60"/>
      <c r="JW38" s="60"/>
      <c r="JX38" s="60"/>
      <c r="JY38" s="60"/>
      <c r="JZ38" s="60"/>
      <c r="KA38" s="60"/>
      <c r="KB38" s="60"/>
      <c r="KC38" s="60"/>
      <c r="KD38" s="60"/>
      <c r="KE38" s="60"/>
      <c r="KF38" s="60"/>
      <c r="KG38" s="60"/>
      <c r="KH38" s="60"/>
      <c r="KI38" s="60"/>
      <c r="KJ38" s="60"/>
      <c r="KK38" s="60"/>
      <c r="KL38" s="60"/>
      <c r="KM38" s="60"/>
      <c r="KN38" s="60"/>
      <c r="KO38" s="60"/>
      <c r="KP38" s="60"/>
      <c r="KQ38" s="60"/>
      <c r="KR38" s="60"/>
      <c r="KS38" s="60"/>
      <c r="KT38" s="60"/>
      <c r="KU38" s="60"/>
      <c r="KV38" s="60"/>
      <c r="KW38" s="60"/>
      <c r="KX38" s="60"/>
      <c r="KY38" s="60"/>
      <c r="KZ38" s="60"/>
      <c r="LA38" s="60"/>
      <c r="LB38" s="60"/>
      <c r="LC38" s="60"/>
      <c r="LD38" s="60"/>
      <c r="LE38" s="60"/>
      <c r="LF38" s="60"/>
      <c r="LG38" s="60"/>
      <c r="LH38" s="60"/>
    </row>
    <row r="39" spans="1:320" s="17" customFormat="1" x14ac:dyDescent="0.25">
      <c r="A39" s="147"/>
      <c r="E39" s="156"/>
      <c r="F39" s="157"/>
      <c r="G39" s="157"/>
      <c r="H39" s="156"/>
      <c r="I39" s="156"/>
      <c r="J39" s="156"/>
      <c r="K39" s="156"/>
      <c r="L39" s="156"/>
      <c r="M39" s="156"/>
      <c r="N39" s="156"/>
      <c r="O39" s="156"/>
      <c r="P39" s="156"/>
      <c r="Q39" s="156"/>
      <c r="R39" s="156"/>
      <c r="S39" s="156"/>
      <c r="AC39" s="60"/>
      <c r="AD39" s="60"/>
      <c r="AE39" s="60"/>
      <c r="AF39" s="60"/>
      <c r="AG39" s="60"/>
      <c r="AH39" s="60"/>
      <c r="AI39" s="60"/>
      <c r="AJ39" s="60"/>
      <c r="AK39" s="60"/>
      <c r="AL39" s="60"/>
      <c r="AM39" s="60"/>
      <c r="AN39" s="60"/>
      <c r="AO39" s="60"/>
      <c r="AP39" s="60"/>
      <c r="AQ39" s="60"/>
      <c r="AR39" s="60"/>
      <c r="AS39" s="60"/>
      <c r="AT39" s="60"/>
      <c r="AU39" s="60"/>
      <c r="AV39" s="60"/>
      <c r="AW39" s="60"/>
      <c r="AX39" s="60"/>
      <c r="AY39" s="60"/>
      <c r="AZ39" s="60"/>
      <c r="BA39" s="60"/>
      <c r="BB39" s="60"/>
      <c r="BC39" s="60"/>
      <c r="BD39" s="60"/>
      <c r="BE39" s="60"/>
      <c r="BF39" s="60"/>
      <c r="BG39" s="60"/>
      <c r="BH39" s="60"/>
      <c r="BI39" s="60"/>
      <c r="BJ39" s="60"/>
      <c r="BK39" s="60"/>
      <c r="BL39" s="60"/>
      <c r="BM39" s="60"/>
      <c r="BN39" s="60"/>
      <c r="BO39" s="60"/>
      <c r="BP39" s="60"/>
      <c r="BQ39" s="60"/>
      <c r="BR39" s="60"/>
      <c r="BS39" s="60"/>
      <c r="BT39" s="60"/>
      <c r="BU39" s="60"/>
      <c r="BV39" s="60"/>
      <c r="BW39" s="60"/>
      <c r="BX39" s="60"/>
      <c r="BY39" s="60"/>
      <c r="BZ39" s="60"/>
      <c r="CA39" s="60"/>
      <c r="CB39" s="60"/>
      <c r="CC39" s="60"/>
      <c r="CD39" s="60"/>
      <c r="CE39" s="60"/>
      <c r="CF39" s="60"/>
      <c r="CG39" s="60"/>
      <c r="CH39" s="60"/>
      <c r="CI39" s="60"/>
      <c r="CJ39" s="60"/>
      <c r="CK39" s="60"/>
      <c r="CL39" s="60"/>
      <c r="CM39" s="60"/>
      <c r="CN39" s="60"/>
      <c r="CO39" s="60"/>
      <c r="CP39" s="60"/>
      <c r="CQ39" s="60"/>
      <c r="CR39" s="60"/>
      <c r="CS39" s="60"/>
      <c r="CT39" s="60"/>
      <c r="CU39" s="60"/>
      <c r="CV39" s="60"/>
      <c r="CW39" s="60"/>
      <c r="CX39" s="60"/>
      <c r="CY39" s="60"/>
      <c r="CZ39" s="60"/>
      <c r="DA39" s="60"/>
      <c r="DB39" s="60"/>
      <c r="DC39" s="60"/>
      <c r="DD39" s="60"/>
      <c r="DE39" s="60"/>
      <c r="DF39" s="60"/>
      <c r="DG39" s="60"/>
      <c r="DH39" s="60"/>
      <c r="DI39" s="60"/>
      <c r="DJ39" s="60"/>
      <c r="DK39" s="60"/>
      <c r="DL39" s="60"/>
      <c r="DM39" s="60"/>
      <c r="DN39" s="60"/>
      <c r="DO39" s="60"/>
      <c r="DP39" s="60"/>
      <c r="DQ39" s="60"/>
      <c r="DR39" s="60"/>
      <c r="DS39" s="60"/>
      <c r="DT39" s="60"/>
      <c r="DU39" s="60"/>
      <c r="DV39" s="60"/>
      <c r="DW39" s="60"/>
      <c r="DX39" s="60"/>
      <c r="DY39" s="60"/>
      <c r="DZ39" s="60"/>
      <c r="EA39" s="60"/>
      <c r="EB39" s="60"/>
      <c r="EC39" s="60"/>
      <c r="ED39" s="60"/>
      <c r="EE39" s="60"/>
      <c r="EF39" s="60"/>
      <c r="EG39" s="60"/>
      <c r="EH39" s="60"/>
      <c r="EI39" s="60"/>
      <c r="EJ39" s="60"/>
      <c r="EK39" s="60"/>
      <c r="EL39" s="60"/>
      <c r="EM39" s="60"/>
      <c r="EN39" s="60"/>
      <c r="EO39" s="60"/>
      <c r="EP39" s="60"/>
      <c r="EQ39" s="60"/>
      <c r="ER39" s="60"/>
      <c r="ES39" s="60"/>
      <c r="ET39" s="60"/>
      <c r="EU39" s="60"/>
      <c r="EV39" s="60"/>
      <c r="EW39" s="60"/>
      <c r="EX39" s="60"/>
      <c r="EY39" s="60"/>
      <c r="EZ39" s="60"/>
      <c r="FA39" s="60"/>
      <c r="FB39" s="60"/>
      <c r="FC39" s="60"/>
      <c r="FD39" s="60"/>
      <c r="FE39" s="60"/>
      <c r="FF39" s="60"/>
      <c r="FG39" s="60"/>
      <c r="FH39" s="60"/>
      <c r="FI39" s="60"/>
      <c r="FJ39" s="60"/>
      <c r="FK39" s="60"/>
      <c r="FL39" s="60"/>
      <c r="FM39" s="60"/>
      <c r="FN39" s="60"/>
      <c r="FO39" s="60"/>
      <c r="FP39" s="60"/>
      <c r="FQ39" s="60"/>
      <c r="FR39" s="60"/>
      <c r="FS39" s="60"/>
      <c r="FT39" s="60"/>
      <c r="FU39" s="60"/>
      <c r="FV39" s="60"/>
      <c r="FW39" s="60"/>
      <c r="FX39" s="60"/>
      <c r="FY39" s="60"/>
      <c r="FZ39" s="60"/>
      <c r="GA39" s="60"/>
      <c r="GB39" s="60"/>
      <c r="GC39" s="60"/>
      <c r="GD39" s="60"/>
      <c r="GE39" s="60"/>
      <c r="GF39" s="60"/>
      <c r="GG39" s="60"/>
      <c r="GH39" s="60"/>
      <c r="GI39" s="60"/>
      <c r="GJ39" s="60"/>
      <c r="GK39" s="60"/>
      <c r="GL39" s="60"/>
      <c r="GM39" s="60"/>
      <c r="GN39" s="60"/>
      <c r="GO39" s="60"/>
      <c r="GP39" s="60"/>
      <c r="GQ39" s="60"/>
      <c r="GR39" s="60"/>
      <c r="GS39" s="60"/>
      <c r="GT39" s="60"/>
      <c r="GU39" s="60"/>
      <c r="GV39" s="60"/>
      <c r="GW39" s="60"/>
      <c r="GX39" s="60"/>
      <c r="GY39" s="60"/>
      <c r="GZ39" s="60"/>
      <c r="HA39" s="60"/>
      <c r="HB39" s="60"/>
      <c r="HC39" s="60"/>
      <c r="HD39" s="60"/>
      <c r="HE39" s="60"/>
      <c r="HF39" s="60"/>
      <c r="HG39" s="60"/>
      <c r="HH39" s="60"/>
      <c r="HI39" s="60"/>
      <c r="HJ39" s="60"/>
      <c r="HK39" s="60"/>
      <c r="HL39" s="60"/>
      <c r="HM39" s="60"/>
      <c r="HN39" s="60"/>
      <c r="HO39" s="60"/>
      <c r="HP39" s="60"/>
      <c r="HQ39" s="60"/>
      <c r="HR39" s="60"/>
      <c r="HS39" s="60"/>
      <c r="HT39" s="60"/>
      <c r="HU39" s="60"/>
      <c r="HV39" s="60"/>
      <c r="HW39" s="60"/>
      <c r="HX39" s="60"/>
      <c r="HY39" s="60"/>
      <c r="HZ39" s="60"/>
      <c r="IA39" s="60"/>
      <c r="IB39" s="60"/>
      <c r="IC39" s="60"/>
      <c r="ID39" s="60"/>
      <c r="IE39" s="60"/>
      <c r="IF39" s="60"/>
      <c r="IG39" s="60"/>
      <c r="IH39" s="60"/>
      <c r="II39" s="60"/>
      <c r="IJ39" s="60"/>
      <c r="IK39" s="60"/>
      <c r="IL39" s="60"/>
      <c r="IM39" s="60"/>
      <c r="IN39" s="60"/>
      <c r="IO39" s="60"/>
      <c r="IP39" s="60"/>
      <c r="IQ39" s="60"/>
      <c r="IR39" s="60"/>
      <c r="IS39" s="60"/>
      <c r="IT39" s="60"/>
      <c r="IU39" s="60"/>
      <c r="IV39" s="60"/>
      <c r="IW39" s="60"/>
      <c r="IX39" s="60"/>
      <c r="IY39" s="60"/>
      <c r="IZ39" s="60"/>
      <c r="JA39" s="60"/>
      <c r="JB39" s="60"/>
      <c r="JC39" s="60"/>
      <c r="JD39" s="60"/>
      <c r="JE39" s="60"/>
      <c r="JF39" s="60"/>
      <c r="JG39" s="60"/>
      <c r="JH39" s="60"/>
      <c r="JI39" s="60"/>
      <c r="JJ39" s="60"/>
      <c r="JK39" s="60"/>
      <c r="JL39" s="60"/>
      <c r="JM39" s="60"/>
      <c r="JN39" s="60"/>
      <c r="JO39" s="60"/>
      <c r="JP39" s="60"/>
      <c r="JQ39" s="60"/>
      <c r="JR39" s="60"/>
      <c r="JS39" s="60"/>
      <c r="JT39" s="60"/>
      <c r="JU39" s="60"/>
      <c r="JV39" s="60"/>
      <c r="JW39" s="60"/>
      <c r="JX39" s="60"/>
      <c r="JY39" s="60"/>
      <c r="JZ39" s="60"/>
      <c r="KA39" s="60"/>
      <c r="KB39" s="60"/>
      <c r="KC39" s="60"/>
      <c r="KD39" s="60"/>
      <c r="KE39" s="60"/>
      <c r="KF39" s="60"/>
      <c r="KG39" s="60"/>
      <c r="KH39" s="60"/>
      <c r="KI39" s="60"/>
      <c r="KJ39" s="60"/>
      <c r="KK39" s="60"/>
      <c r="KL39" s="60"/>
      <c r="KM39" s="60"/>
      <c r="KN39" s="60"/>
      <c r="KO39" s="60"/>
      <c r="KP39" s="60"/>
      <c r="KQ39" s="60"/>
      <c r="KR39" s="60"/>
      <c r="KS39" s="60"/>
      <c r="KT39" s="60"/>
      <c r="KU39" s="60"/>
      <c r="KV39" s="60"/>
      <c r="KW39" s="60"/>
      <c r="KX39" s="60"/>
      <c r="KY39" s="60"/>
      <c r="KZ39" s="60"/>
      <c r="LA39" s="60"/>
      <c r="LB39" s="60"/>
      <c r="LC39" s="60"/>
      <c r="LD39" s="60"/>
      <c r="LE39" s="60"/>
      <c r="LF39" s="60"/>
      <c r="LG39" s="60"/>
      <c r="LH39" s="60"/>
    </row>
    <row r="40" spans="1:320" s="17" customFormat="1" x14ac:dyDescent="0.25">
      <c r="A40" s="147"/>
      <c r="E40" s="156"/>
      <c r="F40" s="157"/>
      <c r="G40" s="157"/>
      <c r="H40" s="156"/>
      <c r="I40" s="156"/>
      <c r="J40" s="156"/>
      <c r="K40" s="156"/>
      <c r="L40" s="156"/>
      <c r="M40" s="156"/>
      <c r="N40" s="156"/>
      <c r="O40" s="156"/>
      <c r="P40" s="156"/>
      <c r="Q40" s="156"/>
      <c r="R40" s="156"/>
      <c r="S40" s="156"/>
      <c r="AC40" s="60"/>
      <c r="AD40" s="60"/>
      <c r="AE40" s="60"/>
      <c r="AF40" s="60"/>
      <c r="AG40" s="60"/>
      <c r="AH40" s="60"/>
      <c r="AI40" s="60"/>
      <c r="AJ40" s="60"/>
      <c r="AK40" s="60"/>
      <c r="AL40" s="60"/>
      <c r="AM40" s="60"/>
      <c r="AN40" s="60"/>
      <c r="AO40" s="60"/>
      <c r="AP40" s="60"/>
      <c r="AQ40" s="60"/>
      <c r="AR40" s="60"/>
      <c r="AS40" s="60"/>
      <c r="AT40" s="60"/>
      <c r="AU40" s="60"/>
      <c r="AV40" s="60"/>
      <c r="AW40" s="60"/>
      <c r="AX40" s="60"/>
      <c r="AY40" s="60"/>
      <c r="AZ40" s="60"/>
      <c r="BA40" s="60"/>
      <c r="BB40" s="60"/>
      <c r="BC40" s="60"/>
      <c r="BD40" s="60"/>
      <c r="BE40" s="60"/>
      <c r="BF40" s="60"/>
      <c r="BG40" s="60"/>
      <c r="BH40" s="60"/>
      <c r="BI40" s="60"/>
      <c r="BJ40" s="60"/>
      <c r="BK40" s="60"/>
      <c r="BL40" s="60"/>
      <c r="BM40" s="60"/>
      <c r="BN40" s="60"/>
      <c r="BO40" s="60"/>
      <c r="BP40" s="60"/>
      <c r="BQ40" s="60"/>
      <c r="BR40" s="60"/>
      <c r="BS40" s="60"/>
      <c r="BT40" s="60"/>
      <c r="BU40" s="60"/>
      <c r="BV40" s="60"/>
      <c r="BW40" s="60"/>
      <c r="BX40" s="60"/>
      <c r="BY40" s="60"/>
      <c r="BZ40" s="60"/>
      <c r="CA40" s="60"/>
      <c r="CB40" s="60"/>
      <c r="CC40" s="60"/>
      <c r="CD40" s="60"/>
      <c r="CE40" s="60"/>
      <c r="CF40" s="60"/>
      <c r="CG40" s="60"/>
      <c r="CH40" s="60"/>
      <c r="CI40" s="60"/>
      <c r="CJ40" s="60"/>
      <c r="CK40" s="60"/>
      <c r="CL40" s="60"/>
      <c r="CM40" s="60"/>
      <c r="CN40" s="60"/>
      <c r="CO40" s="60"/>
      <c r="CP40" s="60"/>
      <c r="CQ40" s="60"/>
      <c r="CR40" s="60"/>
      <c r="CS40" s="60"/>
      <c r="CT40" s="60"/>
      <c r="CU40" s="60"/>
      <c r="CV40" s="60"/>
      <c r="CW40" s="60"/>
      <c r="CX40" s="60"/>
      <c r="CY40" s="60"/>
      <c r="CZ40" s="60"/>
      <c r="DA40" s="60"/>
      <c r="DB40" s="60"/>
      <c r="DC40" s="60"/>
      <c r="DD40" s="60"/>
      <c r="DE40" s="60"/>
      <c r="DF40" s="60"/>
      <c r="DG40" s="60"/>
      <c r="DH40" s="60"/>
      <c r="DI40" s="60"/>
      <c r="DJ40" s="60"/>
      <c r="DK40" s="60"/>
      <c r="DL40" s="60"/>
      <c r="DM40" s="60"/>
      <c r="DN40" s="60"/>
      <c r="DO40" s="60"/>
      <c r="DP40" s="60"/>
      <c r="DQ40" s="60"/>
      <c r="DR40" s="60"/>
      <c r="DS40" s="60"/>
      <c r="DT40" s="60"/>
      <c r="DU40" s="60"/>
      <c r="DV40" s="60"/>
      <c r="DW40" s="60"/>
      <c r="DX40" s="60"/>
      <c r="DY40" s="60"/>
      <c r="DZ40" s="60"/>
      <c r="EA40" s="60"/>
      <c r="EB40" s="60"/>
      <c r="EC40" s="60"/>
      <c r="ED40" s="60"/>
      <c r="EE40" s="60"/>
      <c r="EF40" s="60"/>
      <c r="EG40" s="60"/>
      <c r="EH40" s="60"/>
      <c r="EI40" s="60"/>
      <c r="EJ40" s="60"/>
      <c r="EK40" s="60"/>
      <c r="EL40" s="60"/>
      <c r="EM40" s="60"/>
      <c r="EN40" s="60"/>
      <c r="EO40" s="60"/>
      <c r="EP40" s="60"/>
      <c r="EQ40" s="60"/>
      <c r="ER40" s="60"/>
      <c r="ES40" s="60"/>
      <c r="ET40" s="60"/>
      <c r="EU40" s="60"/>
      <c r="EV40" s="60"/>
      <c r="EW40" s="60"/>
      <c r="EX40" s="60"/>
      <c r="EY40" s="60"/>
      <c r="EZ40" s="60"/>
      <c r="FA40" s="60"/>
      <c r="FB40" s="60"/>
      <c r="FC40" s="60"/>
      <c r="FD40" s="60"/>
      <c r="FE40" s="60"/>
      <c r="FF40" s="60"/>
      <c r="FG40" s="60"/>
      <c r="FH40" s="60"/>
      <c r="FI40" s="60"/>
      <c r="FJ40" s="60"/>
      <c r="FK40" s="60"/>
      <c r="FL40" s="60"/>
      <c r="FM40" s="60"/>
      <c r="FN40" s="60"/>
      <c r="FO40" s="60"/>
      <c r="FP40" s="60"/>
      <c r="FQ40" s="60"/>
      <c r="FR40" s="60"/>
      <c r="FS40" s="60"/>
      <c r="FT40" s="60"/>
      <c r="FU40" s="60"/>
      <c r="FV40" s="60"/>
      <c r="FW40" s="60"/>
      <c r="FX40" s="60"/>
      <c r="FY40" s="60"/>
      <c r="FZ40" s="60"/>
      <c r="GA40" s="60"/>
      <c r="GB40" s="60"/>
      <c r="GC40" s="60"/>
      <c r="GD40" s="60"/>
      <c r="GE40" s="60"/>
      <c r="GF40" s="60"/>
      <c r="GG40" s="60"/>
      <c r="GH40" s="60"/>
      <c r="GI40" s="60"/>
      <c r="GJ40" s="60"/>
      <c r="GK40" s="60"/>
      <c r="GL40" s="60"/>
      <c r="GM40" s="60"/>
      <c r="GN40" s="60"/>
      <c r="GO40" s="60"/>
      <c r="GP40" s="60"/>
      <c r="GQ40" s="60"/>
      <c r="GR40" s="60"/>
      <c r="GS40" s="60"/>
      <c r="GT40" s="60"/>
      <c r="GU40" s="60"/>
      <c r="GV40" s="60"/>
      <c r="GW40" s="60"/>
      <c r="GX40" s="60"/>
      <c r="GY40" s="60"/>
      <c r="GZ40" s="60"/>
      <c r="HA40" s="60"/>
      <c r="HB40" s="60"/>
      <c r="HC40" s="60"/>
      <c r="HD40" s="60"/>
      <c r="HE40" s="60"/>
      <c r="HF40" s="60"/>
      <c r="HG40" s="60"/>
      <c r="HH40" s="60"/>
      <c r="HI40" s="60"/>
      <c r="HJ40" s="60"/>
      <c r="HK40" s="60"/>
      <c r="HL40" s="60"/>
      <c r="HM40" s="60"/>
      <c r="HN40" s="60"/>
      <c r="HO40" s="60"/>
      <c r="HP40" s="60"/>
      <c r="HQ40" s="60"/>
      <c r="HR40" s="60"/>
      <c r="HS40" s="60"/>
      <c r="HT40" s="60"/>
      <c r="HU40" s="60"/>
      <c r="HV40" s="60"/>
      <c r="HW40" s="60"/>
      <c r="HX40" s="60"/>
      <c r="HY40" s="60"/>
      <c r="HZ40" s="60"/>
      <c r="IA40" s="60"/>
      <c r="IB40" s="60"/>
      <c r="IC40" s="60"/>
      <c r="ID40" s="60"/>
      <c r="IE40" s="60"/>
      <c r="IF40" s="60"/>
      <c r="IG40" s="60"/>
      <c r="IH40" s="60"/>
      <c r="II40" s="60"/>
      <c r="IJ40" s="60"/>
      <c r="IK40" s="60"/>
      <c r="IL40" s="60"/>
      <c r="IM40" s="60"/>
      <c r="IN40" s="60"/>
      <c r="IO40" s="60"/>
      <c r="IP40" s="60"/>
      <c r="IQ40" s="60"/>
      <c r="IR40" s="60"/>
      <c r="IS40" s="60"/>
      <c r="IT40" s="60"/>
      <c r="IU40" s="60"/>
      <c r="IV40" s="60"/>
      <c r="IW40" s="60"/>
      <c r="IX40" s="60"/>
      <c r="IY40" s="60"/>
      <c r="IZ40" s="60"/>
      <c r="JA40" s="60"/>
      <c r="JB40" s="60"/>
      <c r="JC40" s="60"/>
      <c r="JD40" s="60"/>
      <c r="JE40" s="60"/>
      <c r="JF40" s="60"/>
      <c r="JG40" s="60"/>
      <c r="JH40" s="60"/>
      <c r="JI40" s="60"/>
      <c r="JJ40" s="60"/>
      <c r="JK40" s="60"/>
      <c r="JL40" s="60"/>
      <c r="JM40" s="60"/>
      <c r="JN40" s="60"/>
      <c r="JO40" s="60"/>
      <c r="JP40" s="60"/>
      <c r="JQ40" s="60"/>
      <c r="JR40" s="60"/>
      <c r="JS40" s="60"/>
      <c r="JT40" s="60"/>
      <c r="JU40" s="60"/>
      <c r="JV40" s="60"/>
      <c r="JW40" s="60"/>
      <c r="JX40" s="60"/>
      <c r="JY40" s="60"/>
      <c r="JZ40" s="60"/>
      <c r="KA40" s="60"/>
      <c r="KB40" s="60"/>
      <c r="KC40" s="60"/>
      <c r="KD40" s="60"/>
      <c r="KE40" s="60"/>
      <c r="KF40" s="60"/>
      <c r="KG40" s="60"/>
      <c r="KH40" s="60"/>
      <c r="KI40" s="60"/>
      <c r="KJ40" s="60"/>
      <c r="KK40" s="60"/>
      <c r="KL40" s="60"/>
      <c r="KM40" s="60"/>
      <c r="KN40" s="60"/>
      <c r="KO40" s="60"/>
      <c r="KP40" s="60"/>
      <c r="KQ40" s="60"/>
      <c r="KR40" s="60"/>
      <c r="KS40" s="60"/>
      <c r="KT40" s="60"/>
      <c r="KU40" s="60"/>
      <c r="KV40" s="60"/>
      <c r="KW40" s="60"/>
      <c r="KX40" s="60"/>
      <c r="KY40" s="60"/>
      <c r="KZ40" s="60"/>
      <c r="LA40" s="60"/>
      <c r="LB40" s="60"/>
      <c r="LC40" s="60"/>
      <c r="LD40" s="60"/>
      <c r="LE40" s="60"/>
      <c r="LF40" s="60"/>
      <c r="LG40" s="60"/>
      <c r="LH40" s="60"/>
    </row>
    <row r="41" spans="1:320" s="17" customFormat="1" x14ac:dyDescent="0.25">
      <c r="A41" s="147"/>
      <c r="B41" s="1"/>
      <c r="C41" s="1"/>
      <c r="D41" s="1"/>
      <c r="E41" s="146"/>
      <c r="F41" s="158"/>
      <c r="G41" s="158"/>
      <c r="H41" s="146"/>
      <c r="I41" s="146"/>
      <c r="J41" s="146"/>
      <c r="K41" s="146"/>
      <c r="L41" s="146"/>
      <c r="M41" s="146"/>
      <c r="N41" s="146"/>
      <c r="O41" s="146"/>
      <c r="P41" s="146"/>
      <c r="Q41" s="146"/>
      <c r="R41" s="146"/>
      <c r="S41" s="146"/>
      <c r="AC41" s="60"/>
      <c r="AD41" s="60"/>
      <c r="AE41" s="60"/>
      <c r="AF41" s="60"/>
      <c r="AG41" s="60"/>
      <c r="AH41" s="60"/>
      <c r="AI41" s="60"/>
      <c r="AJ41" s="60"/>
      <c r="AK41" s="60"/>
      <c r="AL41" s="60"/>
      <c r="AM41" s="60"/>
      <c r="AN41" s="60"/>
      <c r="AO41" s="60"/>
      <c r="AP41" s="60"/>
      <c r="AQ41" s="60"/>
      <c r="AR41" s="60"/>
      <c r="AS41" s="60"/>
      <c r="AT41" s="60"/>
      <c r="AU41" s="60"/>
      <c r="AV41" s="60"/>
      <c r="AW41" s="60"/>
      <c r="AX41" s="60"/>
      <c r="AY41" s="60"/>
      <c r="AZ41" s="60"/>
      <c r="BA41" s="60"/>
      <c r="BB41" s="60"/>
      <c r="BC41" s="60"/>
      <c r="BD41" s="60"/>
      <c r="BE41" s="60"/>
      <c r="BF41" s="60"/>
      <c r="BG41" s="60"/>
      <c r="BH41" s="60"/>
      <c r="BI41" s="60"/>
      <c r="BJ41" s="60"/>
      <c r="BK41" s="60"/>
      <c r="BL41" s="60"/>
      <c r="BM41" s="60"/>
      <c r="BN41" s="60"/>
      <c r="BO41" s="60"/>
      <c r="BP41" s="60"/>
      <c r="BQ41" s="60"/>
      <c r="BR41" s="60"/>
      <c r="BS41" s="60"/>
      <c r="BT41" s="60"/>
      <c r="BU41" s="60"/>
      <c r="BV41" s="60"/>
      <c r="BW41" s="60"/>
      <c r="BX41" s="60"/>
      <c r="BY41" s="60"/>
      <c r="BZ41" s="60"/>
      <c r="CA41" s="60"/>
      <c r="CB41" s="60"/>
      <c r="CC41" s="60"/>
      <c r="CD41" s="60"/>
      <c r="CE41" s="60"/>
      <c r="CF41" s="60"/>
      <c r="CG41" s="60"/>
      <c r="CH41" s="60"/>
      <c r="CI41" s="60"/>
      <c r="CJ41" s="60"/>
      <c r="CK41" s="60"/>
      <c r="CL41" s="60"/>
      <c r="CM41" s="60"/>
      <c r="CN41" s="60"/>
      <c r="CO41" s="60"/>
      <c r="CP41" s="60"/>
      <c r="CQ41" s="60"/>
      <c r="CR41" s="60"/>
      <c r="CS41" s="60"/>
      <c r="CT41" s="60"/>
      <c r="CU41" s="60"/>
      <c r="CV41" s="60"/>
      <c r="CW41" s="60"/>
      <c r="CX41" s="60"/>
      <c r="CY41" s="60"/>
      <c r="CZ41" s="60"/>
      <c r="DA41" s="60"/>
      <c r="DB41" s="60"/>
      <c r="DC41" s="60"/>
      <c r="DD41" s="60"/>
      <c r="DE41" s="60"/>
      <c r="DF41" s="60"/>
      <c r="DG41" s="60"/>
      <c r="DH41" s="60"/>
      <c r="DI41" s="60"/>
      <c r="DJ41" s="60"/>
      <c r="DK41" s="60"/>
      <c r="DL41" s="60"/>
      <c r="DM41" s="60"/>
      <c r="DN41" s="60"/>
      <c r="DO41" s="60"/>
      <c r="DP41" s="60"/>
      <c r="DQ41" s="60"/>
      <c r="DR41" s="60"/>
      <c r="DS41" s="60"/>
      <c r="DT41" s="60"/>
      <c r="DU41" s="60"/>
      <c r="DV41" s="60"/>
      <c r="DW41" s="60"/>
      <c r="DX41" s="60"/>
      <c r="DY41" s="60"/>
      <c r="DZ41" s="60"/>
      <c r="EA41" s="60"/>
      <c r="EB41" s="60"/>
      <c r="EC41" s="60"/>
      <c r="ED41" s="60"/>
      <c r="EE41" s="60"/>
      <c r="EF41" s="60"/>
      <c r="EG41" s="60"/>
      <c r="EH41" s="60"/>
      <c r="EI41" s="60"/>
      <c r="EJ41" s="60"/>
      <c r="EK41" s="60"/>
      <c r="EL41" s="60"/>
      <c r="EM41" s="60"/>
      <c r="EN41" s="60"/>
      <c r="EO41" s="60"/>
      <c r="EP41" s="60"/>
      <c r="EQ41" s="60"/>
      <c r="ER41" s="60"/>
      <c r="ES41" s="60"/>
      <c r="ET41" s="60"/>
      <c r="EU41" s="60"/>
      <c r="EV41" s="60"/>
      <c r="EW41" s="60"/>
      <c r="EX41" s="60"/>
      <c r="EY41" s="60"/>
      <c r="EZ41" s="60"/>
      <c r="FA41" s="60"/>
      <c r="FB41" s="60"/>
      <c r="FC41" s="60"/>
      <c r="FD41" s="60"/>
      <c r="FE41" s="60"/>
      <c r="FF41" s="60"/>
      <c r="FG41" s="60"/>
      <c r="FH41" s="60"/>
      <c r="FI41" s="60"/>
      <c r="FJ41" s="60"/>
      <c r="FK41" s="60"/>
      <c r="FL41" s="60"/>
      <c r="FM41" s="60"/>
      <c r="FN41" s="60"/>
      <c r="FO41" s="60"/>
      <c r="FP41" s="60"/>
      <c r="FQ41" s="60"/>
      <c r="FR41" s="60"/>
      <c r="FS41" s="60"/>
      <c r="FT41" s="60"/>
      <c r="FU41" s="60"/>
      <c r="FV41" s="60"/>
      <c r="FW41" s="60"/>
      <c r="FX41" s="60"/>
      <c r="FY41" s="60"/>
      <c r="FZ41" s="60"/>
      <c r="GA41" s="60"/>
      <c r="GB41" s="60"/>
      <c r="GC41" s="60"/>
      <c r="GD41" s="60"/>
      <c r="GE41" s="60"/>
      <c r="GF41" s="60"/>
      <c r="GG41" s="60"/>
      <c r="GH41" s="60"/>
      <c r="GI41" s="60"/>
      <c r="GJ41" s="60"/>
      <c r="GK41" s="60"/>
      <c r="GL41" s="60"/>
      <c r="GM41" s="60"/>
      <c r="GN41" s="60"/>
      <c r="GO41" s="60"/>
      <c r="GP41" s="60"/>
      <c r="GQ41" s="60"/>
      <c r="GR41" s="60"/>
      <c r="GS41" s="60"/>
      <c r="GT41" s="60"/>
      <c r="GU41" s="60"/>
      <c r="GV41" s="60"/>
      <c r="GW41" s="60"/>
      <c r="GX41" s="60"/>
      <c r="GY41" s="60"/>
      <c r="GZ41" s="60"/>
      <c r="HA41" s="60"/>
      <c r="HB41" s="60"/>
      <c r="HC41" s="60"/>
      <c r="HD41" s="60"/>
      <c r="HE41" s="60"/>
      <c r="HF41" s="60"/>
      <c r="HG41" s="60"/>
      <c r="HH41" s="60"/>
      <c r="HI41" s="60"/>
      <c r="HJ41" s="60"/>
      <c r="HK41" s="60"/>
      <c r="HL41" s="60"/>
      <c r="HM41" s="60"/>
      <c r="HN41" s="60"/>
      <c r="HO41" s="60"/>
      <c r="HP41" s="60"/>
      <c r="HQ41" s="60"/>
      <c r="HR41" s="60"/>
      <c r="HS41" s="60"/>
      <c r="HT41" s="60"/>
      <c r="HU41" s="60"/>
      <c r="HV41" s="60"/>
      <c r="HW41" s="60"/>
      <c r="HX41" s="60"/>
      <c r="HY41" s="60"/>
      <c r="HZ41" s="60"/>
      <c r="IA41" s="60"/>
      <c r="IB41" s="60"/>
      <c r="IC41" s="60"/>
      <c r="ID41" s="60"/>
      <c r="IE41" s="60"/>
      <c r="IF41" s="60"/>
      <c r="IG41" s="60"/>
      <c r="IH41" s="60"/>
      <c r="II41" s="60"/>
      <c r="IJ41" s="60"/>
      <c r="IK41" s="60"/>
      <c r="IL41" s="60"/>
      <c r="IM41" s="60"/>
      <c r="IN41" s="60"/>
      <c r="IO41" s="60"/>
      <c r="IP41" s="60"/>
      <c r="IQ41" s="60"/>
      <c r="IR41" s="60"/>
      <c r="IS41" s="60"/>
      <c r="IT41" s="60"/>
      <c r="IU41" s="60"/>
      <c r="IV41" s="60"/>
      <c r="IW41" s="60"/>
      <c r="IX41" s="60"/>
      <c r="IY41" s="60"/>
      <c r="IZ41" s="60"/>
      <c r="JA41" s="60"/>
      <c r="JB41" s="60"/>
      <c r="JC41" s="60"/>
      <c r="JD41" s="60"/>
      <c r="JE41" s="60"/>
      <c r="JF41" s="60"/>
      <c r="JG41" s="60"/>
      <c r="JH41" s="60"/>
      <c r="JI41" s="60"/>
      <c r="JJ41" s="60"/>
      <c r="JK41" s="60"/>
      <c r="JL41" s="60"/>
      <c r="JM41" s="60"/>
      <c r="JN41" s="60"/>
      <c r="JO41" s="60"/>
      <c r="JP41" s="60"/>
      <c r="JQ41" s="60"/>
      <c r="JR41" s="60"/>
      <c r="JS41" s="60"/>
      <c r="JT41" s="60"/>
      <c r="JU41" s="60"/>
      <c r="JV41" s="60"/>
      <c r="JW41" s="60"/>
      <c r="JX41" s="60"/>
      <c r="JY41" s="60"/>
      <c r="JZ41" s="60"/>
      <c r="KA41" s="60"/>
      <c r="KB41" s="60"/>
      <c r="KC41" s="60"/>
      <c r="KD41" s="60"/>
      <c r="KE41" s="60"/>
      <c r="KF41" s="60"/>
      <c r="KG41" s="60"/>
      <c r="KH41" s="60"/>
      <c r="KI41" s="60"/>
      <c r="KJ41" s="60"/>
      <c r="KK41" s="60"/>
      <c r="KL41" s="60"/>
      <c r="KM41" s="60"/>
      <c r="KN41" s="60"/>
      <c r="KO41" s="60"/>
      <c r="KP41" s="60"/>
      <c r="KQ41" s="60"/>
      <c r="KR41" s="60"/>
      <c r="KS41" s="60"/>
      <c r="KT41" s="60"/>
      <c r="KU41" s="60"/>
      <c r="KV41" s="60"/>
      <c r="KW41" s="60"/>
      <c r="KX41" s="60"/>
      <c r="KY41" s="60"/>
      <c r="KZ41" s="60"/>
      <c r="LA41" s="60"/>
      <c r="LB41" s="60"/>
      <c r="LC41" s="60"/>
      <c r="LD41" s="60"/>
      <c r="LE41" s="60"/>
      <c r="LF41" s="60"/>
      <c r="LG41" s="60"/>
      <c r="LH41" s="60"/>
    </row>
    <row r="42" spans="1:320" s="17" customFormat="1" x14ac:dyDescent="0.25">
      <c r="A42" s="147"/>
      <c r="E42" s="156"/>
      <c r="F42" s="157"/>
      <c r="G42" s="157"/>
      <c r="H42" s="156"/>
      <c r="I42" s="156"/>
      <c r="J42" s="156"/>
      <c r="K42" s="156"/>
      <c r="L42" s="156"/>
      <c r="M42" s="156"/>
      <c r="N42" s="156"/>
      <c r="O42" s="156"/>
      <c r="P42" s="156"/>
      <c r="Q42" s="156"/>
      <c r="R42" s="156"/>
      <c r="S42" s="156"/>
      <c r="AC42" s="60"/>
      <c r="AD42" s="60"/>
      <c r="AE42" s="60"/>
      <c r="AF42" s="60"/>
      <c r="AG42" s="60"/>
      <c r="AH42" s="60"/>
      <c r="AI42" s="60"/>
      <c r="AJ42" s="60"/>
      <c r="AK42" s="60"/>
      <c r="AL42" s="60"/>
      <c r="AM42" s="60"/>
      <c r="AN42" s="60"/>
      <c r="AO42" s="60"/>
      <c r="AP42" s="60"/>
      <c r="AQ42" s="60"/>
      <c r="AR42" s="60"/>
      <c r="AS42" s="60"/>
      <c r="AT42" s="60"/>
      <c r="AU42" s="60"/>
      <c r="AV42" s="60"/>
      <c r="AW42" s="60"/>
      <c r="AX42" s="60"/>
      <c r="AY42" s="60"/>
      <c r="AZ42" s="60"/>
      <c r="BA42" s="60"/>
      <c r="BB42" s="60"/>
      <c r="BC42" s="60"/>
      <c r="BD42" s="60"/>
      <c r="BE42" s="60"/>
      <c r="BF42" s="60"/>
      <c r="BG42" s="60"/>
      <c r="BH42" s="60"/>
      <c r="BI42" s="60"/>
      <c r="BJ42" s="60"/>
      <c r="BK42" s="60"/>
      <c r="BL42" s="60"/>
      <c r="BM42" s="60"/>
      <c r="BN42" s="60"/>
      <c r="BO42" s="60"/>
      <c r="BP42" s="60"/>
      <c r="BQ42" s="60"/>
      <c r="BR42" s="60"/>
      <c r="BS42" s="60"/>
      <c r="BT42" s="60"/>
      <c r="BU42" s="60"/>
      <c r="BV42" s="60"/>
      <c r="BW42" s="60"/>
      <c r="BX42" s="60"/>
      <c r="BY42" s="60"/>
      <c r="BZ42" s="60"/>
      <c r="CA42" s="60"/>
      <c r="CB42" s="60"/>
      <c r="CC42" s="60"/>
      <c r="CD42" s="60"/>
      <c r="CE42" s="60"/>
      <c r="CF42" s="60"/>
      <c r="CG42" s="60"/>
      <c r="CH42" s="60"/>
      <c r="CI42" s="60"/>
      <c r="CJ42" s="60"/>
      <c r="CK42" s="60"/>
      <c r="CL42" s="60"/>
      <c r="CM42" s="60"/>
      <c r="CN42" s="60"/>
      <c r="CO42" s="60"/>
      <c r="CP42" s="60"/>
      <c r="CQ42" s="60"/>
      <c r="CR42" s="60"/>
      <c r="CS42" s="60"/>
      <c r="CT42" s="60"/>
      <c r="CU42" s="60"/>
      <c r="CV42" s="60"/>
      <c r="CW42" s="60"/>
      <c r="CX42" s="60"/>
      <c r="CY42" s="60"/>
      <c r="CZ42" s="60"/>
      <c r="DA42" s="60"/>
      <c r="DB42" s="60"/>
      <c r="DC42" s="60"/>
      <c r="DD42" s="60"/>
      <c r="DE42" s="60"/>
      <c r="DF42" s="60"/>
      <c r="DG42" s="60"/>
      <c r="DH42" s="60"/>
      <c r="DI42" s="60"/>
      <c r="DJ42" s="60"/>
      <c r="DK42" s="60"/>
      <c r="DL42" s="60"/>
      <c r="DM42" s="60"/>
      <c r="DN42" s="60"/>
      <c r="DO42" s="60"/>
      <c r="DP42" s="60"/>
      <c r="DQ42" s="60"/>
      <c r="DR42" s="60"/>
      <c r="DS42" s="60"/>
      <c r="DT42" s="60"/>
      <c r="DU42" s="60"/>
      <c r="DV42" s="60"/>
      <c r="DW42" s="60"/>
      <c r="DX42" s="60"/>
      <c r="DY42" s="60"/>
      <c r="DZ42" s="60"/>
      <c r="EA42" s="60"/>
      <c r="EB42" s="60"/>
      <c r="EC42" s="60"/>
      <c r="ED42" s="60"/>
      <c r="EE42" s="60"/>
      <c r="EF42" s="60"/>
      <c r="EG42" s="60"/>
      <c r="EH42" s="60"/>
      <c r="EI42" s="60"/>
      <c r="EJ42" s="60"/>
      <c r="EK42" s="60"/>
      <c r="EL42" s="60"/>
      <c r="EM42" s="60"/>
      <c r="EN42" s="60"/>
      <c r="EO42" s="60"/>
      <c r="EP42" s="60"/>
      <c r="EQ42" s="60"/>
      <c r="ER42" s="60"/>
      <c r="ES42" s="60"/>
      <c r="ET42" s="60"/>
      <c r="EU42" s="60"/>
      <c r="EV42" s="60"/>
      <c r="EW42" s="60"/>
      <c r="EX42" s="60"/>
      <c r="EY42" s="60"/>
      <c r="EZ42" s="60"/>
      <c r="FA42" s="60"/>
      <c r="FB42" s="60"/>
      <c r="FC42" s="60"/>
      <c r="FD42" s="60"/>
      <c r="FE42" s="60"/>
      <c r="FF42" s="60"/>
      <c r="FG42" s="60"/>
      <c r="FH42" s="60"/>
      <c r="FI42" s="60"/>
      <c r="FJ42" s="60"/>
      <c r="FK42" s="60"/>
      <c r="FL42" s="60"/>
      <c r="FM42" s="60"/>
      <c r="FN42" s="60"/>
      <c r="FO42" s="60"/>
      <c r="FP42" s="60"/>
      <c r="FQ42" s="60"/>
      <c r="FR42" s="60"/>
      <c r="FS42" s="60"/>
      <c r="FT42" s="60"/>
      <c r="FU42" s="60"/>
      <c r="FV42" s="60"/>
      <c r="FW42" s="60"/>
      <c r="FX42" s="60"/>
      <c r="FY42" s="60"/>
      <c r="FZ42" s="60"/>
      <c r="GA42" s="60"/>
      <c r="GB42" s="60"/>
      <c r="GC42" s="60"/>
      <c r="GD42" s="60"/>
      <c r="GE42" s="60"/>
      <c r="GF42" s="60"/>
      <c r="GG42" s="60"/>
      <c r="GH42" s="60"/>
      <c r="GI42" s="60"/>
      <c r="GJ42" s="60"/>
      <c r="GK42" s="60"/>
      <c r="GL42" s="60"/>
      <c r="GM42" s="60"/>
      <c r="GN42" s="60"/>
      <c r="GO42" s="60"/>
      <c r="GP42" s="60"/>
      <c r="GQ42" s="60"/>
      <c r="GR42" s="60"/>
      <c r="GS42" s="60"/>
      <c r="GT42" s="60"/>
      <c r="GU42" s="60"/>
      <c r="GV42" s="60"/>
      <c r="GW42" s="60"/>
      <c r="GX42" s="60"/>
      <c r="GY42" s="60"/>
      <c r="GZ42" s="60"/>
      <c r="HA42" s="60"/>
      <c r="HB42" s="60"/>
      <c r="HC42" s="60"/>
      <c r="HD42" s="60"/>
      <c r="HE42" s="60"/>
      <c r="HF42" s="60"/>
      <c r="HG42" s="60"/>
      <c r="HH42" s="60"/>
      <c r="HI42" s="60"/>
      <c r="HJ42" s="60"/>
      <c r="HK42" s="60"/>
      <c r="HL42" s="60"/>
      <c r="HM42" s="60"/>
      <c r="HN42" s="60"/>
      <c r="HO42" s="60"/>
      <c r="HP42" s="60"/>
      <c r="HQ42" s="60"/>
      <c r="HR42" s="60"/>
      <c r="HS42" s="60"/>
      <c r="HT42" s="60"/>
      <c r="HU42" s="60"/>
      <c r="HV42" s="60"/>
      <c r="HW42" s="60"/>
      <c r="HX42" s="60"/>
      <c r="HY42" s="60"/>
      <c r="HZ42" s="60"/>
      <c r="IA42" s="60"/>
      <c r="IB42" s="60"/>
      <c r="IC42" s="60"/>
      <c r="ID42" s="60"/>
      <c r="IE42" s="60"/>
      <c r="IF42" s="60"/>
      <c r="IG42" s="60"/>
      <c r="IH42" s="60"/>
      <c r="II42" s="60"/>
      <c r="IJ42" s="60"/>
      <c r="IK42" s="60"/>
      <c r="IL42" s="60"/>
      <c r="IM42" s="60"/>
      <c r="IN42" s="60"/>
      <c r="IO42" s="60"/>
      <c r="IP42" s="60"/>
      <c r="IQ42" s="60"/>
      <c r="IR42" s="60"/>
      <c r="IS42" s="60"/>
      <c r="IT42" s="60"/>
      <c r="IU42" s="60"/>
      <c r="IV42" s="60"/>
      <c r="IW42" s="60"/>
      <c r="IX42" s="60"/>
      <c r="IY42" s="60"/>
      <c r="IZ42" s="60"/>
      <c r="JA42" s="60"/>
      <c r="JB42" s="60"/>
      <c r="JC42" s="60"/>
      <c r="JD42" s="60"/>
      <c r="JE42" s="60"/>
      <c r="JF42" s="60"/>
      <c r="JG42" s="60"/>
      <c r="JH42" s="60"/>
      <c r="JI42" s="60"/>
      <c r="JJ42" s="60"/>
      <c r="JK42" s="60"/>
      <c r="JL42" s="60"/>
      <c r="JM42" s="60"/>
      <c r="JN42" s="60"/>
      <c r="JO42" s="60"/>
      <c r="JP42" s="60"/>
      <c r="JQ42" s="60"/>
      <c r="JR42" s="60"/>
      <c r="JS42" s="60"/>
      <c r="JT42" s="60"/>
      <c r="JU42" s="60"/>
      <c r="JV42" s="60"/>
      <c r="JW42" s="60"/>
      <c r="JX42" s="60"/>
      <c r="JY42" s="60"/>
      <c r="JZ42" s="60"/>
      <c r="KA42" s="60"/>
      <c r="KB42" s="60"/>
      <c r="KC42" s="60"/>
      <c r="KD42" s="60"/>
      <c r="KE42" s="60"/>
      <c r="KF42" s="60"/>
      <c r="KG42" s="60"/>
      <c r="KH42" s="60"/>
      <c r="KI42" s="60"/>
      <c r="KJ42" s="60"/>
      <c r="KK42" s="60"/>
      <c r="KL42" s="60"/>
      <c r="KM42" s="60"/>
      <c r="KN42" s="60"/>
      <c r="KO42" s="60"/>
      <c r="KP42" s="60"/>
      <c r="KQ42" s="60"/>
      <c r="KR42" s="60"/>
      <c r="KS42" s="60"/>
      <c r="KT42" s="60"/>
      <c r="KU42" s="60"/>
      <c r="KV42" s="60"/>
      <c r="KW42" s="60"/>
      <c r="KX42" s="60"/>
      <c r="KY42" s="60"/>
      <c r="KZ42" s="60"/>
      <c r="LA42" s="60"/>
      <c r="LB42" s="60"/>
      <c r="LC42" s="60"/>
      <c r="LD42" s="60"/>
      <c r="LE42" s="60"/>
      <c r="LF42" s="60"/>
      <c r="LG42" s="60"/>
      <c r="LH42" s="60"/>
    </row>
    <row r="43" spans="1:320" s="17" customFormat="1" x14ac:dyDescent="0.25">
      <c r="A43" s="147"/>
      <c r="E43" s="156"/>
      <c r="F43" s="157"/>
      <c r="G43" s="157"/>
      <c r="H43" s="156"/>
      <c r="I43" s="156"/>
      <c r="J43" s="156"/>
      <c r="K43" s="156"/>
      <c r="L43" s="156"/>
      <c r="M43" s="156"/>
      <c r="N43" s="156"/>
      <c r="O43" s="156"/>
      <c r="P43" s="156"/>
      <c r="Q43" s="156"/>
      <c r="R43" s="156"/>
      <c r="S43" s="156"/>
      <c r="AC43" s="60"/>
      <c r="AD43" s="60"/>
      <c r="AE43" s="60"/>
      <c r="AF43" s="60"/>
      <c r="AG43" s="60"/>
      <c r="AH43" s="60"/>
      <c r="AI43" s="60"/>
      <c r="AJ43" s="60"/>
      <c r="AK43" s="60"/>
      <c r="AL43" s="60"/>
      <c r="AM43" s="60"/>
      <c r="AN43" s="60"/>
      <c r="AO43" s="60"/>
      <c r="AP43" s="60"/>
      <c r="AQ43" s="60"/>
      <c r="AR43" s="60"/>
      <c r="AS43" s="60"/>
      <c r="AT43" s="60"/>
      <c r="AU43" s="60"/>
      <c r="AV43" s="60"/>
      <c r="AW43" s="60"/>
      <c r="AX43" s="60"/>
      <c r="AY43" s="60"/>
      <c r="AZ43" s="60"/>
      <c r="BA43" s="60"/>
      <c r="BB43" s="60"/>
      <c r="BC43" s="60"/>
      <c r="BD43" s="60"/>
      <c r="BE43" s="60"/>
      <c r="BF43" s="60"/>
      <c r="BG43" s="60"/>
      <c r="BH43" s="60"/>
      <c r="BI43" s="60"/>
      <c r="BJ43" s="60"/>
      <c r="BK43" s="60"/>
      <c r="BL43" s="60"/>
      <c r="BM43" s="60"/>
      <c r="BN43" s="60"/>
      <c r="BO43" s="60"/>
      <c r="BP43" s="60"/>
      <c r="BQ43" s="60"/>
      <c r="BR43" s="60"/>
      <c r="BS43" s="60"/>
      <c r="BT43" s="60"/>
      <c r="BU43" s="60"/>
      <c r="BV43" s="60"/>
      <c r="BW43" s="60"/>
      <c r="BX43" s="60"/>
      <c r="BY43" s="60"/>
      <c r="BZ43" s="60"/>
      <c r="CA43" s="60"/>
      <c r="CB43" s="60"/>
      <c r="CC43" s="60"/>
      <c r="CD43" s="60"/>
      <c r="CE43" s="60"/>
      <c r="CF43" s="60"/>
      <c r="CG43" s="60"/>
      <c r="CH43" s="60"/>
      <c r="CI43" s="60"/>
      <c r="CJ43" s="60"/>
      <c r="CK43" s="60"/>
      <c r="CL43" s="60"/>
      <c r="CM43" s="60"/>
      <c r="CN43" s="60"/>
      <c r="CO43" s="60"/>
      <c r="CP43" s="60"/>
      <c r="CQ43" s="60"/>
      <c r="CR43" s="60"/>
      <c r="CS43" s="60"/>
      <c r="CT43" s="60"/>
      <c r="CU43" s="60"/>
      <c r="CV43" s="60"/>
      <c r="CW43" s="60"/>
      <c r="CX43" s="60"/>
      <c r="CY43" s="60"/>
      <c r="CZ43" s="60"/>
      <c r="DA43" s="60"/>
      <c r="DB43" s="60"/>
      <c r="DC43" s="60"/>
      <c r="DD43" s="60"/>
      <c r="DE43" s="60"/>
      <c r="DF43" s="60"/>
      <c r="DG43" s="60"/>
      <c r="DH43" s="60"/>
      <c r="DI43" s="60"/>
      <c r="DJ43" s="60"/>
      <c r="DK43" s="60"/>
      <c r="DL43" s="60"/>
      <c r="DM43" s="60"/>
      <c r="DN43" s="60"/>
      <c r="DO43" s="60"/>
      <c r="DP43" s="60"/>
      <c r="DQ43" s="60"/>
      <c r="DR43" s="60"/>
      <c r="DS43" s="60"/>
      <c r="DT43" s="60"/>
      <c r="DU43" s="60"/>
      <c r="DV43" s="60"/>
      <c r="DW43" s="60"/>
      <c r="DX43" s="60"/>
      <c r="DY43" s="60"/>
      <c r="DZ43" s="60"/>
      <c r="EA43" s="60"/>
      <c r="EB43" s="60"/>
      <c r="EC43" s="60"/>
      <c r="ED43" s="60"/>
      <c r="EE43" s="60"/>
      <c r="EF43" s="60"/>
      <c r="EG43" s="60"/>
      <c r="EH43" s="60"/>
      <c r="EI43" s="60"/>
      <c r="EJ43" s="60"/>
      <c r="EK43" s="60"/>
      <c r="EL43" s="60"/>
      <c r="EM43" s="60"/>
      <c r="EN43" s="60"/>
      <c r="EO43" s="60"/>
      <c r="EP43" s="60"/>
      <c r="EQ43" s="60"/>
      <c r="ER43" s="60"/>
      <c r="ES43" s="60"/>
      <c r="ET43" s="60"/>
      <c r="EU43" s="60"/>
      <c r="EV43" s="60"/>
      <c r="EW43" s="60"/>
      <c r="EX43" s="60"/>
      <c r="EY43" s="60"/>
      <c r="EZ43" s="60"/>
      <c r="FA43" s="60"/>
      <c r="FB43" s="60"/>
      <c r="FC43" s="60"/>
      <c r="FD43" s="60"/>
      <c r="FE43" s="60"/>
      <c r="FF43" s="60"/>
      <c r="FG43" s="60"/>
      <c r="FH43" s="60"/>
      <c r="FI43" s="60"/>
      <c r="FJ43" s="60"/>
      <c r="FK43" s="60"/>
      <c r="FL43" s="60"/>
      <c r="FM43" s="60"/>
      <c r="FN43" s="60"/>
      <c r="FO43" s="60"/>
      <c r="FP43" s="60"/>
      <c r="FQ43" s="60"/>
      <c r="FR43" s="60"/>
      <c r="FS43" s="60"/>
      <c r="FT43" s="60"/>
      <c r="FU43" s="60"/>
      <c r="FV43" s="60"/>
      <c r="FW43" s="60"/>
      <c r="FX43" s="60"/>
      <c r="FY43" s="60"/>
      <c r="FZ43" s="60"/>
      <c r="GA43" s="60"/>
      <c r="GB43" s="60"/>
      <c r="GC43" s="60"/>
      <c r="GD43" s="60"/>
      <c r="GE43" s="60"/>
      <c r="GF43" s="60"/>
      <c r="GG43" s="60"/>
      <c r="GH43" s="60"/>
      <c r="GI43" s="60"/>
      <c r="GJ43" s="60"/>
      <c r="GK43" s="60"/>
      <c r="GL43" s="60"/>
      <c r="GM43" s="60"/>
      <c r="GN43" s="60"/>
      <c r="GO43" s="60"/>
      <c r="GP43" s="60"/>
      <c r="GQ43" s="60"/>
      <c r="GR43" s="60"/>
      <c r="GS43" s="60"/>
      <c r="GT43" s="60"/>
      <c r="GU43" s="60"/>
      <c r="GV43" s="60"/>
      <c r="GW43" s="60"/>
      <c r="GX43" s="60"/>
      <c r="GY43" s="60"/>
      <c r="GZ43" s="60"/>
      <c r="HA43" s="60"/>
      <c r="HB43" s="60"/>
      <c r="HC43" s="60"/>
      <c r="HD43" s="60"/>
      <c r="HE43" s="60"/>
      <c r="HF43" s="60"/>
      <c r="HG43" s="60"/>
      <c r="HH43" s="60"/>
      <c r="HI43" s="60"/>
      <c r="HJ43" s="60"/>
      <c r="HK43" s="60"/>
      <c r="HL43" s="60"/>
      <c r="HM43" s="60"/>
      <c r="HN43" s="60"/>
      <c r="HO43" s="60"/>
      <c r="HP43" s="60"/>
      <c r="HQ43" s="60"/>
      <c r="HR43" s="60"/>
      <c r="HS43" s="60"/>
      <c r="HT43" s="60"/>
      <c r="HU43" s="60"/>
      <c r="HV43" s="60"/>
      <c r="HW43" s="60"/>
      <c r="HX43" s="60"/>
      <c r="HY43" s="60"/>
      <c r="HZ43" s="60"/>
      <c r="IA43" s="60"/>
      <c r="IB43" s="60"/>
      <c r="IC43" s="60"/>
      <c r="ID43" s="60"/>
      <c r="IE43" s="60"/>
      <c r="IF43" s="60"/>
      <c r="IG43" s="60"/>
      <c r="IH43" s="60"/>
      <c r="II43" s="60"/>
      <c r="IJ43" s="60"/>
      <c r="IK43" s="60"/>
      <c r="IL43" s="60"/>
      <c r="IM43" s="60"/>
      <c r="IN43" s="60"/>
      <c r="IO43" s="60"/>
      <c r="IP43" s="60"/>
      <c r="IQ43" s="60"/>
      <c r="IR43" s="60"/>
      <c r="IS43" s="60"/>
      <c r="IT43" s="60"/>
      <c r="IU43" s="60"/>
      <c r="IV43" s="60"/>
      <c r="IW43" s="60"/>
      <c r="IX43" s="60"/>
      <c r="IY43" s="60"/>
      <c r="IZ43" s="60"/>
      <c r="JA43" s="60"/>
      <c r="JB43" s="60"/>
      <c r="JC43" s="60"/>
      <c r="JD43" s="60"/>
      <c r="JE43" s="60"/>
      <c r="JF43" s="60"/>
      <c r="JG43" s="60"/>
      <c r="JH43" s="60"/>
      <c r="JI43" s="60"/>
      <c r="JJ43" s="60"/>
      <c r="JK43" s="60"/>
      <c r="JL43" s="60"/>
      <c r="JM43" s="60"/>
      <c r="JN43" s="60"/>
      <c r="JO43" s="60"/>
      <c r="JP43" s="60"/>
      <c r="JQ43" s="60"/>
      <c r="JR43" s="60"/>
      <c r="JS43" s="60"/>
      <c r="JT43" s="60"/>
      <c r="JU43" s="60"/>
      <c r="JV43" s="60"/>
      <c r="JW43" s="60"/>
      <c r="JX43" s="60"/>
      <c r="JY43" s="60"/>
      <c r="JZ43" s="60"/>
      <c r="KA43" s="60"/>
      <c r="KB43" s="60"/>
      <c r="KC43" s="60"/>
      <c r="KD43" s="60"/>
      <c r="KE43" s="60"/>
      <c r="KF43" s="60"/>
      <c r="KG43" s="60"/>
      <c r="KH43" s="60"/>
      <c r="KI43" s="60"/>
      <c r="KJ43" s="60"/>
      <c r="KK43" s="60"/>
      <c r="KL43" s="60"/>
      <c r="KM43" s="60"/>
      <c r="KN43" s="60"/>
      <c r="KO43" s="60"/>
      <c r="KP43" s="60"/>
      <c r="KQ43" s="60"/>
      <c r="KR43" s="60"/>
      <c r="KS43" s="60"/>
      <c r="KT43" s="60"/>
      <c r="KU43" s="60"/>
      <c r="KV43" s="60"/>
      <c r="KW43" s="60"/>
      <c r="KX43" s="60"/>
      <c r="KY43" s="60"/>
      <c r="KZ43" s="60"/>
      <c r="LA43" s="60"/>
      <c r="LB43" s="60"/>
      <c r="LC43" s="60"/>
      <c r="LD43" s="60"/>
      <c r="LE43" s="60"/>
      <c r="LF43" s="60"/>
      <c r="LG43" s="60"/>
      <c r="LH43" s="60"/>
    </row>
    <row r="44" spans="1:320" s="17" customFormat="1" x14ac:dyDescent="0.25">
      <c r="A44" s="147"/>
      <c r="E44" s="156"/>
      <c r="F44" s="157"/>
      <c r="G44" s="157"/>
      <c r="H44" s="156"/>
      <c r="I44" s="156"/>
      <c r="J44" s="156"/>
      <c r="K44" s="156"/>
      <c r="L44" s="156"/>
      <c r="M44" s="156"/>
      <c r="N44" s="156"/>
      <c r="O44" s="156"/>
      <c r="P44" s="156"/>
      <c r="Q44" s="156"/>
      <c r="R44" s="156"/>
      <c r="S44" s="156"/>
      <c r="AC44" s="60"/>
      <c r="AD44" s="60"/>
      <c r="AE44" s="60"/>
      <c r="AF44" s="60"/>
      <c r="AG44" s="60"/>
      <c r="AH44" s="60"/>
      <c r="AI44" s="60"/>
      <c r="AJ44" s="60"/>
      <c r="AK44" s="60"/>
      <c r="AL44" s="60"/>
      <c r="AM44" s="60"/>
      <c r="AN44" s="60"/>
      <c r="AO44" s="60"/>
      <c r="AP44" s="60"/>
      <c r="AQ44" s="60"/>
      <c r="AR44" s="60"/>
      <c r="AS44" s="60"/>
      <c r="AT44" s="60"/>
      <c r="AU44" s="60"/>
      <c r="AV44" s="60"/>
      <c r="AW44" s="60"/>
      <c r="AX44" s="60"/>
      <c r="AY44" s="60"/>
      <c r="AZ44" s="60"/>
      <c r="BA44" s="60"/>
      <c r="BB44" s="60"/>
      <c r="BC44" s="60"/>
      <c r="BD44" s="60"/>
      <c r="BE44" s="60"/>
      <c r="BF44" s="60"/>
      <c r="BG44" s="60"/>
      <c r="BH44" s="60"/>
      <c r="BI44" s="60"/>
      <c r="BJ44" s="60"/>
      <c r="BK44" s="60"/>
      <c r="BL44" s="60"/>
      <c r="BM44" s="60"/>
      <c r="BN44" s="60"/>
      <c r="BO44" s="60"/>
      <c r="BP44" s="60"/>
      <c r="BQ44" s="60"/>
      <c r="BR44" s="60"/>
      <c r="BS44" s="60"/>
      <c r="BT44" s="60"/>
      <c r="BU44" s="60"/>
      <c r="BV44" s="60"/>
      <c r="BW44" s="60"/>
      <c r="BX44" s="60"/>
      <c r="BY44" s="60"/>
      <c r="BZ44" s="60"/>
      <c r="CA44" s="60"/>
      <c r="CB44" s="60"/>
      <c r="CC44" s="60"/>
      <c r="CD44" s="60"/>
      <c r="CE44" s="60"/>
      <c r="CF44" s="60"/>
      <c r="CG44" s="60"/>
      <c r="CH44" s="60"/>
      <c r="CI44" s="60"/>
      <c r="CJ44" s="60"/>
      <c r="CK44" s="60"/>
      <c r="CL44" s="60"/>
      <c r="CM44" s="60"/>
      <c r="CN44" s="60"/>
      <c r="CO44" s="60"/>
      <c r="CP44" s="60"/>
      <c r="CQ44" s="60"/>
      <c r="CR44" s="60"/>
      <c r="CS44" s="60"/>
      <c r="CT44" s="60"/>
      <c r="CU44" s="60"/>
      <c r="CV44" s="60"/>
      <c r="CW44" s="60"/>
      <c r="CX44" s="60"/>
      <c r="CY44" s="60"/>
      <c r="CZ44" s="60"/>
      <c r="DA44" s="60"/>
      <c r="DB44" s="60"/>
      <c r="DC44" s="60"/>
      <c r="DD44" s="60"/>
      <c r="DE44" s="60"/>
      <c r="DF44" s="60"/>
      <c r="DG44" s="60"/>
      <c r="DH44" s="60"/>
      <c r="DI44" s="60"/>
      <c r="DJ44" s="60"/>
      <c r="DK44" s="60"/>
      <c r="DL44" s="60"/>
      <c r="DM44" s="60"/>
      <c r="DN44" s="60"/>
      <c r="DO44" s="60"/>
      <c r="DP44" s="60"/>
      <c r="DQ44" s="60"/>
      <c r="DR44" s="60"/>
      <c r="DS44" s="60"/>
      <c r="DT44" s="60"/>
      <c r="DU44" s="60"/>
      <c r="DV44" s="60"/>
      <c r="DW44" s="60"/>
      <c r="DX44" s="60"/>
      <c r="DY44" s="60"/>
      <c r="DZ44" s="60"/>
      <c r="EA44" s="60"/>
      <c r="EB44" s="60"/>
      <c r="EC44" s="60"/>
      <c r="ED44" s="60"/>
      <c r="EE44" s="60"/>
      <c r="EF44" s="60"/>
      <c r="EG44" s="60"/>
      <c r="EH44" s="60"/>
      <c r="EI44" s="60"/>
      <c r="EJ44" s="60"/>
      <c r="EK44" s="60"/>
      <c r="EL44" s="60"/>
      <c r="EM44" s="60"/>
      <c r="EN44" s="60"/>
      <c r="EO44" s="60"/>
      <c r="EP44" s="60"/>
      <c r="EQ44" s="60"/>
      <c r="ER44" s="60"/>
      <c r="ES44" s="60"/>
      <c r="ET44" s="60"/>
      <c r="EU44" s="60"/>
      <c r="EV44" s="60"/>
      <c r="EW44" s="60"/>
      <c r="EX44" s="60"/>
      <c r="EY44" s="60"/>
      <c r="EZ44" s="60"/>
      <c r="FA44" s="60"/>
      <c r="FB44" s="60"/>
      <c r="FC44" s="60"/>
      <c r="FD44" s="60"/>
      <c r="FE44" s="60"/>
      <c r="FF44" s="60"/>
      <c r="FG44" s="60"/>
      <c r="FH44" s="60"/>
      <c r="FI44" s="60"/>
      <c r="FJ44" s="60"/>
      <c r="FK44" s="60"/>
      <c r="FL44" s="60"/>
      <c r="FM44" s="60"/>
      <c r="FN44" s="60"/>
      <c r="FO44" s="60"/>
      <c r="FP44" s="60"/>
      <c r="FQ44" s="60"/>
      <c r="FR44" s="60"/>
      <c r="FS44" s="60"/>
      <c r="FT44" s="60"/>
      <c r="FU44" s="60"/>
      <c r="FV44" s="60"/>
      <c r="FW44" s="60"/>
      <c r="FX44" s="60"/>
      <c r="FY44" s="60"/>
      <c r="FZ44" s="60"/>
      <c r="GA44" s="60"/>
      <c r="GB44" s="60"/>
      <c r="GC44" s="60"/>
      <c r="GD44" s="60"/>
      <c r="GE44" s="60"/>
      <c r="GF44" s="60"/>
      <c r="GG44" s="60"/>
      <c r="GH44" s="60"/>
      <c r="GI44" s="60"/>
      <c r="GJ44" s="60"/>
      <c r="GK44" s="60"/>
      <c r="GL44" s="60"/>
      <c r="GM44" s="60"/>
      <c r="GN44" s="60"/>
      <c r="GO44" s="60"/>
      <c r="GP44" s="60"/>
      <c r="GQ44" s="60"/>
      <c r="GR44" s="60"/>
      <c r="GS44" s="60"/>
      <c r="GT44" s="60"/>
      <c r="GU44" s="60"/>
      <c r="GV44" s="60"/>
      <c r="GW44" s="60"/>
      <c r="GX44" s="60"/>
      <c r="GY44" s="60"/>
      <c r="GZ44" s="60"/>
      <c r="HA44" s="60"/>
      <c r="HB44" s="60"/>
      <c r="HC44" s="60"/>
      <c r="HD44" s="60"/>
      <c r="HE44" s="60"/>
      <c r="HF44" s="60"/>
      <c r="HG44" s="60"/>
      <c r="HH44" s="60"/>
      <c r="HI44" s="60"/>
      <c r="HJ44" s="60"/>
      <c r="HK44" s="60"/>
      <c r="HL44" s="60"/>
      <c r="HM44" s="60"/>
      <c r="HN44" s="60"/>
      <c r="HO44" s="60"/>
      <c r="HP44" s="60"/>
      <c r="HQ44" s="60"/>
      <c r="HR44" s="60"/>
      <c r="HS44" s="60"/>
      <c r="HT44" s="60"/>
      <c r="HU44" s="60"/>
      <c r="HV44" s="60"/>
      <c r="HW44" s="60"/>
      <c r="HX44" s="60"/>
      <c r="HY44" s="60"/>
      <c r="HZ44" s="60"/>
      <c r="IA44" s="60"/>
      <c r="IB44" s="60"/>
      <c r="IC44" s="60"/>
      <c r="ID44" s="60"/>
      <c r="IE44" s="60"/>
      <c r="IF44" s="60"/>
      <c r="IG44" s="60"/>
      <c r="IH44" s="60"/>
      <c r="II44" s="60"/>
      <c r="IJ44" s="60"/>
      <c r="IK44" s="60"/>
      <c r="IL44" s="60"/>
      <c r="IM44" s="60"/>
      <c r="IN44" s="60"/>
      <c r="IO44" s="60"/>
      <c r="IP44" s="60"/>
      <c r="IQ44" s="60"/>
      <c r="IR44" s="60"/>
      <c r="IS44" s="60"/>
      <c r="IT44" s="60"/>
      <c r="IU44" s="60"/>
      <c r="IV44" s="60"/>
      <c r="IW44" s="60"/>
      <c r="IX44" s="60"/>
      <c r="IY44" s="60"/>
      <c r="IZ44" s="60"/>
      <c r="JA44" s="60"/>
      <c r="JB44" s="60"/>
      <c r="JC44" s="60"/>
      <c r="JD44" s="60"/>
      <c r="JE44" s="60"/>
      <c r="JF44" s="60"/>
      <c r="JG44" s="60"/>
      <c r="JH44" s="60"/>
      <c r="JI44" s="60"/>
      <c r="JJ44" s="60"/>
      <c r="JK44" s="60"/>
      <c r="JL44" s="60"/>
      <c r="JM44" s="60"/>
      <c r="JN44" s="60"/>
      <c r="JO44" s="60"/>
      <c r="JP44" s="60"/>
      <c r="JQ44" s="60"/>
      <c r="JR44" s="60"/>
      <c r="JS44" s="60"/>
      <c r="JT44" s="60"/>
      <c r="JU44" s="60"/>
      <c r="JV44" s="60"/>
      <c r="JW44" s="60"/>
      <c r="JX44" s="60"/>
      <c r="JY44" s="60"/>
      <c r="JZ44" s="60"/>
      <c r="KA44" s="60"/>
      <c r="KB44" s="60"/>
      <c r="KC44" s="60"/>
      <c r="KD44" s="60"/>
      <c r="KE44" s="60"/>
      <c r="KF44" s="60"/>
      <c r="KG44" s="60"/>
      <c r="KH44" s="60"/>
      <c r="KI44" s="60"/>
      <c r="KJ44" s="60"/>
      <c r="KK44" s="60"/>
      <c r="KL44" s="60"/>
      <c r="KM44" s="60"/>
      <c r="KN44" s="60"/>
      <c r="KO44" s="60"/>
      <c r="KP44" s="60"/>
      <c r="KQ44" s="60"/>
      <c r="KR44" s="60"/>
      <c r="KS44" s="60"/>
      <c r="KT44" s="60"/>
      <c r="KU44" s="60"/>
      <c r="KV44" s="60"/>
      <c r="KW44" s="60"/>
      <c r="KX44" s="60"/>
      <c r="KY44" s="60"/>
      <c r="KZ44" s="60"/>
      <c r="LA44" s="60"/>
      <c r="LB44" s="60"/>
      <c r="LC44" s="60"/>
      <c r="LD44" s="60"/>
      <c r="LE44" s="60"/>
      <c r="LF44" s="60"/>
      <c r="LG44" s="60"/>
      <c r="LH44" s="60"/>
    </row>
    <row r="45" spans="1:320" s="17" customFormat="1" x14ac:dyDescent="0.25">
      <c r="A45" s="147"/>
      <c r="E45" s="156"/>
      <c r="F45" s="156"/>
      <c r="G45" s="156"/>
      <c r="H45" s="156"/>
      <c r="I45" s="156"/>
      <c r="J45" s="156"/>
      <c r="K45" s="156"/>
      <c r="L45" s="156"/>
      <c r="M45" s="156"/>
      <c r="N45" s="156"/>
      <c r="O45" s="156"/>
      <c r="P45" s="156"/>
      <c r="Q45" s="156"/>
      <c r="R45" s="156"/>
      <c r="S45" s="156"/>
      <c r="AC45" s="60"/>
      <c r="AD45" s="60"/>
      <c r="AE45" s="60"/>
      <c r="AF45" s="60"/>
      <c r="AG45" s="60"/>
      <c r="AH45" s="60"/>
      <c r="AI45" s="60"/>
      <c r="AJ45" s="60"/>
      <c r="AK45" s="60"/>
      <c r="AL45" s="60"/>
      <c r="AM45" s="60"/>
      <c r="AN45" s="60"/>
      <c r="AO45" s="60"/>
      <c r="AP45" s="60"/>
      <c r="AQ45" s="60"/>
      <c r="AR45" s="60"/>
      <c r="AS45" s="60"/>
      <c r="AT45" s="60"/>
      <c r="AU45" s="60"/>
      <c r="AV45" s="60"/>
      <c r="AW45" s="60"/>
      <c r="AX45" s="60"/>
      <c r="AY45" s="60"/>
      <c r="AZ45" s="60"/>
      <c r="BA45" s="60"/>
      <c r="BB45" s="60"/>
      <c r="BC45" s="60"/>
      <c r="BD45" s="60"/>
      <c r="BE45" s="60"/>
      <c r="BF45" s="60"/>
      <c r="BG45" s="60"/>
      <c r="BH45" s="60"/>
      <c r="BI45" s="60"/>
      <c r="BJ45" s="60"/>
      <c r="BK45" s="60"/>
      <c r="BL45" s="60"/>
      <c r="BM45" s="60"/>
      <c r="BN45" s="60"/>
      <c r="BO45" s="60"/>
      <c r="BP45" s="60"/>
      <c r="BQ45" s="60"/>
      <c r="BR45" s="60"/>
      <c r="BS45" s="60"/>
      <c r="BT45" s="60"/>
      <c r="BU45" s="60"/>
      <c r="BV45" s="60"/>
      <c r="BW45" s="60"/>
      <c r="BX45" s="60"/>
      <c r="BY45" s="60"/>
      <c r="BZ45" s="60"/>
      <c r="CA45" s="60"/>
      <c r="CB45" s="60"/>
      <c r="CC45" s="60"/>
      <c r="CD45" s="60"/>
      <c r="CE45" s="60"/>
      <c r="CF45" s="60"/>
      <c r="CG45" s="60"/>
      <c r="CH45" s="60"/>
      <c r="CI45" s="60"/>
      <c r="CJ45" s="60"/>
      <c r="CK45" s="60"/>
      <c r="CL45" s="60"/>
      <c r="CM45" s="60"/>
      <c r="CN45" s="60"/>
      <c r="CO45" s="60"/>
      <c r="CP45" s="60"/>
      <c r="CQ45" s="60"/>
      <c r="CR45" s="60"/>
      <c r="CS45" s="60"/>
      <c r="CT45" s="60"/>
      <c r="CU45" s="60"/>
      <c r="CV45" s="60"/>
      <c r="CW45" s="60"/>
      <c r="CX45" s="60"/>
      <c r="CY45" s="60"/>
      <c r="CZ45" s="60"/>
      <c r="DA45" s="60"/>
      <c r="DB45" s="60"/>
      <c r="DC45" s="60"/>
      <c r="DD45" s="60"/>
      <c r="DE45" s="60"/>
      <c r="DF45" s="60"/>
      <c r="DG45" s="60"/>
      <c r="DH45" s="60"/>
      <c r="DI45" s="60"/>
      <c r="DJ45" s="60"/>
      <c r="DK45" s="60"/>
      <c r="DL45" s="60"/>
      <c r="DM45" s="60"/>
      <c r="DN45" s="60"/>
      <c r="DO45" s="60"/>
      <c r="DP45" s="60"/>
      <c r="DQ45" s="60"/>
      <c r="DR45" s="60"/>
      <c r="DS45" s="60"/>
      <c r="DT45" s="60"/>
      <c r="DU45" s="60"/>
      <c r="DV45" s="60"/>
      <c r="DW45" s="60"/>
      <c r="DX45" s="60"/>
      <c r="DY45" s="60"/>
      <c r="DZ45" s="60"/>
      <c r="EA45" s="60"/>
      <c r="EB45" s="60"/>
      <c r="EC45" s="60"/>
      <c r="ED45" s="60"/>
      <c r="EE45" s="60"/>
      <c r="EF45" s="60"/>
      <c r="EG45" s="60"/>
      <c r="EH45" s="60"/>
      <c r="EI45" s="60"/>
      <c r="EJ45" s="60"/>
      <c r="EK45" s="60"/>
      <c r="EL45" s="60"/>
      <c r="EM45" s="60"/>
      <c r="EN45" s="60"/>
      <c r="EO45" s="60"/>
      <c r="EP45" s="60"/>
      <c r="EQ45" s="60"/>
      <c r="ER45" s="60"/>
      <c r="ES45" s="60"/>
      <c r="ET45" s="60"/>
      <c r="EU45" s="60"/>
      <c r="EV45" s="60"/>
      <c r="EW45" s="60"/>
      <c r="EX45" s="60"/>
      <c r="EY45" s="60"/>
      <c r="EZ45" s="60"/>
      <c r="FA45" s="60"/>
      <c r="FB45" s="60"/>
      <c r="FC45" s="60"/>
      <c r="FD45" s="60"/>
      <c r="FE45" s="60"/>
      <c r="FF45" s="60"/>
      <c r="FG45" s="60"/>
      <c r="FH45" s="60"/>
      <c r="FI45" s="60"/>
      <c r="FJ45" s="60"/>
      <c r="FK45" s="60"/>
      <c r="FL45" s="60"/>
      <c r="FM45" s="60"/>
      <c r="FN45" s="60"/>
      <c r="FO45" s="60"/>
      <c r="FP45" s="60"/>
      <c r="FQ45" s="60"/>
      <c r="FR45" s="60"/>
      <c r="FS45" s="60"/>
      <c r="FT45" s="60"/>
      <c r="FU45" s="60"/>
      <c r="FV45" s="60"/>
      <c r="FW45" s="60"/>
      <c r="FX45" s="60"/>
      <c r="FY45" s="60"/>
      <c r="FZ45" s="60"/>
      <c r="GA45" s="60"/>
      <c r="GB45" s="60"/>
      <c r="GC45" s="60"/>
      <c r="GD45" s="60"/>
      <c r="GE45" s="60"/>
      <c r="GF45" s="60"/>
      <c r="GG45" s="60"/>
      <c r="GH45" s="60"/>
      <c r="GI45" s="60"/>
      <c r="GJ45" s="60"/>
      <c r="GK45" s="60"/>
      <c r="GL45" s="60"/>
      <c r="GM45" s="60"/>
      <c r="GN45" s="60"/>
      <c r="GO45" s="60"/>
      <c r="GP45" s="60"/>
      <c r="GQ45" s="60"/>
      <c r="GR45" s="60"/>
      <c r="GS45" s="60"/>
      <c r="GT45" s="60"/>
      <c r="GU45" s="60"/>
      <c r="GV45" s="60"/>
      <c r="GW45" s="60"/>
      <c r="GX45" s="60"/>
      <c r="GY45" s="60"/>
      <c r="GZ45" s="60"/>
      <c r="HA45" s="60"/>
      <c r="HB45" s="60"/>
      <c r="HC45" s="60"/>
      <c r="HD45" s="60"/>
      <c r="HE45" s="60"/>
      <c r="HF45" s="60"/>
      <c r="HG45" s="60"/>
      <c r="HH45" s="60"/>
      <c r="HI45" s="60"/>
      <c r="HJ45" s="60"/>
      <c r="HK45" s="60"/>
      <c r="HL45" s="60"/>
      <c r="HM45" s="60"/>
      <c r="HN45" s="60"/>
      <c r="HO45" s="60"/>
      <c r="HP45" s="60"/>
      <c r="HQ45" s="60"/>
      <c r="HR45" s="60"/>
      <c r="HS45" s="60"/>
      <c r="HT45" s="60"/>
      <c r="HU45" s="60"/>
      <c r="HV45" s="60"/>
      <c r="HW45" s="60"/>
      <c r="HX45" s="60"/>
      <c r="HY45" s="60"/>
      <c r="HZ45" s="60"/>
      <c r="IA45" s="60"/>
      <c r="IB45" s="60"/>
      <c r="IC45" s="60"/>
      <c r="ID45" s="60"/>
      <c r="IE45" s="60"/>
      <c r="IF45" s="60"/>
      <c r="IG45" s="60"/>
      <c r="IH45" s="60"/>
      <c r="II45" s="60"/>
      <c r="IJ45" s="60"/>
      <c r="IK45" s="60"/>
      <c r="IL45" s="60"/>
      <c r="IM45" s="60"/>
      <c r="IN45" s="60"/>
      <c r="IO45" s="60"/>
      <c r="IP45" s="60"/>
      <c r="IQ45" s="60"/>
      <c r="IR45" s="60"/>
      <c r="IS45" s="60"/>
      <c r="IT45" s="60"/>
      <c r="IU45" s="60"/>
      <c r="IV45" s="60"/>
      <c r="IW45" s="60"/>
      <c r="IX45" s="60"/>
      <c r="IY45" s="60"/>
      <c r="IZ45" s="60"/>
      <c r="JA45" s="60"/>
      <c r="JB45" s="60"/>
      <c r="JC45" s="60"/>
      <c r="JD45" s="60"/>
      <c r="JE45" s="60"/>
      <c r="JF45" s="60"/>
      <c r="JG45" s="60"/>
      <c r="JH45" s="60"/>
      <c r="JI45" s="60"/>
      <c r="JJ45" s="60"/>
      <c r="JK45" s="60"/>
      <c r="JL45" s="60"/>
      <c r="JM45" s="60"/>
      <c r="JN45" s="60"/>
      <c r="JO45" s="60"/>
      <c r="JP45" s="60"/>
      <c r="JQ45" s="60"/>
      <c r="JR45" s="60"/>
      <c r="JS45" s="60"/>
      <c r="JT45" s="60"/>
      <c r="JU45" s="60"/>
      <c r="JV45" s="60"/>
      <c r="JW45" s="60"/>
      <c r="JX45" s="60"/>
      <c r="JY45" s="60"/>
      <c r="JZ45" s="60"/>
      <c r="KA45" s="60"/>
      <c r="KB45" s="60"/>
      <c r="KC45" s="60"/>
      <c r="KD45" s="60"/>
      <c r="KE45" s="60"/>
      <c r="KF45" s="60"/>
      <c r="KG45" s="60"/>
      <c r="KH45" s="60"/>
      <c r="KI45" s="60"/>
      <c r="KJ45" s="60"/>
      <c r="KK45" s="60"/>
      <c r="KL45" s="60"/>
      <c r="KM45" s="60"/>
      <c r="KN45" s="60"/>
      <c r="KO45" s="60"/>
      <c r="KP45" s="60"/>
      <c r="KQ45" s="60"/>
      <c r="KR45" s="60"/>
      <c r="KS45" s="60"/>
      <c r="KT45" s="60"/>
      <c r="KU45" s="60"/>
      <c r="KV45" s="60"/>
      <c r="KW45" s="60"/>
      <c r="KX45" s="60"/>
      <c r="KY45" s="60"/>
      <c r="KZ45" s="60"/>
      <c r="LA45" s="60"/>
      <c r="LB45" s="60"/>
      <c r="LC45" s="60"/>
      <c r="LD45" s="60"/>
      <c r="LE45" s="60"/>
      <c r="LF45" s="60"/>
      <c r="LG45" s="60"/>
      <c r="LH45" s="60"/>
    </row>
    <row r="46" spans="1:320" s="17" customFormat="1" x14ac:dyDescent="0.25">
      <c r="A46" s="147"/>
      <c r="E46" s="156"/>
      <c r="F46" s="156"/>
      <c r="G46" s="156"/>
      <c r="H46" s="156"/>
      <c r="I46" s="156"/>
      <c r="J46" s="156"/>
      <c r="K46" s="156"/>
      <c r="L46" s="156"/>
      <c r="M46" s="156"/>
      <c r="N46" s="156"/>
      <c r="O46" s="156"/>
      <c r="P46" s="156"/>
      <c r="Q46" s="156"/>
      <c r="R46" s="156"/>
      <c r="S46" s="156"/>
      <c r="AC46" s="60"/>
      <c r="AD46" s="60"/>
      <c r="AE46" s="60"/>
      <c r="AF46" s="60"/>
      <c r="AG46" s="60"/>
      <c r="AH46" s="60"/>
      <c r="AI46" s="60"/>
      <c r="AJ46" s="60"/>
      <c r="AK46" s="60"/>
      <c r="AL46" s="60"/>
      <c r="AM46" s="60"/>
      <c r="AN46" s="60"/>
      <c r="AO46" s="60"/>
      <c r="AP46" s="60"/>
      <c r="AQ46" s="60"/>
      <c r="AR46" s="60"/>
      <c r="AS46" s="60"/>
      <c r="AT46" s="60"/>
      <c r="AU46" s="60"/>
      <c r="AV46" s="60"/>
      <c r="AW46" s="60"/>
      <c r="AX46" s="60"/>
      <c r="AY46" s="60"/>
      <c r="AZ46" s="60"/>
      <c r="BA46" s="60"/>
      <c r="BB46" s="60"/>
      <c r="BC46" s="60"/>
      <c r="BD46" s="60"/>
      <c r="BE46" s="60"/>
      <c r="BF46" s="60"/>
      <c r="BG46" s="60"/>
      <c r="BH46" s="60"/>
      <c r="BI46" s="60"/>
      <c r="BJ46" s="60"/>
      <c r="BK46" s="60"/>
      <c r="BL46" s="60"/>
      <c r="BM46" s="60"/>
      <c r="BN46" s="60"/>
      <c r="BO46" s="60"/>
      <c r="BP46" s="60"/>
      <c r="BQ46" s="60"/>
      <c r="BR46" s="60"/>
      <c r="BS46" s="60"/>
      <c r="BT46" s="60"/>
      <c r="BU46" s="60"/>
      <c r="BV46" s="60"/>
      <c r="BW46" s="60"/>
      <c r="BX46" s="60"/>
      <c r="BY46" s="60"/>
      <c r="BZ46" s="60"/>
      <c r="CA46" s="60"/>
      <c r="CB46" s="60"/>
      <c r="CC46" s="60"/>
      <c r="CD46" s="60"/>
      <c r="CE46" s="60"/>
      <c r="CF46" s="60"/>
      <c r="CG46" s="60"/>
      <c r="CH46" s="60"/>
      <c r="CI46" s="60"/>
      <c r="CJ46" s="60"/>
      <c r="CK46" s="60"/>
      <c r="CL46" s="60"/>
      <c r="CM46" s="60"/>
      <c r="CN46" s="60"/>
      <c r="CO46" s="60"/>
      <c r="CP46" s="60"/>
      <c r="CQ46" s="60"/>
      <c r="CR46" s="60"/>
      <c r="CS46" s="60"/>
      <c r="CT46" s="60"/>
      <c r="CU46" s="60"/>
      <c r="CV46" s="60"/>
      <c r="CW46" s="60"/>
      <c r="CX46" s="60"/>
      <c r="CY46" s="60"/>
      <c r="CZ46" s="60"/>
      <c r="DA46" s="60"/>
      <c r="DB46" s="60"/>
      <c r="DC46" s="60"/>
      <c r="DD46" s="60"/>
      <c r="DE46" s="60"/>
      <c r="DF46" s="60"/>
      <c r="DG46" s="60"/>
      <c r="DH46" s="60"/>
      <c r="DI46" s="60"/>
      <c r="DJ46" s="60"/>
      <c r="DK46" s="60"/>
      <c r="DL46" s="60"/>
      <c r="DM46" s="60"/>
      <c r="DN46" s="60"/>
      <c r="DO46" s="60"/>
      <c r="DP46" s="60"/>
      <c r="DQ46" s="60"/>
      <c r="DR46" s="60"/>
      <c r="DS46" s="60"/>
      <c r="DT46" s="60"/>
      <c r="DU46" s="60"/>
      <c r="DV46" s="60"/>
      <c r="DW46" s="60"/>
      <c r="DX46" s="60"/>
      <c r="DY46" s="60"/>
      <c r="DZ46" s="60"/>
      <c r="EA46" s="60"/>
      <c r="EB46" s="60"/>
      <c r="EC46" s="60"/>
      <c r="ED46" s="60"/>
      <c r="EE46" s="60"/>
      <c r="EF46" s="60"/>
      <c r="EG46" s="60"/>
      <c r="EH46" s="60"/>
      <c r="EI46" s="60"/>
      <c r="EJ46" s="60"/>
      <c r="EK46" s="60"/>
      <c r="EL46" s="60"/>
      <c r="EM46" s="60"/>
      <c r="EN46" s="60"/>
      <c r="EO46" s="60"/>
      <c r="EP46" s="60"/>
      <c r="EQ46" s="60"/>
      <c r="ER46" s="60"/>
      <c r="ES46" s="60"/>
      <c r="ET46" s="60"/>
      <c r="EU46" s="60"/>
      <c r="EV46" s="60"/>
      <c r="EW46" s="60"/>
      <c r="EX46" s="60"/>
      <c r="EY46" s="60"/>
      <c r="EZ46" s="60"/>
      <c r="FA46" s="60"/>
      <c r="FB46" s="60"/>
      <c r="FC46" s="60"/>
      <c r="FD46" s="60"/>
      <c r="FE46" s="60"/>
      <c r="FF46" s="60"/>
      <c r="FG46" s="60"/>
      <c r="FH46" s="60"/>
      <c r="FI46" s="60"/>
      <c r="FJ46" s="60"/>
      <c r="FK46" s="60"/>
      <c r="FL46" s="60"/>
      <c r="FM46" s="60"/>
      <c r="FN46" s="60"/>
      <c r="FO46" s="60"/>
      <c r="FP46" s="60"/>
      <c r="FQ46" s="60"/>
      <c r="FR46" s="60"/>
      <c r="FS46" s="60"/>
      <c r="FT46" s="60"/>
      <c r="FU46" s="60"/>
      <c r="FV46" s="60"/>
      <c r="FW46" s="60"/>
      <c r="FX46" s="60"/>
      <c r="FY46" s="60"/>
      <c r="FZ46" s="60"/>
      <c r="GA46" s="60"/>
      <c r="GB46" s="60"/>
      <c r="GC46" s="60"/>
      <c r="GD46" s="60"/>
      <c r="GE46" s="60"/>
      <c r="GF46" s="60"/>
      <c r="GG46" s="60"/>
      <c r="GH46" s="60"/>
      <c r="GI46" s="60"/>
      <c r="GJ46" s="60"/>
      <c r="GK46" s="60"/>
      <c r="GL46" s="60"/>
      <c r="GM46" s="60"/>
      <c r="GN46" s="60"/>
      <c r="GO46" s="60"/>
      <c r="GP46" s="60"/>
      <c r="GQ46" s="60"/>
      <c r="GR46" s="60"/>
      <c r="GS46" s="60"/>
      <c r="GT46" s="60"/>
      <c r="GU46" s="60"/>
      <c r="GV46" s="60"/>
      <c r="GW46" s="60"/>
      <c r="GX46" s="60"/>
      <c r="GY46" s="60"/>
      <c r="GZ46" s="60"/>
      <c r="HA46" s="60"/>
      <c r="HB46" s="60"/>
      <c r="HC46" s="60"/>
      <c r="HD46" s="60"/>
      <c r="HE46" s="60"/>
      <c r="HF46" s="60"/>
      <c r="HG46" s="60"/>
      <c r="HH46" s="60"/>
      <c r="HI46" s="60"/>
      <c r="HJ46" s="60"/>
      <c r="HK46" s="60"/>
      <c r="HL46" s="60"/>
      <c r="HM46" s="60"/>
      <c r="HN46" s="60"/>
      <c r="HO46" s="60"/>
      <c r="HP46" s="60"/>
      <c r="HQ46" s="60"/>
      <c r="HR46" s="60"/>
      <c r="HS46" s="60"/>
      <c r="HT46" s="60"/>
      <c r="HU46" s="60"/>
      <c r="HV46" s="60"/>
      <c r="HW46" s="60"/>
      <c r="HX46" s="60"/>
      <c r="HY46" s="60"/>
      <c r="HZ46" s="60"/>
      <c r="IA46" s="60"/>
      <c r="IB46" s="60"/>
      <c r="IC46" s="60"/>
      <c r="ID46" s="60"/>
      <c r="IE46" s="60"/>
      <c r="IF46" s="60"/>
      <c r="IG46" s="60"/>
      <c r="IH46" s="60"/>
      <c r="II46" s="60"/>
      <c r="IJ46" s="60"/>
      <c r="IK46" s="60"/>
      <c r="IL46" s="60"/>
      <c r="IM46" s="60"/>
      <c r="IN46" s="60"/>
      <c r="IO46" s="60"/>
      <c r="IP46" s="60"/>
      <c r="IQ46" s="60"/>
      <c r="IR46" s="60"/>
      <c r="IS46" s="60"/>
      <c r="IT46" s="60"/>
      <c r="IU46" s="60"/>
      <c r="IV46" s="60"/>
      <c r="IW46" s="60"/>
      <c r="IX46" s="60"/>
      <c r="IY46" s="60"/>
      <c r="IZ46" s="60"/>
      <c r="JA46" s="60"/>
      <c r="JB46" s="60"/>
      <c r="JC46" s="60"/>
      <c r="JD46" s="60"/>
      <c r="JE46" s="60"/>
      <c r="JF46" s="60"/>
      <c r="JG46" s="60"/>
      <c r="JH46" s="60"/>
      <c r="JI46" s="60"/>
      <c r="JJ46" s="60"/>
      <c r="JK46" s="60"/>
      <c r="JL46" s="60"/>
      <c r="JM46" s="60"/>
      <c r="JN46" s="60"/>
      <c r="JO46" s="60"/>
      <c r="JP46" s="60"/>
      <c r="JQ46" s="60"/>
      <c r="JR46" s="60"/>
      <c r="JS46" s="60"/>
      <c r="JT46" s="60"/>
      <c r="JU46" s="60"/>
      <c r="JV46" s="60"/>
      <c r="JW46" s="60"/>
      <c r="JX46" s="60"/>
      <c r="JY46" s="60"/>
      <c r="JZ46" s="60"/>
      <c r="KA46" s="60"/>
      <c r="KB46" s="60"/>
      <c r="KC46" s="60"/>
      <c r="KD46" s="60"/>
      <c r="KE46" s="60"/>
      <c r="KF46" s="60"/>
      <c r="KG46" s="60"/>
      <c r="KH46" s="60"/>
      <c r="KI46" s="60"/>
      <c r="KJ46" s="60"/>
      <c r="KK46" s="60"/>
      <c r="KL46" s="60"/>
      <c r="KM46" s="60"/>
      <c r="KN46" s="60"/>
      <c r="KO46" s="60"/>
      <c r="KP46" s="60"/>
      <c r="KQ46" s="60"/>
      <c r="KR46" s="60"/>
      <c r="KS46" s="60"/>
      <c r="KT46" s="60"/>
      <c r="KU46" s="60"/>
      <c r="KV46" s="60"/>
      <c r="KW46" s="60"/>
      <c r="KX46" s="60"/>
      <c r="KY46" s="60"/>
      <c r="KZ46" s="60"/>
      <c r="LA46" s="60"/>
      <c r="LB46" s="60"/>
      <c r="LC46" s="60"/>
      <c r="LD46" s="60"/>
      <c r="LE46" s="60"/>
      <c r="LF46" s="60"/>
      <c r="LG46" s="60"/>
      <c r="LH46" s="60"/>
    </row>
    <row r="47" spans="1:320" s="17" customFormat="1" x14ac:dyDescent="0.25">
      <c r="A47" s="147"/>
      <c r="E47" s="156"/>
      <c r="F47" s="156"/>
      <c r="G47" s="156"/>
      <c r="H47" s="156"/>
      <c r="I47" s="156"/>
      <c r="J47" s="156"/>
      <c r="K47" s="156"/>
      <c r="L47" s="156"/>
      <c r="M47" s="156"/>
      <c r="N47" s="156"/>
      <c r="O47" s="156"/>
      <c r="P47" s="156"/>
      <c r="Q47" s="156"/>
      <c r="R47" s="156"/>
      <c r="S47" s="156"/>
      <c r="AC47" s="60"/>
      <c r="AD47" s="60"/>
      <c r="AE47" s="60"/>
      <c r="AF47" s="60"/>
      <c r="AG47" s="60"/>
      <c r="AH47" s="60"/>
      <c r="AI47" s="60"/>
      <c r="AJ47" s="60"/>
      <c r="AK47" s="60"/>
      <c r="AL47" s="60"/>
      <c r="AM47" s="60"/>
      <c r="AN47" s="60"/>
      <c r="AO47" s="60"/>
      <c r="AP47" s="60"/>
      <c r="AQ47" s="60"/>
      <c r="AR47" s="60"/>
      <c r="AS47" s="60"/>
      <c r="AT47" s="60"/>
      <c r="AU47" s="60"/>
      <c r="AV47" s="60"/>
      <c r="AW47" s="60"/>
      <c r="AX47" s="60"/>
      <c r="AY47" s="60"/>
      <c r="AZ47" s="60"/>
      <c r="BA47" s="60"/>
      <c r="BB47" s="60"/>
      <c r="BC47" s="60"/>
      <c r="BD47" s="60"/>
      <c r="BE47" s="60"/>
      <c r="BF47" s="60"/>
      <c r="BG47" s="60"/>
      <c r="BH47" s="60"/>
      <c r="BI47" s="60"/>
      <c r="BJ47" s="60"/>
      <c r="BK47" s="60"/>
      <c r="BL47" s="60"/>
      <c r="BM47" s="60"/>
      <c r="BN47" s="60"/>
      <c r="BO47" s="60"/>
      <c r="BP47" s="60"/>
      <c r="BQ47" s="60"/>
      <c r="BR47" s="60"/>
      <c r="BS47" s="60"/>
      <c r="BT47" s="60"/>
      <c r="BU47" s="60"/>
      <c r="BV47" s="60"/>
      <c r="BW47" s="60"/>
      <c r="BX47" s="60"/>
      <c r="BY47" s="60"/>
      <c r="BZ47" s="60"/>
      <c r="CA47" s="60"/>
      <c r="CB47" s="60"/>
      <c r="CC47" s="60"/>
      <c r="CD47" s="60"/>
      <c r="CE47" s="60"/>
      <c r="CF47" s="60"/>
      <c r="CG47" s="60"/>
      <c r="CH47" s="60"/>
      <c r="CI47" s="60"/>
      <c r="CJ47" s="60"/>
      <c r="CK47" s="60"/>
      <c r="CL47" s="60"/>
      <c r="CM47" s="60"/>
      <c r="CN47" s="60"/>
      <c r="CO47" s="60"/>
      <c r="CP47" s="60"/>
      <c r="CQ47" s="60"/>
      <c r="CR47" s="60"/>
      <c r="CS47" s="60"/>
      <c r="CT47" s="60"/>
      <c r="CU47" s="60"/>
      <c r="CV47" s="60"/>
      <c r="CW47" s="60"/>
      <c r="CX47" s="60"/>
      <c r="CY47" s="60"/>
      <c r="CZ47" s="60"/>
      <c r="DA47" s="60"/>
      <c r="DB47" s="60"/>
      <c r="DC47" s="60"/>
      <c r="DD47" s="60"/>
      <c r="DE47" s="60"/>
      <c r="DF47" s="60"/>
      <c r="DG47" s="60"/>
      <c r="DH47" s="60"/>
      <c r="DI47" s="60"/>
      <c r="DJ47" s="60"/>
      <c r="DK47" s="60"/>
      <c r="DL47" s="60"/>
      <c r="DM47" s="60"/>
      <c r="DN47" s="60"/>
      <c r="DO47" s="60"/>
      <c r="DP47" s="60"/>
      <c r="DQ47" s="60"/>
      <c r="DR47" s="60"/>
      <c r="DS47" s="60"/>
      <c r="DT47" s="60"/>
      <c r="DU47" s="60"/>
      <c r="DV47" s="60"/>
      <c r="DW47" s="60"/>
      <c r="DX47" s="60"/>
      <c r="DY47" s="60"/>
      <c r="DZ47" s="60"/>
      <c r="EA47" s="60"/>
      <c r="EB47" s="60"/>
      <c r="EC47" s="60"/>
      <c r="ED47" s="60"/>
      <c r="EE47" s="60"/>
      <c r="EF47" s="60"/>
      <c r="EG47" s="60"/>
      <c r="EH47" s="60"/>
      <c r="EI47" s="60"/>
      <c r="EJ47" s="60"/>
      <c r="EK47" s="60"/>
      <c r="EL47" s="60"/>
      <c r="EM47" s="60"/>
      <c r="EN47" s="60"/>
      <c r="EO47" s="60"/>
      <c r="EP47" s="60"/>
      <c r="EQ47" s="60"/>
      <c r="ER47" s="60"/>
      <c r="ES47" s="60"/>
      <c r="ET47" s="60"/>
      <c r="EU47" s="60"/>
      <c r="EV47" s="60"/>
      <c r="EW47" s="60"/>
      <c r="EX47" s="60"/>
      <c r="EY47" s="60"/>
      <c r="EZ47" s="60"/>
      <c r="FA47" s="60"/>
      <c r="FB47" s="60"/>
      <c r="FC47" s="60"/>
      <c r="FD47" s="60"/>
      <c r="FE47" s="60"/>
      <c r="FF47" s="60"/>
      <c r="FG47" s="60"/>
      <c r="FH47" s="60"/>
      <c r="FI47" s="60"/>
      <c r="FJ47" s="60"/>
      <c r="FK47" s="60"/>
      <c r="FL47" s="60"/>
      <c r="FM47" s="60"/>
      <c r="FN47" s="60"/>
      <c r="FO47" s="60"/>
      <c r="FP47" s="60"/>
      <c r="FQ47" s="60"/>
      <c r="FR47" s="60"/>
      <c r="FS47" s="60"/>
      <c r="FT47" s="60"/>
      <c r="FU47" s="60"/>
      <c r="FV47" s="60"/>
      <c r="FW47" s="60"/>
      <c r="FX47" s="60"/>
      <c r="FY47" s="60"/>
      <c r="FZ47" s="60"/>
      <c r="GA47" s="60"/>
      <c r="GB47" s="60"/>
      <c r="GC47" s="60"/>
      <c r="GD47" s="60"/>
      <c r="GE47" s="60"/>
      <c r="GF47" s="60"/>
      <c r="GG47" s="60"/>
      <c r="GH47" s="60"/>
      <c r="GI47" s="60"/>
      <c r="GJ47" s="60"/>
      <c r="GK47" s="60"/>
      <c r="GL47" s="60"/>
      <c r="GM47" s="60"/>
      <c r="GN47" s="60"/>
      <c r="GO47" s="60"/>
      <c r="GP47" s="60"/>
      <c r="GQ47" s="60"/>
      <c r="GR47" s="60"/>
      <c r="GS47" s="60"/>
      <c r="GT47" s="60"/>
      <c r="GU47" s="60"/>
      <c r="GV47" s="60"/>
      <c r="GW47" s="60"/>
      <c r="GX47" s="60"/>
      <c r="GY47" s="60"/>
      <c r="GZ47" s="60"/>
      <c r="HA47" s="60"/>
      <c r="HB47" s="60"/>
      <c r="HC47" s="60"/>
      <c r="HD47" s="60"/>
      <c r="HE47" s="60"/>
      <c r="HF47" s="60"/>
      <c r="HG47" s="60"/>
      <c r="HH47" s="60"/>
      <c r="HI47" s="60"/>
      <c r="HJ47" s="60"/>
      <c r="HK47" s="60"/>
      <c r="HL47" s="60"/>
      <c r="HM47" s="60"/>
      <c r="HN47" s="60"/>
      <c r="HO47" s="60"/>
      <c r="HP47" s="60"/>
      <c r="HQ47" s="60"/>
      <c r="HR47" s="60"/>
      <c r="HS47" s="60"/>
      <c r="HT47" s="60"/>
      <c r="HU47" s="60"/>
      <c r="HV47" s="60"/>
      <c r="HW47" s="60"/>
      <c r="HX47" s="60"/>
      <c r="HY47" s="60"/>
      <c r="HZ47" s="60"/>
      <c r="IA47" s="60"/>
      <c r="IB47" s="60"/>
      <c r="IC47" s="60"/>
      <c r="ID47" s="60"/>
      <c r="IE47" s="60"/>
      <c r="IF47" s="60"/>
      <c r="IG47" s="60"/>
      <c r="IH47" s="60"/>
      <c r="II47" s="60"/>
      <c r="IJ47" s="60"/>
      <c r="IK47" s="60"/>
      <c r="IL47" s="60"/>
      <c r="IM47" s="60"/>
      <c r="IN47" s="60"/>
      <c r="IO47" s="60"/>
      <c r="IP47" s="60"/>
      <c r="IQ47" s="60"/>
      <c r="IR47" s="60"/>
      <c r="IS47" s="60"/>
      <c r="IT47" s="60"/>
      <c r="IU47" s="60"/>
      <c r="IV47" s="60"/>
      <c r="IW47" s="60"/>
      <c r="IX47" s="60"/>
      <c r="IY47" s="60"/>
      <c r="IZ47" s="60"/>
      <c r="JA47" s="60"/>
      <c r="JB47" s="60"/>
      <c r="JC47" s="60"/>
      <c r="JD47" s="60"/>
      <c r="JE47" s="60"/>
      <c r="JF47" s="60"/>
      <c r="JG47" s="60"/>
      <c r="JH47" s="60"/>
      <c r="JI47" s="60"/>
      <c r="JJ47" s="60"/>
      <c r="JK47" s="60"/>
      <c r="JL47" s="60"/>
      <c r="JM47" s="60"/>
      <c r="JN47" s="60"/>
      <c r="JO47" s="60"/>
      <c r="JP47" s="60"/>
      <c r="JQ47" s="60"/>
      <c r="JR47" s="60"/>
      <c r="JS47" s="60"/>
      <c r="JT47" s="60"/>
      <c r="JU47" s="60"/>
      <c r="JV47" s="60"/>
      <c r="JW47" s="60"/>
      <c r="JX47" s="60"/>
      <c r="JY47" s="60"/>
      <c r="JZ47" s="60"/>
      <c r="KA47" s="60"/>
      <c r="KB47" s="60"/>
      <c r="KC47" s="60"/>
      <c r="KD47" s="60"/>
      <c r="KE47" s="60"/>
      <c r="KF47" s="60"/>
      <c r="KG47" s="60"/>
      <c r="KH47" s="60"/>
      <c r="KI47" s="60"/>
      <c r="KJ47" s="60"/>
      <c r="KK47" s="60"/>
      <c r="KL47" s="60"/>
      <c r="KM47" s="60"/>
      <c r="KN47" s="60"/>
      <c r="KO47" s="60"/>
      <c r="KP47" s="60"/>
      <c r="KQ47" s="60"/>
      <c r="KR47" s="60"/>
      <c r="KS47" s="60"/>
      <c r="KT47" s="60"/>
      <c r="KU47" s="60"/>
      <c r="KV47" s="60"/>
      <c r="KW47" s="60"/>
      <c r="KX47" s="60"/>
      <c r="KY47" s="60"/>
      <c r="KZ47" s="60"/>
      <c r="LA47" s="60"/>
      <c r="LB47" s="60"/>
      <c r="LC47" s="60"/>
      <c r="LD47" s="60"/>
      <c r="LE47" s="60"/>
      <c r="LF47" s="60"/>
      <c r="LG47" s="60"/>
      <c r="LH47" s="60"/>
    </row>
    <row r="48" spans="1:320" s="17" customFormat="1" x14ac:dyDescent="0.25">
      <c r="A48" s="147"/>
      <c r="E48" s="156"/>
      <c r="F48" s="156"/>
      <c r="G48" s="156"/>
      <c r="H48" s="156"/>
      <c r="I48" s="156"/>
      <c r="J48" s="156"/>
      <c r="K48" s="156"/>
      <c r="L48" s="156"/>
      <c r="M48" s="156"/>
      <c r="N48" s="156"/>
      <c r="O48" s="156"/>
      <c r="P48" s="156"/>
      <c r="Q48" s="156"/>
      <c r="R48" s="156"/>
      <c r="S48" s="156"/>
      <c r="AC48" s="60"/>
      <c r="AD48" s="60"/>
      <c r="AE48" s="60"/>
      <c r="AF48" s="60"/>
      <c r="AG48" s="60"/>
      <c r="AH48" s="60"/>
      <c r="AI48" s="60"/>
      <c r="AJ48" s="60"/>
      <c r="AK48" s="60"/>
      <c r="AL48" s="60"/>
      <c r="AM48" s="60"/>
      <c r="AN48" s="60"/>
      <c r="AO48" s="60"/>
      <c r="AP48" s="60"/>
      <c r="AQ48" s="60"/>
      <c r="AR48" s="60"/>
      <c r="AS48" s="60"/>
      <c r="AT48" s="60"/>
      <c r="AU48" s="60"/>
      <c r="AV48" s="60"/>
      <c r="AW48" s="60"/>
      <c r="AX48" s="60"/>
      <c r="AY48" s="60"/>
      <c r="AZ48" s="60"/>
      <c r="BA48" s="60"/>
      <c r="BB48" s="60"/>
      <c r="BC48" s="60"/>
      <c r="BD48" s="60"/>
      <c r="BE48" s="60"/>
      <c r="BF48" s="60"/>
      <c r="BG48" s="60"/>
      <c r="BH48" s="60"/>
      <c r="BI48" s="60"/>
      <c r="BJ48" s="60"/>
      <c r="BK48" s="60"/>
      <c r="BL48" s="60"/>
      <c r="BM48" s="60"/>
      <c r="BN48" s="60"/>
      <c r="BO48" s="60"/>
      <c r="BP48" s="60"/>
      <c r="BQ48" s="60"/>
      <c r="BR48" s="60"/>
      <c r="BS48" s="60"/>
      <c r="BT48" s="60"/>
      <c r="BU48" s="60"/>
      <c r="BV48" s="60"/>
      <c r="BW48" s="60"/>
      <c r="BX48" s="60"/>
      <c r="BY48" s="60"/>
      <c r="BZ48" s="60"/>
      <c r="CA48" s="60"/>
      <c r="CB48" s="60"/>
      <c r="CC48" s="60"/>
      <c r="CD48" s="60"/>
      <c r="CE48" s="60"/>
      <c r="CF48" s="60"/>
      <c r="CG48" s="60"/>
      <c r="CH48" s="60"/>
      <c r="CI48" s="60"/>
      <c r="CJ48" s="60"/>
      <c r="CK48" s="60"/>
      <c r="CL48" s="60"/>
      <c r="CM48" s="60"/>
      <c r="CN48" s="60"/>
      <c r="CO48" s="60"/>
      <c r="CP48" s="60"/>
      <c r="CQ48" s="60"/>
      <c r="CR48" s="60"/>
      <c r="CS48" s="60"/>
      <c r="CT48" s="60"/>
      <c r="CU48" s="60"/>
      <c r="CV48" s="60"/>
      <c r="CW48" s="60"/>
      <c r="CX48" s="60"/>
      <c r="CY48" s="60"/>
      <c r="CZ48" s="60"/>
      <c r="DA48" s="60"/>
      <c r="DB48" s="60"/>
      <c r="DC48" s="60"/>
      <c r="DD48" s="60"/>
      <c r="DE48" s="60"/>
      <c r="DF48" s="60"/>
      <c r="DG48" s="60"/>
      <c r="DH48" s="60"/>
      <c r="DI48" s="60"/>
      <c r="DJ48" s="60"/>
      <c r="DK48" s="60"/>
      <c r="DL48" s="60"/>
      <c r="DM48" s="60"/>
      <c r="DN48" s="60"/>
      <c r="DO48" s="60"/>
      <c r="DP48" s="60"/>
      <c r="DQ48" s="60"/>
      <c r="DR48" s="60"/>
      <c r="DS48" s="60"/>
      <c r="DT48" s="60"/>
      <c r="DU48" s="60"/>
      <c r="DV48" s="60"/>
      <c r="DW48" s="60"/>
      <c r="DX48" s="60"/>
      <c r="DY48" s="60"/>
      <c r="DZ48" s="60"/>
      <c r="EA48" s="60"/>
      <c r="EB48" s="60"/>
      <c r="EC48" s="60"/>
      <c r="ED48" s="60"/>
      <c r="EE48" s="60"/>
      <c r="EF48" s="60"/>
      <c r="EG48" s="60"/>
      <c r="EH48" s="60"/>
      <c r="EI48" s="60"/>
      <c r="EJ48" s="60"/>
      <c r="EK48" s="60"/>
      <c r="EL48" s="60"/>
      <c r="EM48" s="60"/>
      <c r="EN48" s="60"/>
      <c r="EO48" s="60"/>
      <c r="EP48" s="60"/>
      <c r="EQ48" s="60"/>
      <c r="ER48" s="60"/>
      <c r="ES48" s="60"/>
      <c r="ET48" s="60"/>
      <c r="EU48" s="60"/>
      <c r="EV48" s="60"/>
      <c r="EW48" s="60"/>
      <c r="EX48" s="60"/>
      <c r="EY48" s="60"/>
      <c r="EZ48" s="60"/>
      <c r="FA48" s="60"/>
      <c r="FB48" s="60"/>
      <c r="FC48" s="60"/>
      <c r="FD48" s="60"/>
      <c r="FE48" s="60"/>
      <c r="FF48" s="60"/>
      <c r="FG48" s="60"/>
      <c r="FH48" s="60"/>
      <c r="FI48" s="60"/>
      <c r="FJ48" s="60"/>
      <c r="FK48" s="60"/>
      <c r="FL48" s="60"/>
      <c r="FM48" s="60"/>
      <c r="FN48" s="60"/>
      <c r="FO48" s="60"/>
      <c r="FP48" s="60"/>
      <c r="FQ48" s="60"/>
      <c r="FR48" s="60"/>
      <c r="FS48" s="60"/>
      <c r="FT48" s="60"/>
      <c r="FU48" s="60"/>
      <c r="FV48" s="60"/>
      <c r="FW48" s="60"/>
      <c r="FX48" s="60"/>
      <c r="FY48" s="60"/>
      <c r="FZ48" s="60"/>
      <c r="GA48" s="60"/>
      <c r="GB48" s="60"/>
      <c r="GC48" s="60"/>
      <c r="GD48" s="60"/>
      <c r="GE48" s="60"/>
      <c r="GF48" s="60"/>
      <c r="GG48" s="60"/>
      <c r="GH48" s="60"/>
      <c r="GI48" s="60"/>
      <c r="GJ48" s="60"/>
      <c r="GK48" s="60"/>
      <c r="GL48" s="60"/>
      <c r="GM48" s="60"/>
      <c r="GN48" s="60"/>
      <c r="GO48" s="60"/>
      <c r="GP48" s="60"/>
      <c r="GQ48" s="60"/>
      <c r="GR48" s="60"/>
      <c r="GS48" s="60"/>
      <c r="GT48" s="60"/>
      <c r="GU48" s="60"/>
      <c r="GV48" s="60"/>
      <c r="GW48" s="60"/>
      <c r="GX48" s="60"/>
      <c r="GY48" s="60"/>
      <c r="GZ48" s="60"/>
      <c r="HA48" s="60"/>
      <c r="HB48" s="60"/>
      <c r="HC48" s="60"/>
      <c r="HD48" s="60"/>
      <c r="HE48" s="60"/>
      <c r="HF48" s="60"/>
      <c r="HG48" s="60"/>
      <c r="HH48" s="60"/>
      <c r="HI48" s="60"/>
      <c r="HJ48" s="60"/>
      <c r="HK48" s="60"/>
      <c r="HL48" s="60"/>
      <c r="HM48" s="60"/>
      <c r="HN48" s="60"/>
      <c r="HO48" s="60"/>
      <c r="HP48" s="60"/>
      <c r="HQ48" s="60"/>
      <c r="HR48" s="60"/>
      <c r="HS48" s="60"/>
      <c r="HT48" s="60"/>
      <c r="HU48" s="60"/>
      <c r="HV48" s="60"/>
      <c r="HW48" s="60"/>
      <c r="HX48" s="60"/>
      <c r="HY48" s="60"/>
      <c r="HZ48" s="60"/>
      <c r="IA48" s="60"/>
      <c r="IB48" s="60"/>
      <c r="IC48" s="60"/>
      <c r="ID48" s="60"/>
      <c r="IE48" s="60"/>
      <c r="IF48" s="60"/>
      <c r="IG48" s="60"/>
      <c r="IH48" s="60"/>
      <c r="II48" s="60"/>
      <c r="IJ48" s="60"/>
      <c r="IK48" s="60"/>
      <c r="IL48" s="60"/>
      <c r="IM48" s="60"/>
      <c r="IN48" s="60"/>
      <c r="IO48" s="60"/>
      <c r="IP48" s="60"/>
      <c r="IQ48" s="60"/>
      <c r="IR48" s="60"/>
      <c r="IS48" s="60"/>
      <c r="IT48" s="60"/>
      <c r="IU48" s="60"/>
      <c r="IV48" s="60"/>
      <c r="IW48" s="60"/>
      <c r="IX48" s="60"/>
      <c r="IY48" s="60"/>
      <c r="IZ48" s="60"/>
      <c r="JA48" s="60"/>
      <c r="JB48" s="60"/>
      <c r="JC48" s="60"/>
      <c r="JD48" s="60"/>
      <c r="JE48" s="60"/>
      <c r="JF48" s="60"/>
      <c r="JG48" s="60"/>
      <c r="JH48" s="60"/>
      <c r="JI48" s="60"/>
      <c r="JJ48" s="60"/>
      <c r="JK48" s="60"/>
      <c r="JL48" s="60"/>
      <c r="JM48" s="60"/>
      <c r="JN48" s="60"/>
      <c r="JO48" s="60"/>
      <c r="JP48" s="60"/>
      <c r="JQ48" s="60"/>
      <c r="JR48" s="60"/>
      <c r="JS48" s="60"/>
      <c r="JT48" s="60"/>
      <c r="JU48" s="60"/>
      <c r="JV48" s="60"/>
      <c r="JW48" s="60"/>
      <c r="JX48" s="60"/>
      <c r="JY48" s="60"/>
      <c r="JZ48" s="60"/>
      <c r="KA48" s="60"/>
      <c r="KB48" s="60"/>
      <c r="KC48" s="60"/>
      <c r="KD48" s="60"/>
      <c r="KE48" s="60"/>
      <c r="KF48" s="60"/>
      <c r="KG48" s="60"/>
      <c r="KH48" s="60"/>
      <c r="KI48" s="60"/>
      <c r="KJ48" s="60"/>
      <c r="KK48" s="60"/>
      <c r="KL48" s="60"/>
      <c r="KM48" s="60"/>
      <c r="KN48" s="60"/>
      <c r="KO48" s="60"/>
      <c r="KP48" s="60"/>
      <c r="KQ48" s="60"/>
      <c r="KR48" s="60"/>
      <c r="KS48" s="60"/>
      <c r="KT48" s="60"/>
      <c r="KU48" s="60"/>
      <c r="KV48" s="60"/>
      <c r="KW48" s="60"/>
      <c r="KX48" s="60"/>
      <c r="KY48" s="60"/>
      <c r="KZ48" s="60"/>
      <c r="LA48" s="60"/>
      <c r="LB48" s="60"/>
      <c r="LC48" s="60"/>
      <c r="LD48" s="60"/>
      <c r="LE48" s="60"/>
      <c r="LF48" s="60"/>
      <c r="LG48" s="60"/>
      <c r="LH48" s="60"/>
    </row>
    <row r="49" spans="1:320" s="17" customFormat="1" x14ac:dyDescent="0.25">
      <c r="A49" s="147"/>
      <c r="E49" s="156"/>
      <c r="F49" s="156"/>
      <c r="G49" s="156"/>
      <c r="H49" s="156"/>
      <c r="I49" s="156"/>
      <c r="J49" s="156"/>
      <c r="K49" s="156"/>
      <c r="L49" s="156"/>
      <c r="M49" s="156"/>
      <c r="N49" s="156"/>
      <c r="O49" s="156"/>
      <c r="P49" s="156"/>
      <c r="Q49" s="156"/>
      <c r="R49" s="156"/>
      <c r="S49" s="156"/>
      <c r="AC49" s="60"/>
      <c r="AD49" s="60"/>
      <c r="AE49" s="60"/>
      <c r="AF49" s="60"/>
      <c r="AG49" s="60"/>
      <c r="AH49" s="60"/>
      <c r="AI49" s="60"/>
      <c r="AJ49" s="60"/>
      <c r="AK49" s="60"/>
      <c r="AL49" s="60"/>
      <c r="AM49" s="60"/>
      <c r="AN49" s="60"/>
      <c r="AO49" s="60"/>
      <c r="AP49" s="60"/>
      <c r="AQ49" s="60"/>
      <c r="AR49" s="60"/>
      <c r="AS49" s="60"/>
      <c r="AT49" s="60"/>
      <c r="AU49" s="60"/>
      <c r="AV49" s="60"/>
      <c r="AW49" s="60"/>
      <c r="AX49" s="60"/>
      <c r="AY49" s="60"/>
      <c r="AZ49" s="60"/>
      <c r="BA49" s="60"/>
      <c r="BB49" s="60"/>
      <c r="BC49" s="60"/>
      <c r="BD49" s="60"/>
      <c r="BE49" s="60"/>
      <c r="BF49" s="60"/>
      <c r="BG49" s="60"/>
      <c r="BH49" s="60"/>
      <c r="BI49" s="60"/>
      <c r="BJ49" s="60"/>
      <c r="BK49" s="60"/>
      <c r="BL49" s="60"/>
      <c r="BM49" s="60"/>
      <c r="BN49" s="60"/>
      <c r="BO49" s="60"/>
      <c r="BP49" s="60"/>
      <c r="BQ49" s="60"/>
      <c r="BR49" s="60"/>
      <c r="BS49" s="60"/>
      <c r="BT49" s="60"/>
      <c r="BU49" s="60"/>
      <c r="BV49" s="60"/>
      <c r="BW49" s="60"/>
      <c r="BX49" s="60"/>
      <c r="BY49" s="60"/>
      <c r="BZ49" s="60"/>
      <c r="CA49" s="60"/>
      <c r="CB49" s="60"/>
      <c r="CC49" s="60"/>
      <c r="CD49" s="60"/>
      <c r="CE49" s="60"/>
      <c r="CF49" s="60"/>
      <c r="CG49" s="60"/>
      <c r="CH49" s="60"/>
      <c r="CI49" s="60"/>
      <c r="CJ49" s="60"/>
      <c r="CK49" s="60"/>
      <c r="CL49" s="60"/>
      <c r="CM49" s="60"/>
      <c r="CN49" s="60"/>
      <c r="CO49" s="60"/>
      <c r="CP49" s="60"/>
      <c r="CQ49" s="60"/>
      <c r="CR49" s="60"/>
      <c r="CS49" s="60"/>
      <c r="CT49" s="60"/>
      <c r="CU49" s="60"/>
      <c r="CV49" s="60"/>
      <c r="CW49" s="60"/>
      <c r="CX49" s="60"/>
      <c r="CY49" s="60"/>
      <c r="CZ49" s="60"/>
      <c r="DA49" s="60"/>
      <c r="DB49" s="60"/>
      <c r="DC49" s="60"/>
      <c r="DD49" s="60"/>
      <c r="DE49" s="60"/>
      <c r="DF49" s="60"/>
      <c r="DG49" s="60"/>
      <c r="DH49" s="60"/>
      <c r="DI49" s="60"/>
      <c r="DJ49" s="60"/>
      <c r="DK49" s="60"/>
      <c r="DL49" s="60"/>
      <c r="DM49" s="60"/>
      <c r="DN49" s="60"/>
      <c r="DO49" s="60"/>
      <c r="DP49" s="60"/>
      <c r="DQ49" s="60"/>
      <c r="DR49" s="60"/>
      <c r="DS49" s="60"/>
      <c r="DT49" s="60"/>
      <c r="DU49" s="60"/>
      <c r="DV49" s="60"/>
      <c r="DW49" s="60"/>
      <c r="DX49" s="60"/>
      <c r="DY49" s="60"/>
      <c r="DZ49" s="60"/>
      <c r="EA49" s="60"/>
      <c r="EB49" s="60"/>
      <c r="EC49" s="60"/>
      <c r="ED49" s="60"/>
      <c r="EE49" s="60"/>
      <c r="EF49" s="60"/>
      <c r="EG49" s="60"/>
      <c r="EH49" s="60"/>
      <c r="EI49" s="60"/>
      <c r="EJ49" s="60"/>
      <c r="EK49" s="60"/>
      <c r="EL49" s="60"/>
      <c r="EM49" s="60"/>
      <c r="EN49" s="60"/>
      <c r="EO49" s="60"/>
      <c r="EP49" s="60"/>
      <c r="EQ49" s="60"/>
      <c r="ER49" s="60"/>
      <c r="ES49" s="60"/>
      <c r="ET49" s="60"/>
      <c r="EU49" s="60"/>
      <c r="EV49" s="60"/>
      <c r="EW49" s="60"/>
      <c r="EX49" s="60"/>
      <c r="EY49" s="60"/>
      <c r="EZ49" s="60"/>
      <c r="FA49" s="60"/>
      <c r="FB49" s="60"/>
      <c r="FC49" s="60"/>
      <c r="FD49" s="60"/>
      <c r="FE49" s="60"/>
      <c r="FF49" s="60"/>
      <c r="FG49" s="60"/>
      <c r="FH49" s="60"/>
      <c r="FI49" s="60"/>
      <c r="FJ49" s="60"/>
      <c r="FK49" s="60"/>
      <c r="FL49" s="60"/>
      <c r="FM49" s="60"/>
      <c r="FN49" s="60"/>
      <c r="FO49" s="60"/>
      <c r="FP49" s="60"/>
      <c r="FQ49" s="60"/>
      <c r="FR49" s="60"/>
      <c r="FS49" s="60"/>
      <c r="FT49" s="60"/>
      <c r="FU49" s="60"/>
      <c r="FV49" s="60"/>
      <c r="FW49" s="60"/>
      <c r="FX49" s="60"/>
      <c r="FY49" s="60"/>
      <c r="FZ49" s="60"/>
      <c r="GA49" s="60"/>
      <c r="GB49" s="60"/>
      <c r="GC49" s="60"/>
      <c r="GD49" s="60"/>
      <c r="GE49" s="60"/>
      <c r="GF49" s="60"/>
      <c r="GG49" s="60"/>
      <c r="GH49" s="60"/>
      <c r="GI49" s="60"/>
      <c r="GJ49" s="60"/>
      <c r="GK49" s="60"/>
      <c r="GL49" s="60"/>
      <c r="GM49" s="60"/>
      <c r="GN49" s="60"/>
      <c r="GO49" s="60"/>
      <c r="GP49" s="60"/>
      <c r="GQ49" s="60"/>
      <c r="GR49" s="60"/>
      <c r="GS49" s="60"/>
      <c r="GT49" s="60"/>
      <c r="GU49" s="60"/>
      <c r="GV49" s="60"/>
      <c r="GW49" s="60"/>
      <c r="GX49" s="60"/>
      <c r="GY49" s="60"/>
      <c r="GZ49" s="60"/>
      <c r="HA49" s="60"/>
      <c r="HB49" s="60"/>
      <c r="HC49" s="60"/>
      <c r="HD49" s="60"/>
      <c r="HE49" s="60"/>
      <c r="HF49" s="60"/>
      <c r="HG49" s="60"/>
      <c r="HH49" s="60"/>
      <c r="HI49" s="60"/>
      <c r="HJ49" s="60"/>
      <c r="HK49" s="60"/>
      <c r="HL49" s="60"/>
      <c r="HM49" s="60"/>
      <c r="HN49" s="60"/>
      <c r="HO49" s="60"/>
      <c r="HP49" s="60"/>
      <c r="HQ49" s="60"/>
      <c r="HR49" s="60"/>
      <c r="HS49" s="60"/>
      <c r="HT49" s="60"/>
      <c r="HU49" s="60"/>
      <c r="HV49" s="60"/>
      <c r="HW49" s="60"/>
      <c r="HX49" s="60"/>
      <c r="HY49" s="60"/>
      <c r="HZ49" s="60"/>
      <c r="IA49" s="60"/>
      <c r="IB49" s="60"/>
      <c r="IC49" s="60"/>
      <c r="ID49" s="60"/>
      <c r="IE49" s="60"/>
      <c r="IF49" s="60"/>
      <c r="IG49" s="60"/>
      <c r="IH49" s="60"/>
      <c r="II49" s="60"/>
      <c r="IJ49" s="60"/>
      <c r="IK49" s="60"/>
      <c r="IL49" s="60"/>
      <c r="IM49" s="60"/>
      <c r="IN49" s="60"/>
      <c r="IO49" s="60"/>
      <c r="IP49" s="60"/>
      <c r="IQ49" s="60"/>
      <c r="IR49" s="60"/>
      <c r="IS49" s="60"/>
      <c r="IT49" s="60"/>
      <c r="IU49" s="60"/>
      <c r="IV49" s="60"/>
      <c r="IW49" s="60"/>
      <c r="IX49" s="60"/>
      <c r="IY49" s="60"/>
      <c r="IZ49" s="60"/>
      <c r="JA49" s="60"/>
      <c r="JB49" s="60"/>
      <c r="JC49" s="60"/>
      <c r="JD49" s="60"/>
      <c r="JE49" s="60"/>
      <c r="JF49" s="60"/>
      <c r="JG49" s="60"/>
      <c r="JH49" s="60"/>
      <c r="JI49" s="60"/>
      <c r="JJ49" s="60"/>
      <c r="JK49" s="60"/>
      <c r="JL49" s="60"/>
      <c r="JM49" s="60"/>
      <c r="JN49" s="60"/>
      <c r="JO49" s="60"/>
      <c r="JP49" s="60"/>
      <c r="JQ49" s="60"/>
      <c r="JR49" s="60"/>
      <c r="JS49" s="60"/>
      <c r="JT49" s="60"/>
      <c r="JU49" s="60"/>
      <c r="JV49" s="60"/>
      <c r="JW49" s="60"/>
      <c r="JX49" s="60"/>
      <c r="JY49" s="60"/>
      <c r="JZ49" s="60"/>
      <c r="KA49" s="60"/>
      <c r="KB49" s="60"/>
      <c r="KC49" s="60"/>
      <c r="KD49" s="60"/>
      <c r="KE49" s="60"/>
      <c r="KF49" s="60"/>
      <c r="KG49" s="60"/>
      <c r="KH49" s="60"/>
      <c r="KI49" s="60"/>
      <c r="KJ49" s="60"/>
      <c r="KK49" s="60"/>
      <c r="KL49" s="60"/>
      <c r="KM49" s="60"/>
      <c r="KN49" s="60"/>
      <c r="KO49" s="60"/>
      <c r="KP49" s="60"/>
      <c r="KQ49" s="60"/>
      <c r="KR49" s="60"/>
      <c r="KS49" s="60"/>
      <c r="KT49" s="60"/>
      <c r="KU49" s="60"/>
      <c r="KV49" s="60"/>
      <c r="KW49" s="60"/>
      <c r="KX49" s="60"/>
      <c r="KY49" s="60"/>
      <c r="KZ49" s="60"/>
      <c r="LA49" s="60"/>
      <c r="LB49" s="60"/>
      <c r="LC49" s="60"/>
      <c r="LD49" s="60"/>
      <c r="LE49" s="60"/>
      <c r="LF49" s="60"/>
      <c r="LG49" s="60"/>
      <c r="LH49" s="60"/>
    </row>
    <row r="50" spans="1:320" s="17" customFormat="1" x14ac:dyDescent="0.25">
      <c r="A50" s="147"/>
      <c r="E50" s="156"/>
      <c r="F50" s="156"/>
      <c r="G50" s="156"/>
      <c r="H50" s="156"/>
      <c r="I50" s="156"/>
      <c r="J50" s="156"/>
      <c r="K50" s="156"/>
      <c r="L50" s="156"/>
      <c r="M50" s="156"/>
      <c r="N50" s="156"/>
      <c r="O50" s="156"/>
      <c r="P50" s="156"/>
      <c r="Q50" s="156"/>
      <c r="R50" s="156"/>
      <c r="S50" s="156"/>
      <c r="AC50" s="60"/>
      <c r="AD50" s="60"/>
      <c r="AE50" s="60"/>
      <c r="AF50" s="60"/>
      <c r="AG50" s="60"/>
      <c r="AH50" s="60"/>
      <c r="AI50" s="60"/>
      <c r="AJ50" s="60"/>
      <c r="AK50" s="60"/>
      <c r="AL50" s="60"/>
      <c r="AM50" s="60"/>
      <c r="AN50" s="60"/>
      <c r="AO50" s="60"/>
      <c r="AP50" s="60"/>
      <c r="AQ50" s="60"/>
      <c r="AR50" s="60"/>
      <c r="AS50" s="60"/>
      <c r="AT50" s="60"/>
      <c r="AU50" s="60"/>
      <c r="AV50" s="60"/>
      <c r="AW50" s="60"/>
      <c r="AX50" s="60"/>
      <c r="AY50" s="60"/>
      <c r="AZ50" s="60"/>
      <c r="BA50" s="60"/>
      <c r="BB50" s="60"/>
      <c r="BC50" s="60"/>
      <c r="BD50" s="60"/>
      <c r="BE50" s="60"/>
      <c r="BF50" s="60"/>
      <c r="BG50" s="60"/>
      <c r="BH50" s="60"/>
      <c r="BI50" s="60"/>
      <c r="BJ50" s="60"/>
      <c r="BK50" s="60"/>
      <c r="BL50" s="60"/>
      <c r="BM50" s="60"/>
      <c r="BN50" s="60"/>
      <c r="BO50" s="60"/>
      <c r="BP50" s="60"/>
      <c r="BQ50" s="60"/>
      <c r="BR50" s="60"/>
      <c r="BS50" s="60"/>
      <c r="BT50" s="60"/>
      <c r="BU50" s="60"/>
      <c r="BV50" s="60"/>
      <c r="BW50" s="60"/>
      <c r="BX50" s="60"/>
      <c r="BY50" s="60"/>
      <c r="BZ50" s="60"/>
      <c r="CA50" s="60"/>
      <c r="CB50" s="60"/>
      <c r="CC50" s="60"/>
      <c r="CD50" s="60"/>
      <c r="CE50" s="60"/>
      <c r="CF50" s="60"/>
      <c r="CG50" s="60"/>
      <c r="CH50" s="60"/>
      <c r="CI50" s="60"/>
      <c r="CJ50" s="60"/>
      <c r="CK50" s="60"/>
      <c r="CL50" s="60"/>
      <c r="CM50" s="60"/>
      <c r="CN50" s="60"/>
      <c r="CO50" s="60"/>
      <c r="CP50" s="60"/>
      <c r="CQ50" s="60"/>
      <c r="CR50" s="60"/>
      <c r="CS50" s="60"/>
      <c r="CT50" s="60"/>
      <c r="CU50" s="60"/>
      <c r="CV50" s="60"/>
      <c r="CW50" s="60"/>
      <c r="CX50" s="60"/>
      <c r="CY50" s="60"/>
      <c r="CZ50" s="60"/>
      <c r="DA50" s="60"/>
      <c r="DB50" s="60"/>
      <c r="DC50" s="60"/>
      <c r="DD50" s="60"/>
      <c r="DE50" s="60"/>
      <c r="DF50" s="60"/>
      <c r="DG50" s="60"/>
      <c r="DH50" s="60"/>
      <c r="DI50" s="60"/>
      <c r="DJ50" s="60"/>
      <c r="DK50" s="60"/>
      <c r="DL50" s="60"/>
      <c r="DM50" s="60"/>
      <c r="DN50" s="60"/>
      <c r="DO50" s="60"/>
      <c r="DP50" s="60"/>
      <c r="DQ50" s="60"/>
      <c r="DR50" s="60"/>
      <c r="DS50" s="60"/>
      <c r="DT50" s="60"/>
      <c r="DU50" s="60"/>
      <c r="DV50" s="60"/>
      <c r="DW50" s="60"/>
      <c r="DX50" s="60"/>
      <c r="DY50" s="60"/>
      <c r="DZ50" s="60"/>
      <c r="EA50" s="60"/>
      <c r="EB50" s="60"/>
      <c r="EC50" s="60"/>
      <c r="ED50" s="60"/>
      <c r="EE50" s="60"/>
      <c r="EF50" s="60"/>
      <c r="EG50" s="60"/>
      <c r="EH50" s="60"/>
      <c r="EI50" s="60"/>
      <c r="EJ50" s="60"/>
      <c r="EK50" s="60"/>
      <c r="EL50" s="60"/>
      <c r="EM50" s="60"/>
      <c r="EN50" s="60"/>
      <c r="EO50" s="60"/>
      <c r="EP50" s="60"/>
      <c r="EQ50" s="60"/>
      <c r="ER50" s="60"/>
      <c r="ES50" s="60"/>
      <c r="ET50" s="60"/>
      <c r="EU50" s="60"/>
      <c r="EV50" s="60"/>
      <c r="EW50" s="60"/>
      <c r="EX50" s="60"/>
      <c r="EY50" s="60"/>
      <c r="EZ50" s="60"/>
      <c r="FA50" s="60"/>
      <c r="FB50" s="60"/>
      <c r="FC50" s="60"/>
      <c r="FD50" s="60"/>
      <c r="FE50" s="60"/>
      <c r="FF50" s="60"/>
      <c r="FG50" s="60"/>
      <c r="FH50" s="60"/>
      <c r="FI50" s="60"/>
      <c r="FJ50" s="60"/>
      <c r="FK50" s="60"/>
      <c r="FL50" s="60"/>
      <c r="FM50" s="60"/>
      <c r="FN50" s="60"/>
      <c r="FO50" s="60"/>
      <c r="FP50" s="60"/>
      <c r="FQ50" s="60"/>
      <c r="FR50" s="60"/>
      <c r="FS50" s="60"/>
      <c r="FT50" s="60"/>
      <c r="FU50" s="60"/>
      <c r="FV50" s="60"/>
      <c r="FW50" s="60"/>
      <c r="FX50" s="60"/>
      <c r="FY50" s="60"/>
      <c r="FZ50" s="60"/>
      <c r="GA50" s="60"/>
      <c r="GB50" s="60"/>
      <c r="GC50" s="60"/>
      <c r="GD50" s="60"/>
      <c r="GE50" s="60"/>
      <c r="GF50" s="60"/>
      <c r="GG50" s="60"/>
      <c r="GH50" s="60"/>
      <c r="GI50" s="60"/>
      <c r="GJ50" s="60"/>
      <c r="GK50" s="60"/>
      <c r="GL50" s="60"/>
      <c r="GM50" s="60"/>
      <c r="GN50" s="60"/>
      <c r="GO50" s="60"/>
      <c r="GP50" s="60"/>
      <c r="GQ50" s="60"/>
      <c r="GR50" s="60"/>
      <c r="GS50" s="60"/>
      <c r="GT50" s="60"/>
      <c r="GU50" s="60"/>
      <c r="GV50" s="60"/>
      <c r="GW50" s="60"/>
      <c r="GX50" s="60"/>
      <c r="GY50" s="60"/>
      <c r="GZ50" s="60"/>
      <c r="HA50" s="60"/>
      <c r="HB50" s="60"/>
      <c r="HC50" s="60"/>
      <c r="HD50" s="60"/>
      <c r="HE50" s="60"/>
      <c r="HF50" s="60"/>
      <c r="HG50" s="60"/>
      <c r="HH50" s="60"/>
      <c r="HI50" s="60"/>
      <c r="HJ50" s="60"/>
      <c r="HK50" s="60"/>
      <c r="HL50" s="60"/>
      <c r="HM50" s="60"/>
      <c r="HN50" s="60"/>
      <c r="HO50" s="60"/>
      <c r="HP50" s="60"/>
      <c r="HQ50" s="60"/>
      <c r="HR50" s="60"/>
      <c r="HS50" s="60"/>
      <c r="HT50" s="60"/>
      <c r="HU50" s="60"/>
      <c r="HV50" s="60"/>
      <c r="HW50" s="60"/>
      <c r="HX50" s="60"/>
      <c r="HY50" s="60"/>
      <c r="HZ50" s="60"/>
      <c r="IA50" s="60"/>
      <c r="IB50" s="60"/>
      <c r="IC50" s="60"/>
      <c r="ID50" s="60"/>
      <c r="IE50" s="60"/>
      <c r="IF50" s="60"/>
      <c r="IG50" s="60"/>
      <c r="IH50" s="60"/>
      <c r="II50" s="60"/>
      <c r="IJ50" s="60"/>
      <c r="IK50" s="60"/>
      <c r="IL50" s="60"/>
      <c r="IM50" s="60"/>
      <c r="IN50" s="60"/>
      <c r="IO50" s="60"/>
      <c r="IP50" s="60"/>
      <c r="IQ50" s="60"/>
      <c r="IR50" s="60"/>
      <c r="IS50" s="60"/>
      <c r="IT50" s="60"/>
      <c r="IU50" s="60"/>
      <c r="IV50" s="60"/>
      <c r="IW50" s="60"/>
      <c r="IX50" s="60"/>
      <c r="IY50" s="60"/>
      <c r="IZ50" s="60"/>
      <c r="JA50" s="60"/>
      <c r="JB50" s="60"/>
      <c r="JC50" s="60"/>
      <c r="JD50" s="60"/>
      <c r="JE50" s="60"/>
      <c r="JF50" s="60"/>
      <c r="JG50" s="60"/>
      <c r="JH50" s="60"/>
      <c r="JI50" s="60"/>
      <c r="JJ50" s="60"/>
      <c r="JK50" s="60"/>
      <c r="JL50" s="60"/>
      <c r="JM50" s="60"/>
      <c r="JN50" s="60"/>
      <c r="JO50" s="60"/>
      <c r="JP50" s="60"/>
      <c r="JQ50" s="60"/>
      <c r="JR50" s="60"/>
      <c r="JS50" s="60"/>
      <c r="JT50" s="60"/>
      <c r="JU50" s="60"/>
      <c r="JV50" s="60"/>
      <c r="JW50" s="60"/>
      <c r="JX50" s="60"/>
      <c r="JY50" s="60"/>
      <c r="JZ50" s="60"/>
      <c r="KA50" s="60"/>
      <c r="KB50" s="60"/>
      <c r="KC50" s="60"/>
      <c r="KD50" s="60"/>
      <c r="KE50" s="60"/>
      <c r="KF50" s="60"/>
      <c r="KG50" s="60"/>
      <c r="KH50" s="60"/>
      <c r="KI50" s="60"/>
      <c r="KJ50" s="60"/>
      <c r="KK50" s="60"/>
      <c r="KL50" s="60"/>
      <c r="KM50" s="60"/>
      <c r="KN50" s="60"/>
      <c r="KO50" s="60"/>
      <c r="KP50" s="60"/>
      <c r="KQ50" s="60"/>
      <c r="KR50" s="60"/>
      <c r="KS50" s="60"/>
      <c r="KT50" s="60"/>
      <c r="KU50" s="60"/>
      <c r="KV50" s="60"/>
      <c r="KW50" s="60"/>
      <c r="KX50" s="60"/>
      <c r="KY50" s="60"/>
      <c r="KZ50" s="60"/>
      <c r="LA50" s="60"/>
      <c r="LB50" s="60"/>
      <c r="LC50" s="60"/>
      <c r="LD50" s="60"/>
      <c r="LE50" s="60"/>
      <c r="LF50" s="60"/>
      <c r="LG50" s="60"/>
      <c r="LH50" s="60"/>
    </row>
    <row r="51" spans="1:320" s="17" customFormat="1" x14ac:dyDescent="0.25">
      <c r="A51" s="147"/>
      <c r="E51" s="156"/>
      <c r="F51" s="156"/>
      <c r="G51" s="156"/>
      <c r="H51" s="156"/>
      <c r="I51" s="156"/>
      <c r="J51" s="156"/>
      <c r="K51" s="156"/>
      <c r="L51" s="156"/>
      <c r="M51" s="156"/>
      <c r="N51" s="156"/>
      <c r="O51" s="156"/>
      <c r="P51" s="156"/>
      <c r="Q51" s="156"/>
      <c r="R51" s="156"/>
      <c r="S51" s="156"/>
      <c r="AC51" s="60"/>
      <c r="AD51" s="60"/>
      <c r="AE51" s="60"/>
      <c r="AF51" s="60"/>
      <c r="AG51" s="60"/>
      <c r="AH51" s="60"/>
      <c r="AI51" s="60"/>
      <c r="AJ51" s="60"/>
      <c r="AK51" s="60"/>
      <c r="AL51" s="60"/>
      <c r="AM51" s="60"/>
      <c r="AN51" s="60"/>
      <c r="AO51" s="60"/>
      <c r="AP51" s="60"/>
      <c r="AQ51" s="60"/>
      <c r="AR51" s="60"/>
      <c r="AS51" s="60"/>
      <c r="AT51" s="60"/>
      <c r="AU51" s="60"/>
      <c r="AV51" s="60"/>
      <c r="AW51" s="60"/>
      <c r="AX51" s="60"/>
      <c r="AY51" s="60"/>
      <c r="AZ51" s="60"/>
      <c r="BA51" s="60"/>
      <c r="BB51" s="60"/>
      <c r="BC51" s="60"/>
      <c r="BD51" s="60"/>
      <c r="BE51" s="60"/>
      <c r="BF51" s="60"/>
      <c r="BG51" s="60"/>
      <c r="BH51" s="60"/>
      <c r="BI51" s="60"/>
      <c r="BJ51" s="60"/>
      <c r="BK51" s="60"/>
      <c r="BL51" s="60"/>
      <c r="BM51" s="60"/>
      <c r="BN51" s="60"/>
      <c r="BO51" s="60"/>
      <c r="BP51" s="60"/>
      <c r="BQ51" s="60"/>
      <c r="BR51" s="60"/>
      <c r="BS51" s="60"/>
      <c r="BT51" s="60"/>
      <c r="BU51" s="60"/>
      <c r="BV51" s="60"/>
      <c r="BW51" s="60"/>
      <c r="BX51" s="60"/>
      <c r="BY51" s="60"/>
      <c r="BZ51" s="60"/>
      <c r="CA51" s="60"/>
      <c r="CB51" s="60"/>
      <c r="CC51" s="60"/>
      <c r="CD51" s="60"/>
      <c r="CE51" s="60"/>
      <c r="CF51" s="60"/>
      <c r="CG51" s="60"/>
      <c r="CH51" s="60"/>
      <c r="CI51" s="60"/>
      <c r="CJ51" s="60"/>
      <c r="CK51" s="60"/>
      <c r="CL51" s="60"/>
      <c r="CM51" s="60"/>
      <c r="CN51" s="60"/>
      <c r="CO51" s="60"/>
      <c r="CP51" s="60"/>
      <c r="CQ51" s="60"/>
      <c r="CR51" s="60"/>
      <c r="CS51" s="60"/>
      <c r="CT51" s="60"/>
      <c r="CU51" s="60"/>
      <c r="CV51" s="60"/>
      <c r="CW51" s="60"/>
      <c r="CX51" s="60"/>
      <c r="CY51" s="60"/>
      <c r="CZ51" s="60"/>
      <c r="DA51" s="60"/>
      <c r="DB51" s="60"/>
      <c r="DC51" s="60"/>
      <c r="DD51" s="60"/>
      <c r="DE51" s="60"/>
      <c r="DF51" s="60"/>
      <c r="DG51" s="60"/>
      <c r="DH51" s="60"/>
      <c r="DI51" s="60"/>
      <c r="DJ51" s="60"/>
      <c r="DK51" s="60"/>
      <c r="DL51" s="60"/>
      <c r="DM51" s="60"/>
      <c r="DN51" s="60"/>
      <c r="DO51" s="60"/>
      <c r="DP51" s="60"/>
      <c r="DQ51" s="60"/>
      <c r="DR51" s="60"/>
      <c r="DS51" s="60"/>
      <c r="DT51" s="60"/>
      <c r="DU51" s="60"/>
      <c r="DV51" s="60"/>
      <c r="DW51" s="60"/>
      <c r="DX51" s="60"/>
      <c r="DY51" s="60"/>
      <c r="DZ51" s="60"/>
      <c r="EA51" s="60"/>
      <c r="EB51" s="60"/>
      <c r="EC51" s="60"/>
      <c r="ED51" s="60"/>
      <c r="EE51" s="60"/>
      <c r="EF51" s="60"/>
      <c r="EG51" s="60"/>
      <c r="EH51" s="60"/>
      <c r="EI51" s="60"/>
      <c r="EJ51" s="60"/>
      <c r="EK51" s="60"/>
      <c r="EL51" s="60"/>
      <c r="EM51" s="60"/>
      <c r="EN51" s="60"/>
      <c r="EO51" s="60"/>
      <c r="EP51" s="60"/>
      <c r="EQ51" s="60"/>
      <c r="ER51" s="60"/>
      <c r="ES51" s="60"/>
      <c r="ET51" s="60"/>
      <c r="EU51" s="60"/>
      <c r="EV51" s="60"/>
      <c r="EW51" s="60"/>
      <c r="EX51" s="60"/>
      <c r="EY51" s="60"/>
      <c r="EZ51" s="60"/>
      <c r="FA51" s="60"/>
      <c r="FB51" s="60"/>
      <c r="FC51" s="60"/>
      <c r="FD51" s="60"/>
      <c r="FE51" s="60"/>
      <c r="FF51" s="60"/>
      <c r="FG51" s="60"/>
      <c r="FH51" s="60"/>
      <c r="FI51" s="60"/>
      <c r="FJ51" s="60"/>
      <c r="FK51" s="60"/>
      <c r="FL51" s="60"/>
      <c r="FM51" s="60"/>
      <c r="FN51" s="60"/>
      <c r="FO51" s="60"/>
      <c r="FP51" s="60"/>
      <c r="FQ51" s="60"/>
      <c r="FR51" s="60"/>
      <c r="FS51" s="60"/>
      <c r="FT51" s="60"/>
      <c r="FU51" s="60"/>
      <c r="FV51" s="60"/>
      <c r="FW51" s="60"/>
      <c r="FX51" s="60"/>
      <c r="FY51" s="60"/>
      <c r="FZ51" s="60"/>
      <c r="GA51" s="60"/>
      <c r="GB51" s="60"/>
      <c r="GC51" s="60"/>
      <c r="GD51" s="60"/>
      <c r="GE51" s="60"/>
      <c r="GF51" s="60"/>
      <c r="GG51" s="60"/>
      <c r="GH51" s="60"/>
      <c r="GI51" s="60"/>
      <c r="GJ51" s="60"/>
      <c r="GK51" s="60"/>
      <c r="GL51" s="60"/>
      <c r="GM51" s="60"/>
      <c r="GN51" s="60"/>
      <c r="GO51" s="60"/>
      <c r="GP51" s="60"/>
      <c r="GQ51" s="60"/>
      <c r="GR51" s="60"/>
      <c r="GS51" s="60"/>
      <c r="GT51" s="60"/>
      <c r="GU51" s="60"/>
      <c r="GV51" s="60"/>
      <c r="GW51" s="60"/>
      <c r="GX51" s="60"/>
      <c r="GY51" s="60"/>
      <c r="GZ51" s="60"/>
      <c r="HA51" s="60"/>
      <c r="HB51" s="60"/>
      <c r="HC51" s="60"/>
      <c r="HD51" s="60"/>
      <c r="HE51" s="60"/>
      <c r="HF51" s="60"/>
      <c r="HG51" s="60"/>
      <c r="HH51" s="60"/>
      <c r="HI51" s="60"/>
      <c r="HJ51" s="60"/>
      <c r="HK51" s="60"/>
      <c r="HL51" s="60"/>
      <c r="HM51" s="60"/>
      <c r="HN51" s="60"/>
      <c r="HO51" s="60"/>
      <c r="HP51" s="60"/>
      <c r="HQ51" s="60"/>
      <c r="HR51" s="60"/>
      <c r="HS51" s="60"/>
      <c r="HT51" s="60"/>
      <c r="HU51" s="60"/>
      <c r="HV51" s="60"/>
      <c r="HW51" s="60"/>
      <c r="HX51" s="60"/>
      <c r="HY51" s="60"/>
      <c r="HZ51" s="60"/>
      <c r="IA51" s="60"/>
      <c r="IB51" s="60"/>
      <c r="IC51" s="60"/>
      <c r="ID51" s="60"/>
      <c r="IE51" s="60"/>
      <c r="IF51" s="60"/>
      <c r="IG51" s="60"/>
      <c r="IH51" s="60"/>
      <c r="II51" s="60"/>
      <c r="IJ51" s="60"/>
      <c r="IK51" s="60"/>
      <c r="IL51" s="60"/>
      <c r="IM51" s="60"/>
      <c r="IN51" s="60"/>
      <c r="IO51" s="60"/>
      <c r="IP51" s="60"/>
      <c r="IQ51" s="60"/>
      <c r="IR51" s="60"/>
      <c r="IS51" s="60"/>
      <c r="IT51" s="60"/>
      <c r="IU51" s="60"/>
      <c r="IV51" s="60"/>
      <c r="IW51" s="60"/>
      <c r="IX51" s="60"/>
      <c r="IY51" s="60"/>
      <c r="IZ51" s="60"/>
      <c r="JA51" s="60"/>
      <c r="JB51" s="60"/>
      <c r="JC51" s="60"/>
      <c r="JD51" s="60"/>
      <c r="JE51" s="60"/>
      <c r="JF51" s="60"/>
      <c r="JG51" s="60"/>
      <c r="JH51" s="60"/>
      <c r="JI51" s="60"/>
      <c r="JJ51" s="60"/>
      <c r="JK51" s="60"/>
      <c r="JL51" s="60"/>
      <c r="JM51" s="60"/>
      <c r="JN51" s="60"/>
      <c r="JO51" s="60"/>
      <c r="JP51" s="60"/>
      <c r="JQ51" s="60"/>
      <c r="JR51" s="60"/>
      <c r="JS51" s="60"/>
      <c r="JT51" s="60"/>
      <c r="JU51" s="60"/>
      <c r="JV51" s="60"/>
      <c r="JW51" s="60"/>
      <c r="JX51" s="60"/>
      <c r="JY51" s="60"/>
      <c r="JZ51" s="60"/>
      <c r="KA51" s="60"/>
      <c r="KB51" s="60"/>
      <c r="KC51" s="60"/>
      <c r="KD51" s="60"/>
      <c r="KE51" s="60"/>
      <c r="KF51" s="60"/>
      <c r="KG51" s="60"/>
      <c r="KH51" s="60"/>
      <c r="KI51" s="60"/>
      <c r="KJ51" s="60"/>
      <c r="KK51" s="60"/>
      <c r="KL51" s="60"/>
      <c r="KM51" s="60"/>
      <c r="KN51" s="60"/>
      <c r="KO51" s="60"/>
      <c r="KP51" s="60"/>
      <c r="KQ51" s="60"/>
      <c r="KR51" s="60"/>
      <c r="KS51" s="60"/>
      <c r="KT51" s="60"/>
      <c r="KU51" s="60"/>
      <c r="KV51" s="60"/>
      <c r="KW51" s="60"/>
      <c r="KX51" s="60"/>
      <c r="KY51" s="60"/>
      <c r="KZ51" s="60"/>
      <c r="LA51" s="60"/>
      <c r="LB51" s="60"/>
      <c r="LC51" s="60"/>
      <c r="LD51" s="60"/>
      <c r="LE51" s="60"/>
      <c r="LF51" s="60"/>
      <c r="LG51" s="60"/>
      <c r="LH51" s="60"/>
    </row>
    <row r="52" spans="1:320" s="17" customFormat="1" x14ac:dyDescent="0.25">
      <c r="A52" s="147"/>
      <c r="E52" s="156"/>
      <c r="F52" s="156"/>
      <c r="G52" s="156"/>
      <c r="H52" s="156"/>
      <c r="I52" s="156"/>
      <c r="J52" s="156"/>
      <c r="K52" s="156"/>
      <c r="L52" s="156"/>
      <c r="M52" s="156"/>
      <c r="N52" s="156"/>
      <c r="O52" s="156"/>
      <c r="P52" s="156"/>
      <c r="Q52" s="156"/>
      <c r="R52" s="156"/>
      <c r="S52" s="156"/>
      <c r="AC52" s="60"/>
      <c r="AD52" s="60"/>
      <c r="AE52" s="60"/>
      <c r="AF52" s="60"/>
      <c r="AG52" s="60"/>
      <c r="AH52" s="60"/>
      <c r="AI52" s="60"/>
      <c r="AJ52" s="60"/>
      <c r="AK52" s="60"/>
      <c r="AL52" s="60"/>
      <c r="AM52" s="60"/>
      <c r="AN52" s="60"/>
      <c r="AO52" s="60"/>
      <c r="AP52" s="60"/>
      <c r="AQ52" s="60"/>
      <c r="AR52" s="60"/>
      <c r="AS52" s="60"/>
      <c r="AT52" s="60"/>
      <c r="AU52" s="60"/>
      <c r="AV52" s="60"/>
      <c r="AW52" s="60"/>
      <c r="AX52" s="60"/>
      <c r="AY52" s="60"/>
      <c r="AZ52" s="60"/>
      <c r="BA52" s="60"/>
      <c r="BB52" s="60"/>
      <c r="BC52" s="60"/>
      <c r="BD52" s="60"/>
      <c r="BE52" s="60"/>
      <c r="BF52" s="60"/>
      <c r="BG52" s="60"/>
      <c r="BH52" s="60"/>
      <c r="BI52" s="60"/>
      <c r="BJ52" s="60"/>
      <c r="BK52" s="60"/>
      <c r="BL52" s="60"/>
      <c r="BM52" s="60"/>
      <c r="BN52" s="60"/>
      <c r="BO52" s="60"/>
      <c r="BP52" s="60"/>
      <c r="BQ52" s="60"/>
      <c r="BR52" s="60"/>
      <c r="BS52" s="60"/>
      <c r="BT52" s="60"/>
      <c r="BU52" s="60"/>
      <c r="BV52" s="60"/>
      <c r="BW52" s="60"/>
      <c r="BX52" s="60"/>
      <c r="BY52" s="60"/>
      <c r="BZ52" s="60"/>
      <c r="CA52" s="60"/>
      <c r="CB52" s="60"/>
      <c r="CC52" s="60"/>
      <c r="CD52" s="60"/>
      <c r="CE52" s="60"/>
      <c r="CF52" s="60"/>
      <c r="CG52" s="60"/>
      <c r="CH52" s="60"/>
      <c r="CI52" s="60"/>
      <c r="CJ52" s="60"/>
      <c r="CK52" s="60"/>
      <c r="CL52" s="60"/>
      <c r="CM52" s="60"/>
      <c r="CN52" s="60"/>
      <c r="CO52" s="60"/>
      <c r="CP52" s="60"/>
      <c r="CQ52" s="60"/>
      <c r="CR52" s="60"/>
      <c r="CS52" s="60"/>
      <c r="CT52" s="60"/>
      <c r="CU52" s="60"/>
      <c r="CV52" s="60"/>
      <c r="CW52" s="60"/>
      <c r="CX52" s="60"/>
      <c r="CY52" s="60"/>
      <c r="CZ52" s="60"/>
      <c r="DA52" s="60"/>
      <c r="DB52" s="60"/>
      <c r="DC52" s="60"/>
      <c r="DD52" s="60"/>
      <c r="DE52" s="60"/>
      <c r="DF52" s="60"/>
      <c r="DG52" s="60"/>
      <c r="DH52" s="60"/>
      <c r="DI52" s="60"/>
      <c r="DJ52" s="60"/>
      <c r="DK52" s="60"/>
      <c r="DL52" s="60"/>
      <c r="DM52" s="60"/>
      <c r="DN52" s="60"/>
      <c r="DO52" s="60"/>
      <c r="DP52" s="60"/>
      <c r="DQ52" s="60"/>
      <c r="DR52" s="60"/>
      <c r="DS52" s="60"/>
      <c r="DT52" s="60"/>
      <c r="DU52" s="60"/>
      <c r="DV52" s="60"/>
      <c r="DW52" s="60"/>
      <c r="DX52" s="60"/>
      <c r="DY52" s="60"/>
      <c r="DZ52" s="60"/>
      <c r="EA52" s="60"/>
      <c r="EB52" s="60"/>
      <c r="EC52" s="60"/>
      <c r="ED52" s="60"/>
      <c r="EE52" s="60"/>
      <c r="EF52" s="60"/>
      <c r="EG52" s="60"/>
      <c r="EH52" s="60"/>
      <c r="EI52" s="60"/>
      <c r="EJ52" s="60"/>
      <c r="EK52" s="60"/>
      <c r="EL52" s="60"/>
      <c r="EM52" s="60"/>
      <c r="EN52" s="60"/>
      <c r="EO52" s="60"/>
      <c r="EP52" s="60"/>
      <c r="EQ52" s="60"/>
      <c r="ER52" s="60"/>
      <c r="ES52" s="60"/>
      <c r="ET52" s="60"/>
      <c r="EU52" s="60"/>
      <c r="EV52" s="60"/>
      <c r="EW52" s="60"/>
      <c r="EX52" s="60"/>
      <c r="EY52" s="60"/>
      <c r="EZ52" s="60"/>
      <c r="FA52" s="60"/>
      <c r="FB52" s="60"/>
      <c r="FC52" s="60"/>
      <c r="FD52" s="60"/>
      <c r="FE52" s="60"/>
      <c r="FF52" s="60"/>
      <c r="FG52" s="60"/>
      <c r="FH52" s="60"/>
      <c r="FI52" s="60"/>
      <c r="FJ52" s="60"/>
      <c r="FK52" s="60"/>
      <c r="FL52" s="60"/>
      <c r="FM52" s="60"/>
      <c r="FN52" s="60"/>
      <c r="FO52" s="60"/>
      <c r="FP52" s="60"/>
      <c r="FQ52" s="60"/>
      <c r="FR52" s="60"/>
      <c r="FS52" s="60"/>
      <c r="FT52" s="60"/>
      <c r="FU52" s="60"/>
      <c r="FV52" s="60"/>
      <c r="FW52" s="60"/>
      <c r="FX52" s="60"/>
      <c r="FY52" s="60"/>
      <c r="FZ52" s="60"/>
      <c r="GA52" s="60"/>
      <c r="GB52" s="60"/>
      <c r="GC52" s="60"/>
      <c r="GD52" s="60"/>
      <c r="GE52" s="60"/>
      <c r="GF52" s="60"/>
      <c r="GG52" s="60"/>
      <c r="GH52" s="60"/>
      <c r="GI52" s="60"/>
      <c r="GJ52" s="60"/>
      <c r="GK52" s="60"/>
      <c r="GL52" s="60"/>
      <c r="GM52" s="60"/>
      <c r="GN52" s="60"/>
      <c r="GO52" s="60"/>
      <c r="GP52" s="60"/>
      <c r="GQ52" s="60"/>
      <c r="GR52" s="60"/>
      <c r="GS52" s="60"/>
      <c r="GT52" s="60"/>
      <c r="GU52" s="60"/>
      <c r="GV52" s="60"/>
      <c r="GW52" s="60"/>
      <c r="GX52" s="60"/>
      <c r="GY52" s="60"/>
      <c r="GZ52" s="60"/>
      <c r="HA52" s="60"/>
      <c r="HB52" s="60"/>
      <c r="HC52" s="60"/>
      <c r="HD52" s="60"/>
      <c r="HE52" s="60"/>
      <c r="HF52" s="60"/>
      <c r="HG52" s="60"/>
      <c r="HH52" s="60"/>
      <c r="HI52" s="60"/>
      <c r="HJ52" s="60"/>
      <c r="HK52" s="60"/>
      <c r="HL52" s="60"/>
      <c r="HM52" s="60"/>
      <c r="HN52" s="60"/>
      <c r="HO52" s="60"/>
      <c r="HP52" s="60"/>
      <c r="HQ52" s="60"/>
      <c r="HR52" s="60"/>
      <c r="HS52" s="60"/>
      <c r="HT52" s="60"/>
      <c r="HU52" s="60"/>
      <c r="HV52" s="60"/>
      <c r="HW52" s="60"/>
      <c r="HX52" s="60"/>
      <c r="HY52" s="60"/>
      <c r="HZ52" s="60"/>
      <c r="IA52" s="60"/>
      <c r="IB52" s="60"/>
      <c r="IC52" s="60"/>
      <c r="ID52" s="60"/>
      <c r="IE52" s="60"/>
      <c r="IF52" s="60"/>
      <c r="IG52" s="60"/>
      <c r="IH52" s="60"/>
      <c r="II52" s="60"/>
      <c r="IJ52" s="60"/>
      <c r="IK52" s="60"/>
      <c r="IL52" s="60"/>
      <c r="IM52" s="60"/>
      <c r="IN52" s="60"/>
      <c r="IO52" s="60"/>
      <c r="IP52" s="60"/>
      <c r="IQ52" s="60"/>
      <c r="IR52" s="60"/>
      <c r="IS52" s="60"/>
      <c r="IT52" s="60"/>
      <c r="IU52" s="60"/>
      <c r="IV52" s="60"/>
      <c r="IW52" s="60"/>
      <c r="IX52" s="60"/>
      <c r="IY52" s="60"/>
      <c r="IZ52" s="60"/>
      <c r="JA52" s="60"/>
      <c r="JB52" s="60"/>
      <c r="JC52" s="60"/>
      <c r="JD52" s="60"/>
      <c r="JE52" s="60"/>
      <c r="JF52" s="60"/>
      <c r="JG52" s="60"/>
      <c r="JH52" s="60"/>
      <c r="JI52" s="60"/>
      <c r="JJ52" s="60"/>
      <c r="JK52" s="60"/>
      <c r="JL52" s="60"/>
      <c r="JM52" s="60"/>
      <c r="JN52" s="60"/>
      <c r="JO52" s="60"/>
      <c r="JP52" s="60"/>
      <c r="JQ52" s="60"/>
      <c r="JR52" s="60"/>
      <c r="JS52" s="60"/>
      <c r="JT52" s="60"/>
      <c r="JU52" s="60"/>
      <c r="JV52" s="60"/>
      <c r="JW52" s="60"/>
      <c r="JX52" s="60"/>
      <c r="JY52" s="60"/>
      <c r="JZ52" s="60"/>
      <c r="KA52" s="60"/>
      <c r="KB52" s="60"/>
      <c r="KC52" s="60"/>
      <c r="KD52" s="60"/>
      <c r="KE52" s="60"/>
      <c r="KF52" s="60"/>
      <c r="KG52" s="60"/>
      <c r="KH52" s="60"/>
      <c r="KI52" s="60"/>
      <c r="KJ52" s="60"/>
      <c r="KK52" s="60"/>
      <c r="KL52" s="60"/>
      <c r="KM52" s="60"/>
      <c r="KN52" s="60"/>
      <c r="KO52" s="60"/>
      <c r="KP52" s="60"/>
      <c r="KQ52" s="60"/>
      <c r="KR52" s="60"/>
      <c r="KS52" s="60"/>
      <c r="KT52" s="60"/>
      <c r="KU52" s="60"/>
      <c r="KV52" s="60"/>
      <c r="KW52" s="60"/>
      <c r="KX52" s="60"/>
      <c r="KY52" s="60"/>
      <c r="KZ52" s="60"/>
      <c r="LA52" s="60"/>
      <c r="LB52" s="60"/>
      <c r="LC52" s="60"/>
      <c r="LD52" s="60"/>
      <c r="LE52" s="60"/>
      <c r="LF52" s="60"/>
      <c r="LG52" s="60"/>
      <c r="LH52" s="60"/>
    </row>
    <row r="53" spans="1:320" s="17" customFormat="1" x14ac:dyDescent="0.25">
      <c r="A53" s="147"/>
      <c r="E53" s="156"/>
      <c r="F53" s="156"/>
      <c r="G53" s="156"/>
      <c r="H53" s="156"/>
      <c r="I53" s="156"/>
      <c r="J53" s="156"/>
      <c r="K53" s="156"/>
      <c r="L53" s="156"/>
      <c r="M53" s="156"/>
      <c r="N53" s="156"/>
      <c r="O53" s="156"/>
      <c r="P53" s="156"/>
      <c r="Q53" s="156"/>
      <c r="R53" s="156"/>
      <c r="S53" s="156"/>
      <c r="AC53" s="60"/>
      <c r="AD53" s="60"/>
      <c r="AE53" s="60"/>
      <c r="AF53" s="60"/>
      <c r="AG53" s="60"/>
      <c r="AH53" s="60"/>
      <c r="AI53" s="60"/>
      <c r="AJ53" s="60"/>
      <c r="AK53" s="60"/>
      <c r="AL53" s="60"/>
      <c r="AM53" s="60"/>
      <c r="AN53" s="60"/>
      <c r="AO53" s="60"/>
      <c r="AP53" s="60"/>
      <c r="AQ53" s="60"/>
      <c r="AR53" s="60"/>
      <c r="AS53" s="60"/>
      <c r="AT53" s="60"/>
      <c r="AU53" s="60"/>
      <c r="AV53" s="60"/>
      <c r="AW53" s="60"/>
      <c r="AX53" s="60"/>
      <c r="AY53" s="60"/>
      <c r="AZ53" s="60"/>
      <c r="BA53" s="60"/>
      <c r="BB53" s="60"/>
      <c r="BC53" s="60"/>
      <c r="BD53" s="60"/>
      <c r="BE53" s="60"/>
      <c r="BF53" s="60"/>
      <c r="BG53" s="60"/>
      <c r="BH53" s="60"/>
      <c r="BI53" s="60"/>
      <c r="BJ53" s="60"/>
      <c r="BK53" s="60"/>
      <c r="BL53" s="60"/>
      <c r="BM53" s="60"/>
      <c r="BN53" s="60"/>
      <c r="BO53" s="60"/>
      <c r="BP53" s="60"/>
      <c r="BQ53" s="60"/>
      <c r="BR53" s="60"/>
      <c r="BS53" s="60"/>
      <c r="BT53" s="60"/>
      <c r="BU53" s="60"/>
      <c r="BV53" s="60"/>
      <c r="BW53" s="60"/>
      <c r="BX53" s="60"/>
      <c r="BY53" s="60"/>
      <c r="BZ53" s="60"/>
      <c r="CA53" s="60"/>
      <c r="CB53" s="60"/>
      <c r="CC53" s="60"/>
      <c r="CD53" s="60"/>
      <c r="CE53" s="60"/>
      <c r="CF53" s="60"/>
      <c r="CG53" s="60"/>
      <c r="CH53" s="60"/>
      <c r="CI53" s="60"/>
      <c r="CJ53" s="60"/>
      <c r="CK53" s="60"/>
      <c r="CL53" s="60"/>
      <c r="CM53" s="60"/>
      <c r="CN53" s="60"/>
      <c r="CO53" s="60"/>
      <c r="CP53" s="60"/>
      <c r="CQ53" s="60"/>
      <c r="CR53" s="60"/>
      <c r="CS53" s="60"/>
      <c r="CT53" s="60"/>
      <c r="CU53" s="60"/>
      <c r="CV53" s="60"/>
      <c r="CW53" s="60"/>
      <c r="CX53" s="60"/>
      <c r="CY53" s="60"/>
      <c r="CZ53" s="60"/>
      <c r="DA53" s="60"/>
      <c r="DB53" s="60"/>
      <c r="DC53" s="60"/>
      <c r="DD53" s="60"/>
      <c r="DE53" s="60"/>
      <c r="DF53" s="60"/>
      <c r="DG53" s="60"/>
      <c r="DH53" s="60"/>
      <c r="DI53" s="60"/>
      <c r="DJ53" s="60"/>
      <c r="DK53" s="60"/>
      <c r="DL53" s="60"/>
      <c r="DM53" s="60"/>
      <c r="DN53" s="60"/>
      <c r="DO53" s="60"/>
      <c r="DP53" s="60"/>
      <c r="DQ53" s="60"/>
      <c r="DR53" s="60"/>
      <c r="DS53" s="60"/>
      <c r="DT53" s="60"/>
      <c r="DU53" s="60"/>
      <c r="DV53" s="60"/>
      <c r="DW53" s="60"/>
      <c r="DX53" s="60"/>
      <c r="DY53" s="60"/>
      <c r="DZ53" s="60"/>
      <c r="EA53" s="60"/>
      <c r="EB53" s="60"/>
      <c r="EC53" s="60"/>
      <c r="ED53" s="60"/>
      <c r="EE53" s="60"/>
      <c r="EF53" s="60"/>
      <c r="EG53" s="60"/>
      <c r="EH53" s="60"/>
      <c r="EI53" s="60"/>
      <c r="EJ53" s="60"/>
      <c r="EK53" s="60"/>
      <c r="EL53" s="60"/>
      <c r="EM53" s="60"/>
      <c r="EN53" s="60"/>
      <c r="EO53" s="60"/>
      <c r="EP53" s="60"/>
      <c r="EQ53" s="60"/>
      <c r="ER53" s="60"/>
      <c r="ES53" s="60"/>
      <c r="ET53" s="60"/>
      <c r="EU53" s="60"/>
      <c r="EV53" s="60"/>
      <c r="EW53" s="60"/>
      <c r="EX53" s="60"/>
      <c r="EY53" s="60"/>
      <c r="EZ53" s="60"/>
      <c r="FA53" s="60"/>
      <c r="FB53" s="60"/>
      <c r="FC53" s="60"/>
      <c r="FD53" s="60"/>
      <c r="FE53" s="60"/>
      <c r="FF53" s="60"/>
      <c r="FG53" s="60"/>
      <c r="FH53" s="60"/>
      <c r="FI53" s="60"/>
      <c r="FJ53" s="60"/>
      <c r="FK53" s="60"/>
      <c r="FL53" s="60"/>
      <c r="FM53" s="60"/>
      <c r="FN53" s="60"/>
      <c r="FO53" s="60"/>
      <c r="FP53" s="60"/>
      <c r="FQ53" s="60"/>
      <c r="FR53" s="60"/>
      <c r="FS53" s="60"/>
      <c r="FT53" s="60"/>
      <c r="FU53" s="60"/>
      <c r="FV53" s="60"/>
      <c r="FW53" s="60"/>
      <c r="FX53" s="60"/>
      <c r="FY53" s="60"/>
      <c r="FZ53" s="60"/>
      <c r="GA53" s="60"/>
      <c r="GB53" s="60"/>
      <c r="GC53" s="60"/>
      <c r="GD53" s="60"/>
      <c r="GE53" s="60"/>
      <c r="GF53" s="60"/>
      <c r="GG53" s="60"/>
      <c r="GH53" s="60"/>
      <c r="GI53" s="60"/>
      <c r="GJ53" s="60"/>
      <c r="GK53" s="60"/>
      <c r="GL53" s="60"/>
      <c r="GM53" s="60"/>
      <c r="GN53" s="60"/>
      <c r="GO53" s="60"/>
      <c r="GP53" s="60"/>
      <c r="GQ53" s="60"/>
      <c r="GR53" s="60"/>
      <c r="GS53" s="60"/>
      <c r="GT53" s="60"/>
      <c r="GU53" s="60"/>
      <c r="GV53" s="60"/>
      <c r="GW53" s="60"/>
      <c r="GX53" s="60"/>
      <c r="GY53" s="60"/>
      <c r="GZ53" s="60"/>
      <c r="HA53" s="60"/>
      <c r="HB53" s="60"/>
      <c r="HC53" s="60"/>
      <c r="HD53" s="60"/>
      <c r="HE53" s="60"/>
      <c r="HF53" s="60"/>
      <c r="HG53" s="60"/>
      <c r="HH53" s="60"/>
      <c r="HI53" s="60"/>
      <c r="HJ53" s="60"/>
      <c r="HK53" s="60"/>
      <c r="HL53" s="60"/>
      <c r="HM53" s="60"/>
      <c r="HN53" s="60"/>
      <c r="HO53" s="60"/>
      <c r="HP53" s="60"/>
      <c r="HQ53" s="60"/>
      <c r="HR53" s="60"/>
      <c r="HS53" s="60"/>
      <c r="HT53" s="60"/>
      <c r="HU53" s="60"/>
      <c r="HV53" s="60"/>
      <c r="HW53" s="60"/>
      <c r="HX53" s="60"/>
      <c r="HY53" s="60"/>
      <c r="HZ53" s="60"/>
      <c r="IA53" s="60"/>
      <c r="IB53" s="60"/>
      <c r="IC53" s="60"/>
      <c r="ID53" s="60"/>
      <c r="IE53" s="60"/>
      <c r="IF53" s="60"/>
      <c r="IG53" s="60"/>
      <c r="IH53" s="60"/>
      <c r="II53" s="60"/>
      <c r="IJ53" s="60"/>
      <c r="IK53" s="60"/>
      <c r="IL53" s="60"/>
      <c r="IM53" s="60"/>
      <c r="IN53" s="60"/>
      <c r="IO53" s="60"/>
      <c r="IP53" s="60"/>
      <c r="IQ53" s="60"/>
      <c r="IR53" s="60"/>
      <c r="IS53" s="60"/>
      <c r="IT53" s="60"/>
      <c r="IU53" s="60"/>
      <c r="IV53" s="60"/>
      <c r="IW53" s="60"/>
      <c r="IX53" s="60"/>
      <c r="IY53" s="60"/>
      <c r="IZ53" s="60"/>
      <c r="JA53" s="60"/>
      <c r="JB53" s="60"/>
      <c r="JC53" s="60"/>
      <c r="JD53" s="60"/>
      <c r="JE53" s="60"/>
      <c r="JF53" s="60"/>
      <c r="JG53" s="60"/>
      <c r="JH53" s="60"/>
      <c r="JI53" s="60"/>
      <c r="JJ53" s="60"/>
      <c r="JK53" s="60"/>
      <c r="JL53" s="60"/>
      <c r="JM53" s="60"/>
      <c r="JN53" s="60"/>
      <c r="JO53" s="60"/>
      <c r="JP53" s="60"/>
      <c r="JQ53" s="60"/>
      <c r="JR53" s="60"/>
      <c r="JS53" s="60"/>
      <c r="JT53" s="60"/>
      <c r="JU53" s="60"/>
      <c r="JV53" s="60"/>
      <c r="JW53" s="60"/>
      <c r="JX53" s="60"/>
      <c r="JY53" s="60"/>
      <c r="JZ53" s="60"/>
      <c r="KA53" s="60"/>
      <c r="KB53" s="60"/>
      <c r="KC53" s="60"/>
      <c r="KD53" s="60"/>
      <c r="KE53" s="60"/>
      <c r="KF53" s="60"/>
      <c r="KG53" s="60"/>
      <c r="KH53" s="60"/>
      <c r="KI53" s="60"/>
      <c r="KJ53" s="60"/>
      <c r="KK53" s="60"/>
      <c r="KL53" s="60"/>
      <c r="KM53" s="60"/>
      <c r="KN53" s="60"/>
      <c r="KO53" s="60"/>
      <c r="KP53" s="60"/>
      <c r="KQ53" s="60"/>
      <c r="KR53" s="60"/>
      <c r="KS53" s="60"/>
      <c r="KT53" s="60"/>
      <c r="KU53" s="60"/>
      <c r="KV53" s="60"/>
      <c r="KW53" s="60"/>
      <c r="KX53" s="60"/>
      <c r="KY53" s="60"/>
      <c r="KZ53" s="60"/>
      <c r="LA53" s="60"/>
      <c r="LB53" s="60"/>
      <c r="LC53" s="60"/>
      <c r="LD53" s="60"/>
      <c r="LE53" s="60"/>
      <c r="LF53" s="60"/>
      <c r="LG53" s="60"/>
      <c r="LH53" s="60"/>
    </row>
    <row r="54" spans="1:320" s="17" customFormat="1" x14ac:dyDescent="0.25">
      <c r="A54" s="147"/>
      <c r="E54" s="156"/>
      <c r="F54" s="156"/>
      <c r="G54" s="156"/>
      <c r="H54" s="156"/>
      <c r="I54" s="156"/>
      <c r="J54" s="156"/>
      <c r="K54" s="156"/>
      <c r="L54" s="156"/>
      <c r="M54" s="156"/>
      <c r="N54" s="156"/>
      <c r="O54" s="156"/>
      <c r="P54" s="156"/>
      <c r="Q54" s="156"/>
      <c r="R54" s="156"/>
      <c r="S54" s="156"/>
      <c r="AC54" s="60"/>
      <c r="AD54" s="60"/>
      <c r="AE54" s="60"/>
      <c r="AF54" s="60"/>
      <c r="AG54" s="60"/>
      <c r="AH54" s="60"/>
      <c r="AI54" s="60"/>
      <c r="AJ54" s="60"/>
      <c r="AK54" s="60"/>
      <c r="AL54" s="60"/>
      <c r="AM54" s="60"/>
      <c r="AN54" s="60"/>
      <c r="AO54" s="60"/>
      <c r="AP54" s="60"/>
      <c r="AQ54" s="60"/>
      <c r="AR54" s="60"/>
      <c r="AS54" s="60"/>
      <c r="AT54" s="60"/>
      <c r="AU54" s="60"/>
      <c r="AV54" s="60"/>
      <c r="AW54" s="60"/>
      <c r="AX54" s="60"/>
      <c r="AY54" s="60"/>
      <c r="AZ54" s="60"/>
      <c r="BA54" s="60"/>
      <c r="BB54" s="60"/>
      <c r="BC54" s="60"/>
      <c r="BD54" s="60"/>
      <c r="BE54" s="60"/>
      <c r="BF54" s="60"/>
      <c r="BG54" s="60"/>
      <c r="BH54" s="60"/>
      <c r="BI54" s="60"/>
      <c r="BJ54" s="60"/>
      <c r="BK54" s="60"/>
      <c r="BL54" s="60"/>
      <c r="BM54" s="60"/>
      <c r="BN54" s="60"/>
      <c r="BO54" s="60"/>
      <c r="BP54" s="60"/>
      <c r="BQ54" s="60"/>
      <c r="BR54" s="60"/>
      <c r="BS54" s="60"/>
      <c r="BT54" s="60"/>
      <c r="BU54" s="60"/>
      <c r="BV54" s="60"/>
      <c r="BW54" s="60"/>
      <c r="BX54" s="60"/>
      <c r="BY54" s="60"/>
      <c r="BZ54" s="60"/>
      <c r="CA54" s="60"/>
      <c r="CB54" s="60"/>
      <c r="CC54" s="60"/>
      <c r="CD54" s="60"/>
      <c r="CE54" s="60"/>
      <c r="CF54" s="60"/>
      <c r="CG54" s="60"/>
      <c r="CH54" s="60"/>
      <c r="CI54" s="60"/>
      <c r="CJ54" s="60"/>
      <c r="CK54" s="60"/>
      <c r="CL54" s="60"/>
      <c r="CM54" s="60"/>
      <c r="CN54" s="60"/>
      <c r="CO54" s="60"/>
      <c r="CP54" s="60"/>
      <c r="CQ54" s="60"/>
      <c r="CR54" s="60"/>
      <c r="CS54" s="60"/>
      <c r="CT54" s="60"/>
      <c r="CU54" s="60"/>
      <c r="CV54" s="60"/>
      <c r="CW54" s="60"/>
      <c r="CX54" s="60"/>
      <c r="CY54" s="60"/>
      <c r="CZ54" s="60"/>
      <c r="DA54" s="60"/>
      <c r="DB54" s="60"/>
      <c r="DC54" s="60"/>
      <c r="DD54" s="60"/>
      <c r="DE54" s="60"/>
      <c r="DF54" s="60"/>
      <c r="DG54" s="60"/>
      <c r="DH54" s="60"/>
      <c r="DI54" s="60"/>
      <c r="DJ54" s="60"/>
      <c r="DK54" s="60"/>
      <c r="DL54" s="60"/>
      <c r="DM54" s="60"/>
      <c r="DN54" s="60"/>
      <c r="DO54" s="60"/>
      <c r="DP54" s="60"/>
      <c r="DQ54" s="60"/>
      <c r="DR54" s="60"/>
      <c r="DS54" s="60"/>
      <c r="DT54" s="60"/>
      <c r="DU54" s="60"/>
      <c r="DV54" s="60"/>
      <c r="DW54" s="60"/>
      <c r="DX54" s="60"/>
      <c r="DY54" s="60"/>
      <c r="DZ54" s="60"/>
      <c r="EA54" s="60"/>
      <c r="EB54" s="60"/>
      <c r="EC54" s="60"/>
      <c r="ED54" s="60"/>
      <c r="EE54" s="60"/>
      <c r="EF54" s="60"/>
      <c r="EG54" s="60"/>
      <c r="EH54" s="60"/>
      <c r="EI54" s="60"/>
      <c r="EJ54" s="60"/>
      <c r="EK54" s="60"/>
      <c r="EL54" s="60"/>
      <c r="EM54" s="60"/>
      <c r="EN54" s="60"/>
      <c r="EO54" s="60"/>
      <c r="EP54" s="60"/>
      <c r="EQ54" s="60"/>
      <c r="ER54" s="60"/>
      <c r="ES54" s="60"/>
      <c r="ET54" s="60"/>
      <c r="EU54" s="60"/>
      <c r="EV54" s="60"/>
      <c r="EW54" s="60"/>
      <c r="EX54" s="60"/>
      <c r="EY54" s="60"/>
      <c r="EZ54" s="60"/>
      <c r="FA54" s="60"/>
      <c r="FB54" s="60"/>
      <c r="FC54" s="60"/>
      <c r="FD54" s="60"/>
      <c r="FE54" s="60"/>
      <c r="FF54" s="60"/>
      <c r="FG54" s="60"/>
      <c r="FH54" s="60"/>
      <c r="FI54" s="60"/>
      <c r="FJ54" s="60"/>
      <c r="FK54" s="60"/>
      <c r="FL54" s="60"/>
      <c r="FM54" s="60"/>
      <c r="FN54" s="60"/>
      <c r="FO54" s="60"/>
      <c r="FP54" s="60"/>
      <c r="FQ54" s="60"/>
      <c r="FR54" s="60"/>
      <c r="FS54" s="60"/>
      <c r="FT54" s="60"/>
      <c r="FU54" s="60"/>
      <c r="FV54" s="60"/>
      <c r="FW54" s="60"/>
      <c r="FX54" s="60"/>
      <c r="FY54" s="60"/>
      <c r="FZ54" s="60"/>
      <c r="GA54" s="60"/>
      <c r="GB54" s="60"/>
      <c r="GC54" s="60"/>
      <c r="GD54" s="60"/>
      <c r="GE54" s="60"/>
      <c r="GF54" s="60"/>
      <c r="GG54" s="60"/>
      <c r="GH54" s="60"/>
      <c r="GI54" s="60"/>
      <c r="GJ54" s="60"/>
      <c r="GK54" s="60"/>
      <c r="GL54" s="60"/>
      <c r="GM54" s="60"/>
      <c r="GN54" s="60"/>
      <c r="GO54" s="60"/>
      <c r="GP54" s="60"/>
      <c r="GQ54" s="60"/>
      <c r="GR54" s="60"/>
      <c r="GS54" s="60"/>
      <c r="GT54" s="60"/>
      <c r="GU54" s="60"/>
      <c r="GV54" s="60"/>
      <c r="GW54" s="60"/>
      <c r="GX54" s="60"/>
      <c r="GY54" s="60"/>
      <c r="GZ54" s="60"/>
      <c r="HA54" s="60"/>
      <c r="HB54" s="60"/>
      <c r="HC54" s="60"/>
      <c r="HD54" s="60"/>
      <c r="HE54" s="60"/>
      <c r="HF54" s="60"/>
      <c r="HG54" s="60"/>
      <c r="HH54" s="60"/>
      <c r="HI54" s="60"/>
      <c r="HJ54" s="60"/>
      <c r="HK54" s="60"/>
      <c r="HL54" s="60"/>
      <c r="HM54" s="60"/>
      <c r="HN54" s="60"/>
      <c r="HO54" s="60"/>
      <c r="HP54" s="60"/>
      <c r="HQ54" s="60"/>
      <c r="HR54" s="60"/>
      <c r="HS54" s="60"/>
      <c r="HT54" s="60"/>
      <c r="HU54" s="60"/>
      <c r="HV54" s="60"/>
      <c r="HW54" s="60"/>
      <c r="HX54" s="60"/>
      <c r="HY54" s="60"/>
      <c r="HZ54" s="60"/>
      <c r="IA54" s="60"/>
      <c r="IB54" s="60"/>
      <c r="IC54" s="60"/>
      <c r="ID54" s="60"/>
      <c r="IE54" s="60"/>
      <c r="IF54" s="60"/>
      <c r="IG54" s="60"/>
      <c r="IH54" s="60"/>
      <c r="II54" s="60"/>
      <c r="IJ54" s="60"/>
      <c r="IK54" s="60"/>
      <c r="IL54" s="60"/>
      <c r="IM54" s="60"/>
      <c r="IN54" s="60"/>
      <c r="IO54" s="60"/>
      <c r="IP54" s="60"/>
      <c r="IQ54" s="60"/>
      <c r="IR54" s="60"/>
      <c r="IS54" s="60"/>
      <c r="IT54" s="60"/>
      <c r="IU54" s="60"/>
      <c r="IV54" s="60"/>
      <c r="IW54" s="60"/>
      <c r="IX54" s="60"/>
      <c r="IY54" s="60"/>
      <c r="IZ54" s="60"/>
      <c r="JA54" s="60"/>
      <c r="JB54" s="60"/>
      <c r="JC54" s="60"/>
      <c r="JD54" s="60"/>
      <c r="JE54" s="60"/>
      <c r="JF54" s="60"/>
      <c r="JG54" s="60"/>
      <c r="JH54" s="60"/>
      <c r="JI54" s="60"/>
      <c r="JJ54" s="60"/>
      <c r="JK54" s="60"/>
      <c r="JL54" s="60"/>
      <c r="JM54" s="60"/>
      <c r="JN54" s="60"/>
      <c r="JO54" s="60"/>
      <c r="JP54" s="60"/>
      <c r="JQ54" s="60"/>
      <c r="JR54" s="60"/>
      <c r="JS54" s="60"/>
      <c r="JT54" s="60"/>
      <c r="JU54" s="60"/>
      <c r="JV54" s="60"/>
      <c r="JW54" s="60"/>
      <c r="JX54" s="60"/>
      <c r="JY54" s="60"/>
      <c r="JZ54" s="60"/>
      <c r="KA54" s="60"/>
      <c r="KB54" s="60"/>
      <c r="KC54" s="60"/>
      <c r="KD54" s="60"/>
      <c r="KE54" s="60"/>
      <c r="KF54" s="60"/>
      <c r="KG54" s="60"/>
      <c r="KH54" s="60"/>
      <c r="KI54" s="60"/>
      <c r="KJ54" s="60"/>
      <c r="KK54" s="60"/>
      <c r="KL54" s="60"/>
      <c r="KM54" s="60"/>
      <c r="KN54" s="60"/>
      <c r="KO54" s="60"/>
      <c r="KP54" s="60"/>
      <c r="KQ54" s="60"/>
      <c r="KR54" s="60"/>
      <c r="KS54" s="60"/>
      <c r="KT54" s="60"/>
      <c r="KU54" s="60"/>
      <c r="KV54" s="60"/>
      <c r="KW54" s="60"/>
      <c r="KX54" s="60"/>
      <c r="KY54" s="60"/>
      <c r="KZ54" s="60"/>
      <c r="LA54" s="60"/>
      <c r="LB54" s="60"/>
      <c r="LC54" s="60"/>
      <c r="LD54" s="60"/>
      <c r="LE54" s="60"/>
      <c r="LF54" s="60"/>
      <c r="LG54" s="60"/>
      <c r="LH54" s="60"/>
    </row>
    <row r="55" spans="1:320" s="17" customFormat="1" x14ac:dyDescent="0.25">
      <c r="A55" s="147"/>
      <c r="E55" s="156"/>
      <c r="F55" s="156"/>
      <c r="G55" s="156"/>
      <c r="H55" s="156"/>
      <c r="I55" s="156"/>
      <c r="J55" s="156"/>
      <c r="K55" s="156"/>
      <c r="L55" s="156"/>
      <c r="M55" s="156"/>
      <c r="N55" s="156"/>
      <c r="O55" s="156"/>
      <c r="P55" s="156"/>
      <c r="Q55" s="156"/>
      <c r="R55" s="156"/>
      <c r="S55" s="156"/>
      <c r="AC55" s="60"/>
      <c r="AD55" s="60"/>
      <c r="AE55" s="60"/>
      <c r="AF55" s="60"/>
      <c r="AG55" s="60"/>
      <c r="AH55" s="60"/>
      <c r="AI55" s="60"/>
      <c r="AJ55" s="60"/>
      <c r="AK55" s="60"/>
      <c r="AL55" s="60"/>
      <c r="AM55" s="60"/>
      <c r="AN55" s="60"/>
      <c r="AO55" s="60"/>
      <c r="AP55" s="60"/>
      <c r="AQ55" s="60"/>
      <c r="AR55" s="60"/>
      <c r="AS55" s="60"/>
      <c r="AT55" s="60"/>
      <c r="AU55" s="60"/>
      <c r="AV55" s="60"/>
      <c r="AW55" s="60"/>
      <c r="AX55" s="60"/>
      <c r="AY55" s="60"/>
      <c r="AZ55" s="60"/>
      <c r="BA55" s="60"/>
      <c r="BB55" s="60"/>
      <c r="BC55" s="60"/>
      <c r="BD55" s="60"/>
      <c r="BE55" s="60"/>
      <c r="BF55" s="60"/>
      <c r="BG55" s="60"/>
      <c r="BH55" s="60"/>
      <c r="BI55" s="60"/>
      <c r="BJ55" s="60"/>
      <c r="BK55" s="60"/>
      <c r="BL55" s="60"/>
      <c r="BM55" s="60"/>
      <c r="BN55" s="60"/>
      <c r="BO55" s="60"/>
      <c r="BP55" s="60"/>
      <c r="BQ55" s="60"/>
      <c r="BR55" s="60"/>
      <c r="BS55" s="60"/>
      <c r="BT55" s="60"/>
      <c r="BU55" s="60"/>
      <c r="BV55" s="60"/>
      <c r="BW55" s="60"/>
      <c r="BX55" s="60"/>
      <c r="BY55" s="60"/>
      <c r="BZ55" s="60"/>
      <c r="CA55" s="60"/>
      <c r="CB55" s="60"/>
      <c r="CC55" s="60"/>
      <c r="CD55" s="60"/>
      <c r="CE55" s="60"/>
      <c r="CF55" s="60"/>
      <c r="CG55" s="60"/>
      <c r="CH55" s="60"/>
      <c r="CI55" s="60"/>
      <c r="CJ55" s="60"/>
      <c r="CK55" s="60"/>
      <c r="CL55" s="60"/>
      <c r="CM55" s="60"/>
      <c r="CN55" s="60"/>
      <c r="CO55" s="60"/>
      <c r="CP55" s="60"/>
      <c r="CQ55" s="60"/>
      <c r="CR55" s="60"/>
      <c r="CS55" s="60"/>
      <c r="CT55" s="60"/>
      <c r="CU55" s="60"/>
      <c r="CV55" s="60"/>
      <c r="CW55" s="60"/>
      <c r="CX55" s="60"/>
      <c r="CY55" s="60"/>
      <c r="CZ55" s="60"/>
      <c r="DA55" s="60"/>
      <c r="DB55" s="60"/>
      <c r="DC55" s="60"/>
      <c r="DD55" s="60"/>
      <c r="DE55" s="60"/>
      <c r="DF55" s="60"/>
      <c r="DG55" s="60"/>
      <c r="DH55" s="60"/>
      <c r="DI55" s="60"/>
      <c r="DJ55" s="60"/>
      <c r="DK55" s="60"/>
      <c r="DL55" s="60"/>
      <c r="DM55" s="60"/>
      <c r="DN55" s="60"/>
      <c r="DO55" s="60"/>
      <c r="DP55" s="60"/>
      <c r="DQ55" s="60"/>
      <c r="DR55" s="60"/>
      <c r="DS55" s="60"/>
      <c r="DT55" s="60"/>
      <c r="DU55" s="60"/>
      <c r="DV55" s="60"/>
      <c r="DW55" s="60"/>
      <c r="DX55" s="60"/>
      <c r="DY55" s="60"/>
      <c r="DZ55" s="60"/>
      <c r="EA55" s="60"/>
      <c r="EB55" s="60"/>
      <c r="EC55" s="60"/>
      <c r="ED55" s="60"/>
      <c r="EE55" s="60"/>
      <c r="EF55" s="60"/>
      <c r="EG55" s="60"/>
      <c r="EH55" s="60"/>
      <c r="EI55" s="60"/>
      <c r="EJ55" s="60"/>
      <c r="EK55" s="60"/>
      <c r="EL55" s="60"/>
      <c r="EM55" s="60"/>
      <c r="EN55" s="60"/>
      <c r="EO55" s="60"/>
      <c r="EP55" s="60"/>
      <c r="EQ55" s="60"/>
      <c r="ER55" s="60"/>
      <c r="ES55" s="60"/>
      <c r="ET55" s="60"/>
      <c r="EU55" s="60"/>
      <c r="EV55" s="60"/>
      <c r="EW55" s="60"/>
      <c r="EX55" s="60"/>
      <c r="EY55" s="60"/>
      <c r="EZ55" s="60"/>
      <c r="FA55" s="60"/>
      <c r="FB55" s="60"/>
      <c r="FC55" s="60"/>
      <c r="FD55" s="60"/>
      <c r="FE55" s="60"/>
      <c r="FF55" s="60"/>
      <c r="FG55" s="60"/>
      <c r="FH55" s="60"/>
      <c r="FI55" s="60"/>
      <c r="FJ55" s="60"/>
      <c r="FK55" s="60"/>
      <c r="FL55" s="60"/>
      <c r="FM55" s="60"/>
      <c r="FN55" s="60"/>
      <c r="FO55" s="60"/>
      <c r="FP55" s="60"/>
      <c r="FQ55" s="60"/>
      <c r="FR55" s="60"/>
      <c r="FS55" s="60"/>
      <c r="FT55" s="60"/>
      <c r="FU55" s="60"/>
      <c r="FV55" s="60"/>
      <c r="FW55" s="60"/>
      <c r="FX55" s="60"/>
      <c r="FY55" s="60"/>
      <c r="FZ55" s="60"/>
      <c r="GA55" s="60"/>
      <c r="GB55" s="60"/>
      <c r="GC55" s="60"/>
      <c r="GD55" s="60"/>
      <c r="GE55" s="60"/>
      <c r="GF55" s="60"/>
      <c r="GG55" s="60"/>
      <c r="GH55" s="60"/>
      <c r="GI55" s="60"/>
      <c r="GJ55" s="60"/>
      <c r="GK55" s="60"/>
      <c r="GL55" s="60"/>
      <c r="GM55" s="60"/>
      <c r="GN55" s="60"/>
      <c r="GO55" s="60"/>
      <c r="GP55" s="60"/>
      <c r="GQ55" s="60"/>
      <c r="GR55" s="60"/>
      <c r="GS55" s="60"/>
      <c r="GT55" s="60"/>
      <c r="GU55" s="60"/>
      <c r="GV55" s="60"/>
      <c r="GW55" s="60"/>
      <c r="GX55" s="60"/>
      <c r="GY55" s="60"/>
      <c r="GZ55" s="60"/>
      <c r="HA55" s="60"/>
      <c r="HB55" s="60"/>
      <c r="HC55" s="60"/>
      <c r="HD55" s="60"/>
      <c r="HE55" s="60"/>
      <c r="HF55" s="60"/>
      <c r="HG55" s="60"/>
      <c r="HH55" s="60"/>
      <c r="HI55" s="60"/>
      <c r="HJ55" s="60"/>
      <c r="HK55" s="60"/>
      <c r="HL55" s="60"/>
      <c r="HM55" s="60"/>
      <c r="HN55" s="60"/>
      <c r="HO55" s="60"/>
      <c r="HP55" s="60"/>
      <c r="HQ55" s="60"/>
      <c r="HR55" s="60"/>
      <c r="HS55" s="60"/>
      <c r="HT55" s="60"/>
      <c r="HU55" s="60"/>
      <c r="HV55" s="60"/>
      <c r="HW55" s="60"/>
      <c r="HX55" s="60"/>
      <c r="HY55" s="60"/>
      <c r="HZ55" s="60"/>
      <c r="IA55" s="60"/>
      <c r="IB55" s="60"/>
      <c r="IC55" s="60"/>
      <c r="ID55" s="60"/>
      <c r="IE55" s="60"/>
      <c r="IF55" s="60"/>
      <c r="IG55" s="60"/>
      <c r="IH55" s="60"/>
      <c r="II55" s="60"/>
      <c r="IJ55" s="60"/>
      <c r="IK55" s="60"/>
      <c r="IL55" s="60"/>
      <c r="IM55" s="60"/>
      <c r="IN55" s="60"/>
      <c r="IO55" s="60"/>
      <c r="IP55" s="60"/>
      <c r="IQ55" s="60"/>
      <c r="IR55" s="60"/>
      <c r="IS55" s="60"/>
      <c r="IT55" s="60"/>
      <c r="IU55" s="60"/>
      <c r="IV55" s="60"/>
      <c r="IW55" s="60"/>
      <c r="IX55" s="60"/>
      <c r="IY55" s="60"/>
      <c r="IZ55" s="60"/>
      <c r="JA55" s="60"/>
      <c r="JB55" s="60"/>
      <c r="JC55" s="60"/>
      <c r="JD55" s="60"/>
      <c r="JE55" s="60"/>
      <c r="JF55" s="60"/>
      <c r="JG55" s="60"/>
      <c r="JH55" s="60"/>
      <c r="JI55" s="60"/>
      <c r="JJ55" s="60"/>
      <c r="JK55" s="60"/>
      <c r="JL55" s="60"/>
      <c r="JM55" s="60"/>
      <c r="JN55" s="60"/>
      <c r="JO55" s="60"/>
      <c r="JP55" s="60"/>
      <c r="JQ55" s="60"/>
      <c r="JR55" s="60"/>
      <c r="JS55" s="60"/>
      <c r="JT55" s="60"/>
      <c r="JU55" s="60"/>
      <c r="JV55" s="60"/>
      <c r="JW55" s="60"/>
      <c r="JX55" s="60"/>
      <c r="JY55" s="60"/>
      <c r="JZ55" s="60"/>
      <c r="KA55" s="60"/>
      <c r="KB55" s="60"/>
      <c r="KC55" s="60"/>
      <c r="KD55" s="60"/>
      <c r="KE55" s="60"/>
      <c r="KF55" s="60"/>
      <c r="KG55" s="60"/>
      <c r="KH55" s="60"/>
      <c r="KI55" s="60"/>
      <c r="KJ55" s="60"/>
      <c r="KK55" s="60"/>
      <c r="KL55" s="60"/>
      <c r="KM55" s="60"/>
      <c r="KN55" s="60"/>
      <c r="KO55" s="60"/>
      <c r="KP55" s="60"/>
      <c r="KQ55" s="60"/>
      <c r="KR55" s="60"/>
      <c r="KS55" s="60"/>
      <c r="KT55" s="60"/>
      <c r="KU55" s="60"/>
      <c r="KV55" s="60"/>
      <c r="KW55" s="60"/>
      <c r="KX55" s="60"/>
      <c r="KY55" s="60"/>
      <c r="KZ55" s="60"/>
      <c r="LA55" s="60"/>
      <c r="LB55" s="60"/>
      <c r="LC55" s="60"/>
      <c r="LD55" s="60"/>
      <c r="LE55" s="60"/>
      <c r="LF55" s="60"/>
      <c r="LG55" s="60"/>
      <c r="LH55" s="60"/>
    </row>
    <row r="56" spans="1:320" s="17" customFormat="1" x14ac:dyDescent="0.25">
      <c r="A56" s="147"/>
      <c r="E56" s="156"/>
      <c r="F56" s="156"/>
      <c r="G56" s="156"/>
      <c r="H56" s="156"/>
      <c r="I56" s="156"/>
      <c r="J56" s="156"/>
      <c r="K56" s="156"/>
      <c r="L56" s="156"/>
      <c r="M56" s="156"/>
      <c r="N56" s="156"/>
      <c r="O56" s="156"/>
      <c r="P56" s="156"/>
      <c r="Q56" s="156"/>
      <c r="R56" s="156"/>
      <c r="S56" s="156"/>
      <c r="AC56" s="60"/>
      <c r="AD56" s="60"/>
      <c r="AE56" s="60"/>
      <c r="AF56" s="60"/>
      <c r="AG56" s="60"/>
      <c r="AH56" s="60"/>
      <c r="AI56" s="60"/>
      <c r="AJ56" s="60"/>
      <c r="AK56" s="60"/>
      <c r="AL56" s="60"/>
      <c r="AM56" s="60"/>
      <c r="AN56" s="60"/>
      <c r="AO56" s="60"/>
      <c r="AP56" s="60"/>
      <c r="AQ56" s="60"/>
      <c r="AR56" s="60"/>
      <c r="AS56" s="60"/>
      <c r="AT56" s="60"/>
      <c r="AU56" s="60"/>
      <c r="AV56" s="60"/>
      <c r="AW56" s="60"/>
      <c r="AX56" s="60"/>
      <c r="AY56" s="60"/>
      <c r="AZ56" s="60"/>
      <c r="BA56" s="60"/>
      <c r="BB56" s="60"/>
      <c r="BC56" s="60"/>
      <c r="BD56" s="60"/>
      <c r="BE56" s="60"/>
      <c r="BF56" s="60"/>
      <c r="BG56" s="60"/>
      <c r="BH56" s="60"/>
      <c r="BI56" s="60"/>
      <c r="BJ56" s="60"/>
      <c r="BK56" s="60"/>
      <c r="BL56" s="60"/>
      <c r="BM56" s="60"/>
      <c r="BN56" s="60"/>
      <c r="BO56" s="60"/>
      <c r="BP56" s="60"/>
      <c r="BQ56" s="60"/>
      <c r="BR56" s="60"/>
      <c r="BS56" s="60"/>
      <c r="BT56" s="60"/>
      <c r="BU56" s="60"/>
      <c r="BV56" s="60"/>
      <c r="BW56" s="60"/>
      <c r="BX56" s="60"/>
      <c r="BY56" s="60"/>
      <c r="BZ56" s="60"/>
      <c r="CA56" s="60"/>
      <c r="CB56" s="60"/>
      <c r="CC56" s="60"/>
      <c r="CD56" s="60"/>
      <c r="CE56" s="60"/>
      <c r="CF56" s="60"/>
      <c r="CG56" s="60"/>
      <c r="CH56" s="60"/>
      <c r="CI56" s="60"/>
      <c r="CJ56" s="60"/>
      <c r="CK56" s="60"/>
      <c r="CL56" s="60"/>
      <c r="CM56" s="60"/>
      <c r="CN56" s="60"/>
      <c r="CO56" s="60"/>
      <c r="CP56" s="60"/>
      <c r="CQ56" s="60"/>
      <c r="CR56" s="60"/>
      <c r="CS56" s="60"/>
      <c r="CT56" s="60"/>
      <c r="CU56" s="60"/>
      <c r="CV56" s="60"/>
      <c r="CW56" s="60"/>
      <c r="CX56" s="60"/>
      <c r="CY56" s="60"/>
      <c r="CZ56" s="60"/>
      <c r="DA56" s="60"/>
      <c r="DB56" s="60"/>
      <c r="DC56" s="60"/>
      <c r="DD56" s="60"/>
      <c r="DE56" s="60"/>
      <c r="DF56" s="60"/>
      <c r="DG56" s="60"/>
      <c r="DH56" s="60"/>
      <c r="DI56" s="60"/>
      <c r="DJ56" s="60"/>
      <c r="DK56" s="60"/>
      <c r="DL56" s="60"/>
      <c r="DM56" s="60"/>
      <c r="DN56" s="60"/>
      <c r="DO56" s="60"/>
      <c r="DP56" s="60"/>
      <c r="DQ56" s="60"/>
      <c r="DR56" s="60"/>
      <c r="DS56" s="60"/>
      <c r="DT56" s="60"/>
      <c r="DU56" s="60"/>
      <c r="DV56" s="60"/>
      <c r="DW56" s="60"/>
      <c r="DX56" s="60"/>
      <c r="DY56" s="60"/>
      <c r="DZ56" s="60"/>
      <c r="EA56" s="60"/>
      <c r="EB56" s="60"/>
      <c r="EC56" s="60"/>
      <c r="ED56" s="60"/>
      <c r="EE56" s="60"/>
      <c r="EF56" s="60"/>
      <c r="EG56" s="60"/>
      <c r="EH56" s="60"/>
      <c r="EI56" s="60"/>
      <c r="EJ56" s="60"/>
      <c r="EK56" s="60"/>
      <c r="EL56" s="60"/>
      <c r="EM56" s="60"/>
      <c r="EN56" s="60"/>
      <c r="EO56" s="60"/>
      <c r="EP56" s="60"/>
      <c r="EQ56" s="60"/>
      <c r="ER56" s="60"/>
      <c r="ES56" s="60"/>
      <c r="ET56" s="60"/>
      <c r="EU56" s="60"/>
      <c r="EV56" s="60"/>
      <c r="EW56" s="60"/>
      <c r="EX56" s="60"/>
      <c r="EY56" s="60"/>
      <c r="EZ56" s="60"/>
      <c r="FA56" s="60"/>
      <c r="FB56" s="60"/>
      <c r="FC56" s="60"/>
      <c r="FD56" s="60"/>
      <c r="FE56" s="60"/>
      <c r="FF56" s="60"/>
      <c r="FG56" s="60"/>
      <c r="FH56" s="60"/>
      <c r="FI56" s="60"/>
      <c r="FJ56" s="60"/>
      <c r="FK56" s="60"/>
      <c r="FL56" s="60"/>
      <c r="FM56" s="60"/>
      <c r="FN56" s="60"/>
      <c r="FO56" s="60"/>
      <c r="FP56" s="60"/>
      <c r="FQ56" s="60"/>
      <c r="FR56" s="60"/>
      <c r="FS56" s="60"/>
      <c r="FT56" s="60"/>
      <c r="FU56" s="60"/>
      <c r="FV56" s="60"/>
      <c r="FW56" s="60"/>
      <c r="FX56" s="60"/>
      <c r="FY56" s="60"/>
      <c r="FZ56" s="60"/>
      <c r="GA56" s="60"/>
      <c r="GB56" s="60"/>
      <c r="GC56" s="60"/>
      <c r="GD56" s="60"/>
      <c r="GE56" s="60"/>
      <c r="GF56" s="60"/>
      <c r="GG56" s="60"/>
      <c r="GH56" s="60"/>
      <c r="GI56" s="60"/>
      <c r="GJ56" s="60"/>
      <c r="GK56" s="60"/>
      <c r="GL56" s="60"/>
      <c r="GM56" s="60"/>
      <c r="GN56" s="60"/>
      <c r="GO56" s="60"/>
      <c r="GP56" s="60"/>
      <c r="GQ56" s="60"/>
      <c r="GR56" s="60"/>
      <c r="GS56" s="60"/>
      <c r="GT56" s="60"/>
      <c r="GU56" s="60"/>
      <c r="GV56" s="60"/>
      <c r="GW56" s="60"/>
      <c r="GX56" s="60"/>
      <c r="GY56" s="60"/>
      <c r="GZ56" s="60"/>
      <c r="HA56" s="60"/>
      <c r="HB56" s="60"/>
      <c r="HC56" s="60"/>
      <c r="HD56" s="60"/>
      <c r="HE56" s="60"/>
      <c r="HF56" s="60"/>
      <c r="HG56" s="60"/>
      <c r="HH56" s="60"/>
      <c r="HI56" s="60"/>
      <c r="HJ56" s="60"/>
      <c r="HK56" s="60"/>
      <c r="HL56" s="60"/>
      <c r="HM56" s="60"/>
      <c r="HN56" s="60"/>
      <c r="HO56" s="60"/>
      <c r="HP56" s="60"/>
      <c r="HQ56" s="60"/>
      <c r="HR56" s="60"/>
      <c r="HS56" s="60"/>
      <c r="HT56" s="60"/>
      <c r="HU56" s="60"/>
      <c r="HV56" s="60"/>
      <c r="HW56" s="60"/>
      <c r="HX56" s="60"/>
      <c r="HY56" s="60"/>
      <c r="HZ56" s="60"/>
      <c r="IA56" s="60"/>
      <c r="IB56" s="60"/>
      <c r="IC56" s="60"/>
      <c r="ID56" s="60"/>
      <c r="IE56" s="60"/>
      <c r="IF56" s="60"/>
      <c r="IG56" s="60"/>
      <c r="IH56" s="60"/>
      <c r="II56" s="60"/>
      <c r="IJ56" s="60"/>
      <c r="IK56" s="60"/>
      <c r="IL56" s="60"/>
      <c r="IM56" s="60"/>
      <c r="IN56" s="60"/>
      <c r="IO56" s="60"/>
      <c r="IP56" s="60"/>
      <c r="IQ56" s="60"/>
      <c r="IR56" s="60"/>
      <c r="IS56" s="60"/>
      <c r="IT56" s="60"/>
      <c r="IU56" s="60"/>
      <c r="IV56" s="60"/>
      <c r="IW56" s="60"/>
      <c r="IX56" s="60"/>
      <c r="IY56" s="60"/>
      <c r="IZ56" s="60"/>
      <c r="JA56" s="60"/>
      <c r="JB56" s="60"/>
      <c r="JC56" s="60"/>
      <c r="JD56" s="60"/>
      <c r="JE56" s="60"/>
      <c r="JF56" s="60"/>
      <c r="JG56" s="60"/>
      <c r="JH56" s="60"/>
      <c r="JI56" s="60"/>
      <c r="JJ56" s="60"/>
      <c r="JK56" s="60"/>
      <c r="JL56" s="60"/>
      <c r="JM56" s="60"/>
      <c r="JN56" s="60"/>
      <c r="JO56" s="60"/>
      <c r="JP56" s="60"/>
      <c r="JQ56" s="60"/>
      <c r="JR56" s="60"/>
      <c r="JS56" s="60"/>
      <c r="JT56" s="60"/>
      <c r="JU56" s="60"/>
      <c r="JV56" s="60"/>
      <c r="JW56" s="60"/>
      <c r="JX56" s="60"/>
      <c r="JY56" s="60"/>
      <c r="JZ56" s="60"/>
      <c r="KA56" s="60"/>
      <c r="KB56" s="60"/>
      <c r="KC56" s="60"/>
      <c r="KD56" s="60"/>
      <c r="KE56" s="60"/>
      <c r="KF56" s="60"/>
      <c r="KG56" s="60"/>
      <c r="KH56" s="60"/>
      <c r="KI56" s="60"/>
      <c r="KJ56" s="60"/>
      <c r="KK56" s="60"/>
      <c r="KL56" s="60"/>
      <c r="KM56" s="60"/>
      <c r="KN56" s="60"/>
      <c r="KO56" s="60"/>
      <c r="KP56" s="60"/>
      <c r="KQ56" s="60"/>
      <c r="KR56" s="60"/>
      <c r="KS56" s="60"/>
      <c r="KT56" s="60"/>
      <c r="KU56" s="60"/>
      <c r="KV56" s="60"/>
      <c r="KW56" s="60"/>
      <c r="KX56" s="60"/>
      <c r="KY56" s="60"/>
      <c r="KZ56" s="60"/>
      <c r="LA56" s="60"/>
      <c r="LB56" s="60"/>
      <c r="LC56" s="60"/>
      <c r="LD56" s="60"/>
      <c r="LE56" s="60"/>
      <c r="LF56" s="60"/>
      <c r="LG56" s="60"/>
      <c r="LH56" s="60"/>
    </row>
    <row r="57" spans="1:320" s="17" customFormat="1" x14ac:dyDescent="0.25">
      <c r="A57" s="147"/>
      <c r="E57" s="156"/>
      <c r="F57" s="156"/>
      <c r="G57" s="156"/>
      <c r="H57" s="156"/>
      <c r="I57" s="156"/>
      <c r="J57" s="156"/>
      <c r="K57" s="156"/>
      <c r="L57" s="156"/>
      <c r="M57" s="156"/>
      <c r="N57" s="156"/>
      <c r="O57" s="156"/>
      <c r="P57" s="156"/>
      <c r="Q57" s="156"/>
      <c r="R57" s="156"/>
      <c r="S57" s="156"/>
      <c r="AC57" s="60"/>
      <c r="AD57" s="60"/>
      <c r="AE57" s="60"/>
      <c r="AF57" s="60"/>
      <c r="AG57" s="60"/>
      <c r="AH57" s="60"/>
      <c r="AI57" s="60"/>
      <c r="AJ57" s="60"/>
      <c r="AK57" s="60"/>
      <c r="AL57" s="60"/>
      <c r="AM57" s="60"/>
      <c r="AN57" s="60"/>
      <c r="AO57" s="60"/>
      <c r="AP57" s="60"/>
      <c r="AQ57" s="60"/>
      <c r="AR57" s="60"/>
      <c r="AS57" s="60"/>
      <c r="AT57" s="60"/>
      <c r="AU57" s="60"/>
      <c r="AV57" s="60"/>
      <c r="AW57" s="60"/>
      <c r="AX57" s="60"/>
      <c r="AY57" s="60"/>
      <c r="AZ57" s="60"/>
      <c r="BA57" s="60"/>
      <c r="BB57" s="60"/>
      <c r="BC57" s="60"/>
      <c r="BD57" s="60"/>
      <c r="BE57" s="60"/>
      <c r="BF57" s="60"/>
      <c r="BG57" s="60"/>
      <c r="BH57" s="60"/>
      <c r="BI57" s="60"/>
      <c r="BJ57" s="60"/>
      <c r="BK57" s="60"/>
      <c r="BL57" s="60"/>
      <c r="BM57" s="60"/>
      <c r="BN57" s="60"/>
      <c r="BO57" s="60"/>
      <c r="BP57" s="60"/>
      <c r="BQ57" s="60"/>
      <c r="BR57" s="60"/>
      <c r="BS57" s="60"/>
      <c r="BT57" s="60"/>
      <c r="BU57" s="60"/>
      <c r="BV57" s="60"/>
      <c r="BW57" s="60"/>
      <c r="BX57" s="60"/>
      <c r="BY57" s="60"/>
      <c r="BZ57" s="60"/>
      <c r="CA57" s="60"/>
      <c r="CB57" s="60"/>
      <c r="CC57" s="60"/>
      <c r="CD57" s="60"/>
      <c r="CE57" s="60"/>
      <c r="CF57" s="60"/>
      <c r="CG57" s="60"/>
      <c r="CH57" s="60"/>
      <c r="CI57" s="60"/>
      <c r="CJ57" s="60"/>
      <c r="CK57" s="60"/>
      <c r="CL57" s="60"/>
      <c r="CM57" s="60"/>
      <c r="CN57" s="60"/>
      <c r="CO57" s="60"/>
      <c r="CP57" s="60"/>
      <c r="CQ57" s="60"/>
      <c r="CR57" s="60"/>
      <c r="CS57" s="60"/>
      <c r="CT57" s="60"/>
      <c r="CU57" s="60"/>
      <c r="CV57" s="60"/>
      <c r="CW57" s="60"/>
      <c r="CX57" s="60"/>
      <c r="CY57" s="60"/>
      <c r="CZ57" s="60"/>
      <c r="DA57" s="60"/>
      <c r="DB57" s="60"/>
      <c r="DC57" s="60"/>
      <c r="DD57" s="60"/>
      <c r="DE57" s="60"/>
      <c r="DF57" s="60"/>
      <c r="DG57" s="60"/>
      <c r="DH57" s="60"/>
      <c r="DI57" s="60"/>
      <c r="DJ57" s="60"/>
      <c r="DK57" s="60"/>
      <c r="DL57" s="60"/>
      <c r="DM57" s="60"/>
      <c r="DN57" s="60"/>
      <c r="DO57" s="60"/>
      <c r="DP57" s="60"/>
      <c r="DQ57" s="60"/>
      <c r="DR57" s="60"/>
      <c r="DS57" s="60"/>
      <c r="DT57" s="60"/>
      <c r="DU57" s="60"/>
      <c r="DV57" s="60"/>
      <c r="DW57" s="60"/>
      <c r="DX57" s="60"/>
      <c r="DY57" s="60"/>
      <c r="DZ57" s="60"/>
      <c r="EA57" s="60"/>
      <c r="EB57" s="60"/>
      <c r="EC57" s="60"/>
      <c r="ED57" s="60"/>
      <c r="EE57" s="60"/>
      <c r="EF57" s="60"/>
      <c r="EG57" s="60"/>
      <c r="EH57" s="60"/>
      <c r="EI57" s="60"/>
      <c r="EJ57" s="60"/>
      <c r="EK57" s="60"/>
      <c r="EL57" s="60"/>
      <c r="EM57" s="60"/>
      <c r="EN57" s="60"/>
      <c r="EO57" s="60"/>
      <c r="EP57" s="60"/>
      <c r="EQ57" s="60"/>
      <c r="ER57" s="60"/>
      <c r="ES57" s="60"/>
      <c r="ET57" s="60"/>
      <c r="EU57" s="60"/>
      <c r="EV57" s="60"/>
      <c r="EW57" s="60"/>
      <c r="EX57" s="60"/>
      <c r="EY57" s="60"/>
      <c r="EZ57" s="60"/>
      <c r="FA57" s="60"/>
      <c r="FB57" s="60"/>
      <c r="FC57" s="60"/>
      <c r="FD57" s="60"/>
      <c r="FE57" s="60"/>
      <c r="FF57" s="60"/>
      <c r="FG57" s="60"/>
      <c r="FH57" s="60"/>
      <c r="FI57" s="60"/>
      <c r="FJ57" s="60"/>
      <c r="FK57" s="60"/>
      <c r="FL57" s="60"/>
      <c r="FM57" s="60"/>
      <c r="FN57" s="60"/>
      <c r="FO57" s="60"/>
      <c r="FP57" s="60"/>
      <c r="FQ57" s="60"/>
      <c r="FR57" s="60"/>
      <c r="FS57" s="60"/>
      <c r="FT57" s="60"/>
      <c r="FU57" s="60"/>
      <c r="FV57" s="60"/>
      <c r="FW57" s="60"/>
      <c r="FX57" s="60"/>
      <c r="FY57" s="60"/>
      <c r="FZ57" s="60"/>
      <c r="GA57" s="60"/>
      <c r="GB57" s="60"/>
      <c r="GC57" s="60"/>
      <c r="GD57" s="60"/>
      <c r="GE57" s="60"/>
      <c r="GF57" s="60"/>
      <c r="GG57" s="60"/>
      <c r="GH57" s="60"/>
      <c r="GI57" s="60"/>
      <c r="GJ57" s="60"/>
      <c r="GK57" s="60"/>
      <c r="GL57" s="60"/>
      <c r="GM57" s="60"/>
      <c r="GN57" s="60"/>
      <c r="GO57" s="60"/>
      <c r="GP57" s="60"/>
      <c r="GQ57" s="60"/>
      <c r="GR57" s="60"/>
      <c r="GS57" s="60"/>
      <c r="GT57" s="60"/>
      <c r="GU57" s="60"/>
      <c r="GV57" s="60"/>
      <c r="GW57" s="60"/>
      <c r="GX57" s="60"/>
      <c r="GY57" s="60"/>
      <c r="GZ57" s="60"/>
      <c r="HA57" s="60"/>
      <c r="HB57" s="60"/>
      <c r="HC57" s="60"/>
      <c r="HD57" s="60"/>
      <c r="HE57" s="60"/>
      <c r="HF57" s="60"/>
      <c r="HG57" s="60"/>
      <c r="HH57" s="60"/>
      <c r="HI57" s="60"/>
      <c r="HJ57" s="60"/>
      <c r="HK57" s="60"/>
      <c r="HL57" s="60"/>
      <c r="HM57" s="60"/>
      <c r="HN57" s="60"/>
      <c r="HO57" s="60"/>
      <c r="HP57" s="60"/>
      <c r="HQ57" s="60"/>
      <c r="HR57" s="60"/>
      <c r="HS57" s="60"/>
      <c r="HT57" s="60"/>
      <c r="HU57" s="60"/>
      <c r="HV57" s="60"/>
      <c r="HW57" s="60"/>
      <c r="HX57" s="60"/>
      <c r="HY57" s="60"/>
      <c r="HZ57" s="60"/>
      <c r="IA57" s="60"/>
      <c r="IB57" s="60"/>
      <c r="IC57" s="60"/>
      <c r="ID57" s="60"/>
      <c r="IE57" s="60"/>
      <c r="IF57" s="60"/>
      <c r="IG57" s="60"/>
      <c r="IH57" s="60"/>
      <c r="II57" s="60"/>
      <c r="IJ57" s="60"/>
      <c r="IK57" s="60"/>
      <c r="IL57" s="60"/>
      <c r="IM57" s="60"/>
      <c r="IN57" s="60"/>
      <c r="IO57" s="60"/>
      <c r="IP57" s="60"/>
      <c r="IQ57" s="60"/>
      <c r="IR57" s="60"/>
      <c r="IS57" s="60"/>
      <c r="IT57" s="60"/>
      <c r="IU57" s="60"/>
      <c r="IV57" s="60"/>
      <c r="IW57" s="60"/>
      <c r="IX57" s="60"/>
      <c r="IY57" s="60"/>
      <c r="IZ57" s="60"/>
      <c r="JA57" s="60"/>
      <c r="JB57" s="60"/>
      <c r="JC57" s="60"/>
      <c r="JD57" s="60"/>
      <c r="JE57" s="60"/>
      <c r="JF57" s="60"/>
      <c r="JG57" s="60"/>
      <c r="JH57" s="60"/>
      <c r="JI57" s="60"/>
      <c r="JJ57" s="60"/>
      <c r="JK57" s="60"/>
      <c r="JL57" s="60"/>
      <c r="JM57" s="60"/>
      <c r="JN57" s="60"/>
      <c r="JO57" s="60"/>
      <c r="JP57" s="60"/>
      <c r="JQ57" s="60"/>
      <c r="JR57" s="60"/>
      <c r="JS57" s="60"/>
      <c r="JT57" s="60"/>
      <c r="JU57" s="60"/>
      <c r="JV57" s="60"/>
      <c r="JW57" s="60"/>
      <c r="JX57" s="60"/>
      <c r="JY57" s="60"/>
      <c r="JZ57" s="60"/>
      <c r="KA57" s="60"/>
      <c r="KB57" s="60"/>
      <c r="KC57" s="60"/>
      <c r="KD57" s="60"/>
      <c r="KE57" s="60"/>
      <c r="KF57" s="60"/>
      <c r="KG57" s="60"/>
      <c r="KH57" s="60"/>
      <c r="KI57" s="60"/>
      <c r="KJ57" s="60"/>
      <c r="KK57" s="60"/>
      <c r="KL57" s="60"/>
      <c r="KM57" s="60"/>
      <c r="KN57" s="60"/>
      <c r="KO57" s="60"/>
      <c r="KP57" s="60"/>
      <c r="KQ57" s="60"/>
      <c r="KR57" s="60"/>
      <c r="KS57" s="60"/>
      <c r="KT57" s="60"/>
      <c r="KU57" s="60"/>
      <c r="KV57" s="60"/>
      <c r="KW57" s="60"/>
      <c r="KX57" s="60"/>
      <c r="KY57" s="60"/>
      <c r="KZ57" s="60"/>
      <c r="LA57" s="60"/>
      <c r="LB57" s="60"/>
      <c r="LC57" s="60"/>
      <c r="LD57" s="60"/>
      <c r="LE57" s="60"/>
      <c r="LF57" s="60"/>
      <c r="LG57" s="60"/>
      <c r="LH57" s="60"/>
    </row>
    <row r="58" spans="1:320" s="17" customFormat="1" x14ac:dyDescent="0.25">
      <c r="A58" s="147"/>
      <c r="E58" s="156"/>
      <c r="F58" s="156"/>
      <c r="G58" s="156"/>
      <c r="H58" s="156"/>
      <c r="I58" s="156"/>
      <c r="J58" s="156"/>
      <c r="K58" s="156"/>
      <c r="L58" s="156"/>
      <c r="M58" s="156"/>
      <c r="N58" s="156"/>
      <c r="O58" s="156"/>
      <c r="P58" s="156"/>
      <c r="Q58" s="156"/>
      <c r="R58" s="156"/>
      <c r="S58" s="156"/>
      <c r="AC58" s="60"/>
      <c r="AD58" s="60"/>
      <c r="AE58" s="60"/>
      <c r="AF58" s="60"/>
      <c r="AG58" s="60"/>
      <c r="AH58" s="60"/>
      <c r="AI58" s="60"/>
      <c r="AJ58" s="60"/>
      <c r="AK58" s="60"/>
      <c r="AL58" s="60"/>
      <c r="AM58" s="60"/>
      <c r="AN58" s="60"/>
      <c r="AO58" s="60"/>
      <c r="AP58" s="60"/>
      <c r="AQ58" s="60"/>
      <c r="AR58" s="60"/>
      <c r="AS58" s="60"/>
      <c r="AT58" s="60"/>
      <c r="AU58" s="60"/>
      <c r="AV58" s="60"/>
      <c r="AW58" s="60"/>
      <c r="AX58" s="60"/>
      <c r="AY58" s="60"/>
      <c r="AZ58" s="60"/>
      <c r="BA58" s="60"/>
      <c r="BB58" s="60"/>
      <c r="BC58" s="60"/>
      <c r="BD58" s="60"/>
      <c r="BE58" s="60"/>
      <c r="BF58" s="60"/>
      <c r="BG58" s="60"/>
      <c r="BH58" s="60"/>
      <c r="BI58" s="60"/>
      <c r="BJ58" s="60"/>
      <c r="BK58" s="60"/>
      <c r="BL58" s="60"/>
      <c r="BM58" s="60"/>
      <c r="BN58" s="60"/>
      <c r="BO58" s="60"/>
      <c r="BP58" s="60"/>
      <c r="BQ58" s="60"/>
      <c r="BR58" s="60"/>
      <c r="BS58" s="60"/>
      <c r="BT58" s="60"/>
      <c r="BU58" s="60"/>
      <c r="BV58" s="60"/>
      <c r="BW58" s="60"/>
      <c r="BX58" s="60"/>
      <c r="BY58" s="60"/>
      <c r="BZ58" s="60"/>
      <c r="CA58" s="60"/>
      <c r="CB58" s="60"/>
      <c r="CC58" s="60"/>
      <c r="CD58" s="60"/>
      <c r="CE58" s="60"/>
      <c r="CF58" s="60"/>
      <c r="CG58" s="60"/>
      <c r="CH58" s="60"/>
      <c r="CI58" s="60"/>
      <c r="CJ58" s="60"/>
      <c r="CK58" s="60"/>
      <c r="CL58" s="60"/>
      <c r="CM58" s="60"/>
      <c r="CN58" s="60"/>
      <c r="CO58" s="60"/>
      <c r="CP58" s="60"/>
      <c r="CQ58" s="60"/>
      <c r="CR58" s="60"/>
      <c r="CS58" s="60"/>
      <c r="CT58" s="60"/>
      <c r="CU58" s="60"/>
      <c r="CV58" s="60"/>
      <c r="CW58" s="60"/>
      <c r="CX58" s="60"/>
      <c r="CY58" s="60"/>
      <c r="CZ58" s="60"/>
      <c r="DA58" s="60"/>
      <c r="DB58" s="60"/>
      <c r="DC58" s="60"/>
      <c r="DD58" s="60"/>
      <c r="DE58" s="60"/>
      <c r="DF58" s="60"/>
      <c r="DG58" s="60"/>
      <c r="DH58" s="60"/>
      <c r="DI58" s="60"/>
      <c r="DJ58" s="60"/>
      <c r="DK58" s="60"/>
      <c r="DL58" s="60"/>
      <c r="DM58" s="60"/>
      <c r="DN58" s="60"/>
      <c r="DO58" s="60"/>
      <c r="DP58" s="60"/>
      <c r="DQ58" s="60"/>
      <c r="DR58" s="60"/>
      <c r="DS58" s="60"/>
      <c r="DT58" s="60"/>
      <c r="DU58" s="60"/>
      <c r="DV58" s="60"/>
      <c r="DW58" s="60"/>
      <c r="DX58" s="60"/>
      <c r="DY58" s="60"/>
      <c r="DZ58" s="60"/>
      <c r="EA58" s="60"/>
      <c r="EB58" s="60"/>
      <c r="EC58" s="60"/>
      <c r="ED58" s="60"/>
      <c r="EE58" s="60"/>
      <c r="EF58" s="60"/>
      <c r="EG58" s="60"/>
      <c r="EH58" s="60"/>
      <c r="EI58" s="60"/>
      <c r="EJ58" s="60"/>
      <c r="EK58" s="60"/>
      <c r="EL58" s="60"/>
      <c r="EM58" s="60"/>
      <c r="EN58" s="60"/>
      <c r="EO58" s="60"/>
      <c r="EP58" s="60"/>
      <c r="EQ58" s="60"/>
      <c r="ER58" s="60"/>
      <c r="ES58" s="60"/>
      <c r="ET58" s="60"/>
      <c r="EU58" s="60"/>
      <c r="EV58" s="60"/>
      <c r="EW58" s="60"/>
      <c r="EX58" s="60"/>
      <c r="EY58" s="60"/>
      <c r="EZ58" s="60"/>
      <c r="FA58" s="60"/>
      <c r="FB58" s="60"/>
      <c r="FC58" s="60"/>
      <c r="FD58" s="60"/>
      <c r="FE58" s="60"/>
      <c r="FF58" s="60"/>
      <c r="FG58" s="60"/>
      <c r="FH58" s="60"/>
      <c r="FI58" s="60"/>
      <c r="FJ58" s="60"/>
      <c r="FK58" s="60"/>
      <c r="FL58" s="60"/>
      <c r="FM58" s="60"/>
      <c r="FN58" s="60"/>
      <c r="FO58" s="60"/>
      <c r="FP58" s="60"/>
      <c r="FQ58" s="60"/>
      <c r="FR58" s="60"/>
      <c r="FS58" s="60"/>
      <c r="FT58" s="60"/>
      <c r="FU58" s="60"/>
      <c r="FV58" s="60"/>
      <c r="FW58" s="60"/>
      <c r="FX58" s="60"/>
      <c r="FY58" s="60"/>
      <c r="FZ58" s="60"/>
      <c r="GA58" s="60"/>
      <c r="GB58" s="60"/>
      <c r="GC58" s="60"/>
      <c r="GD58" s="60"/>
      <c r="GE58" s="60"/>
      <c r="GF58" s="60"/>
      <c r="GG58" s="60"/>
      <c r="GH58" s="60"/>
      <c r="GI58" s="60"/>
      <c r="GJ58" s="60"/>
      <c r="GK58" s="60"/>
      <c r="GL58" s="60"/>
      <c r="GM58" s="60"/>
      <c r="GN58" s="60"/>
      <c r="GO58" s="60"/>
      <c r="GP58" s="60"/>
      <c r="GQ58" s="60"/>
      <c r="GR58" s="60"/>
      <c r="GS58" s="60"/>
      <c r="GT58" s="60"/>
      <c r="GU58" s="60"/>
      <c r="GV58" s="60"/>
      <c r="GW58" s="60"/>
      <c r="GX58" s="60"/>
      <c r="GY58" s="60"/>
      <c r="GZ58" s="60"/>
      <c r="HA58" s="60"/>
      <c r="HB58" s="60"/>
      <c r="HC58" s="60"/>
      <c r="HD58" s="60"/>
      <c r="HE58" s="60"/>
      <c r="HF58" s="60"/>
      <c r="HG58" s="60"/>
      <c r="HH58" s="60"/>
      <c r="HI58" s="60"/>
      <c r="HJ58" s="60"/>
      <c r="HK58" s="60"/>
      <c r="HL58" s="60"/>
      <c r="HM58" s="60"/>
      <c r="HN58" s="60"/>
      <c r="HO58" s="60"/>
      <c r="HP58" s="60"/>
      <c r="HQ58" s="60"/>
      <c r="HR58" s="60"/>
      <c r="HS58" s="60"/>
      <c r="HT58" s="60"/>
      <c r="HU58" s="60"/>
      <c r="HV58" s="60"/>
      <c r="HW58" s="60"/>
      <c r="HX58" s="60"/>
      <c r="HY58" s="60"/>
      <c r="HZ58" s="60"/>
      <c r="IA58" s="60"/>
      <c r="IB58" s="60"/>
      <c r="IC58" s="60"/>
      <c r="ID58" s="60"/>
      <c r="IE58" s="60"/>
      <c r="IF58" s="60"/>
      <c r="IG58" s="60"/>
      <c r="IH58" s="60"/>
      <c r="II58" s="60"/>
      <c r="IJ58" s="60"/>
      <c r="IK58" s="60"/>
      <c r="IL58" s="60"/>
      <c r="IM58" s="60"/>
      <c r="IN58" s="60"/>
      <c r="IO58" s="60"/>
      <c r="IP58" s="60"/>
      <c r="IQ58" s="60"/>
      <c r="IR58" s="60"/>
      <c r="IS58" s="60"/>
      <c r="IT58" s="60"/>
      <c r="IU58" s="60"/>
      <c r="IV58" s="60"/>
      <c r="IW58" s="60"/>
      <c r="IX58" s="60"/>
      <c r="IY58" s="60"/>
      <c r="IZ58" s="60"/>
      <c r="JA58" s="60"/>
      <c r="JB58" s="60"/>
      <c r="JC58" s="60"/>
      <c r="JD58" s="60"/>
      <c r="JE58" s="60"/>
      <c r="JF58" s="60"/>
      <c r="JG58" s="60"/>
      <c r="JH58" s="60"/>
      <c r="JI58" s="60"/>
      <c r="JJ58" s="60"/>
      <c r="JK58" s="60"/>
      <c r="JL58" s="60"/>
      <c r="JM58" s="60"/>
      <c r="JN58" s="60"/>
      <c r="JO58" s="60"/>
      <c r="JP58" s="60"/>
      <c r="JQ58" s="60"/>
      <c r="JR58" s="60"/>
      <c r="JS58" s="60"/>
      <c r="JT58" s="60"/>
      <c r="JU58" s="60"/>
      <c r="JV58" s="60"/>
      <c r="JW58" s="60"/>
      <c r="JX58" s="60"/>
      <c r="JY58" s="60"/>
      <c r="JZ58" s="60"/>
      <c r="KA58" s="60"/>
      <c r="KB58" s="60"/>
      <c r="KC58" s="60"/>
      <c r="KD58" s="60"/>
      <c r="KE58" s="60"/>
      <c r="KF58" s="60"/>
      <c r="KG58" s="60"/>
      <c r="KH58" s="60"/>
      <c r="KI58" s="60"/>
      <c r="KJ58" s="60"/>
      <c r="KK58" s="60"/>
      <c r="KL58" s="60"/>
      <c r="KM58" s="60"/>
      <c r="KN58" s="60"/>
      <c r="KO58" s="60"/>
      <c r="KP58" s="60"/>
      <c r="KQ58" s="60"/>
      <c r="KR58" s="60"/>
      <c r="KS58" s="60"/>
      <c r="KT58" s="60"/>
      <c r="KU58" s="60"/>
      <c r="KV58" s="60"/>
      <c r="KW58" s="60"/>
      <c r="KX58" s="60"/>
      <c r="KY58" s="60"/>
      <c r="KZ58" s="60"/>
      <c r="LA58" s="60"/>
      <c r="LB58" s="60"/>
      <c r="LC58" s="60"/>
      <c r="LD58" s="60"/>
      <c r="LE58" s="60"/>
      <c r="LF58" s="60"/>
      <c r="LG58" s="60"/>
      <c r="LH58" s="60"/>
    </row>
    <row r="59" spans="1:320" s="17" customFormat="1" x14ac:dyDescent="0.25">
      <c r="A59" s="147"/>
      <c r="E59" s="156"/>
      <c r="F59" s="156"/>
      <c r="G59" s="156"/>
      <c r="H59" s="156"/>
      <c r="I59" s="156"/>
      <c r="J59" s="156"/>
      <c r="K59" s="156"/>
      <c r="L59" s="156"/>
      <c r="M59" s="156"/>
      <c r="N59" s="156"/>
      <c r="O59" s="156"/>
      <c r="P59" s="156"/>
      <c r="Q59" s="156"/>
      <c r="R59" s="156"/>
      <c r="S59" s="156"/>
      <c r="AC59" s="60"/>
      <c r="AD59" s="60"/>
      <c r="AE59" s="60"/>
      <c r="AF59" s="60"/>
      <c r="AG59" s="60"/>
      <c r="AH59" s="60"/>
      <c r="AI59" s="60"/>
      <c r="AJ59" s="60"/>
      <c r="AK59" s="60"/>
      <c r="AL59" s="60"/>
      <c r="AM59" s="60"/>
      <c r="AN59" s="60"/>
      <c r="AO59" s="60"/>
      <c r="AP59" s="60"/>
      <c r="AQ59" s="60"/>
      <c r="AR59" s="60"/>
      <c r="AS59" s="60"/>
      <c r="AT59" s="60"/>
      <c r="AU59" s="60"/>
      <c r="AV59" s="60"/>
      <c r="AW59" s="60"/>
      <c r="AX59" s="60"/>
      <c r="AY59" s="60"/>
      <c r="AZ59" s="60"/>
      <c r="BA59" s="60"/>
      <c r="BB59" s="60"/>
      <c r="BC59" s="60"/>
      <c r="BD59" s="60"/>
      <c r="BE59" s="60"/>
      <c r="BF59" s="60"/>
      <c r="BG59" s="60"/>
      <c r="BH59" s="60"/>
      <c r="BI59" s="60"/>
      <c r="BJ59" s="60"/>
      <c r="BK59" s="60"/>
      <c r="BL59" s="60"/>
      <c r="BM59" s="60"/>
      <c r="BN59" s="60"/>
      <c r="BO59" s="60"/>
      <c r="BP59" s="60"/>
      <c r="BQ59" s="60"/>
      <c r="BR59" s="60"/>
      <c r="BS59" s="60"/>
      <c r="BT59" s="60"/>
      <c r="BU59" s="60"/>
      <c r="BV59" s="60"/>
      <c r="BW59" s="60"/>
      <c r="BX59" s="60"/>
      <c r="BY59" s="60"/>
      <c r="BZ59" s="60"/>
      <c r="CA59" s="60"/>
      <c r="CB59" s="60"/>
      <c r="CC59" s="60"/>
      <c r="CD59" s="60"/>
      <c r="CE59" s="60"/>
      <c r="CF59" s="60"/>
      <c r="CG59" s="60"/>
      <c r="CH59" s="60"/>
      <c r="CI59" s="60"/>
      <c r="CJ59" s="60"/>
      <c r="CK59" s="60"/>
      <c r="CL59" s="60"/>
      <c r="CM59" s="60"/>
      <c r="CN59" s="60"/>
      <c r="CO59" s="60"/>
      <c r="CP59" s="60"/>
      <c r="CQ59" s="60"/>
      <c r="CR59" s="60"/>
      <c r="CS59" s="60"/>
      <c r="CT59" s="60"/>
      <c r="CU59" s="60"/>
      <c r="CV59" s="60"/>
      <c r="CW59" s="60"/>
      <c r="CX59" s="60"/>
      <c r="CY59" s="60"/>
      <c r="CZ59" s="60"/>
      <c r="DA59" s="60"/>
      <c r="DB59" s="60"/>
      <c r="DC59" s="60"/>
      <c r="DD59" s="60"/>
      <c r="DE59" s="60"/>
      <c r="DF59" s="60"/>
      <c r="DG59" s="60"/>
      <c r="DH59" s="60"/>
      <c r="DI59" s="60"/>
      <c r="DJ59" s="60"/>
      <c r="DK59" s="60"/>
      <c r="DL59" s="60"/>
      <c r="DM59" s="60"/>
      <c r="DN59" s="60"/>
      <c r="DO59" s="60"/>
      <c r="DP59" s="60"/>
      <c r="DQ59" s="60"/>
      <c r="DR59" s="60"/>
      <c r="DS59" s="60"/>
      <c r="DT59" s="60"/>
      <c r="DU59" s="60"/>
      <c r="DV59" s="60"/>
      <c r="DW59" s="60"/>
      <c r="DX59" s="60"/>
      <c r="DY59" s="60"/>
      <c r="DZ59" s="60"/>
      <c r="EA59" s="60"/>
      <c r="EB59" s="60"/>
      <c r="EC59" s="60"/>
      <c r="ED59" s="60"/>
      <c r="EE59" s="60"/>
      <c r="EF59" s="60"/>
      <c r="EG59" s="60"/>
      <c r="EH59" s="60"/>
      <c r="EI59" s="60"/>
      <c r="EJ59" s="60"/>
      <c r="EK59" s="60"/>
      <c r="EL59" s="60"/>
      <c r="EM59" s="60"/>
      <c r="EN59" s="60"/>
      <c r="EO59" s="60"/>
      <c r="EP59" s="60"/>
      <c r="EQ59" s="60"/>
      <c r="ER59" s="60"/>
      <c r="ES59" s="60"/>
      <c r="ET59" s="60"/>
      <c r="EU59" s="60"/>
      <c r="EV59" s="60"/>
      <c r="EW59" s="60"/>
      <c r="EX59" s="60"/>
      <c r="EY59" s="60"/>
      <c r="EZ59" s="60"/>
      <c r="FA59" s="60"/>
      <c r="FB59" s="60"/>
      <c r="FC59" s="60"/>
      <c r="FD59" s="60"/>
      <c r="FE59" s="60"/>
      <c r="FF59" s="60"/>
      <c r="FG59" s="60"/>
      <c r="FH59" s="60"/>
      <c r="FI59" s="60"/>
      <c r="FJ59" s="60"/>
      <c r="FK59" s="60"/>
      <c r="FL59" s="60"/>
      <c r="FM59" s="60"/>
      <c r="FN59" s="60"/>
      <c r="FO59" s="60"/>
      <c r="FP59" s="60"/>
      <c r="FQ59" s="60"/>
      <c r="FR59" s="60"/>
      <c r="FS59" s="60"/>
      <c r="FT59" s="60"/>
      <c r="FU59" s="60"/>
      <c r="FV59" s="60"/>
      <c r="FW59" s="60"/>
      <c r="FX59" s="60"/>
      <c r="FY59" s="60"/>
      <c r="FZ59" s="60"/>
      <c r="GA59" s="60"/>
      <c r="GB59" s="60"/>
      <c r="GC59" s="60"/>
      <c r="GD59" s="60"/>
      <c r="GE59" s="60"/>
      <c r="GF59" s="60"/>
      <c r="GG59" s="60"/>
      <c r="GH59" s="60"/>
      <c r="GI59" s="60"/>
      <c r="GJ59" s="60"/>
      <c r="GK59" s="60"/>
      <c r="GL59" s="60"/>
      <c r="GM59" s="60"/>
      <c r="GN59" s="60"/>
      <c r="GO59" s="60"/>
      <c r="GP59" s="60"/>
      <c r="GQ59" s="60"/>
      <c r="GR59" s="60"/>
      <c r="GS59" s="60"/>
      <c r="GT59" s="60"/>
      <c r="GU59" s="60"/>
      <c r="GV59" s="60"/>
      <c r="GW59" s="60"/>
      <c r="GX59" s="60"/>
      <c r="GY59" s="60"/>
      <c r="GZ59" s="60"/>
      <c r="HA59" s="60"/>
      <c r="HB59" s="60"/>
      <c r="HC59" s="60"/>
      <c r="HD59" s="60"/>
      <c r="HE59" s="60"/>
      <c r="HF59" s="60"/>
      <c r="HG59" s="60"/>
      <c r="HH59" s="60"/>
      <c r="HI59" s="60"/>
      <c r="HJ59" s="60"/>
      <c r="HK59" s="60"/>
      <c r="HL59" s="60"/>
      <c r="HM59" s="60"/>
      <c r="HN59" s="60"/>
      <c r="HO59" s="60"/>
      <c r="HP59" s="60"/>
      <c r="HQ59" s="60"/>
      <c r="HR59" s="60"/>
      <c r="HS59" s="60"/>
      <c r="HT59" s="60"/>
      <c r="HU59" s="60"/>
      <c r="HV59" s="60"/>
      <c r="HW59" s="60"/>
      <c r="HX59" s="60"/>
      <c r="HY59" s="60"/>
      <c r="HZ59" s="60"/>
      <c r="IA59" s="60"/>
      <c r="IB59" s="60"/>
      <c r="IC59" s="60"/>
      <c r="ID59" s="60"/>
      <c r="IE59" s="60"/>
      <c r="IF59" s="60"/>
      <c r="IG59" s="60"/>
      <c r="IH59" s="60"/>
      <c r="II59" s="60"/>
      <c r="IJ59" s="60"/>
      <c r="IK59" s="60"/>
      <c r="IL59" s="60"/>
      <c r="IM59" s="60"/>
      <c r="IN59" s="60"/>
      <c r="IO59" s="60"/>
      <c r="IP59" s="60"/>
      <c r="IQ59" s="60"/>
      <c r="IR59" s="60"/>
      <c r="IS59" s="60"/>
      <c r="IT59" s="60"/>
      <c r="IU59" s="60"/>
      <c r="IV59" s="60"/>
      <c r="IW59" s="60"/>
      <c r="IX59" s="60"/>
      <c r="IY59" s="60"/>
      <c r="IZ59" s="60"/>
      <c r="JA59" s="60"/>
      <c r="JB59" s="60"/>
      <c r="JC59" s="60"/>
      <c r="JD59" s="60"/>
      <c r="JE59" s="60"/>
      <c r="JF59" s="60"/>
      <c r="JG59" s="60"/>
      <c r="JH59" s="60"/>
      <c r="JI59" s="60"/>
      <c r="JJ59" s="60"/>
      <c r="JK59" s="60"/>
      <c r="JL59" s="60"/>
      <c r="JM59" s="60"/>
      <c r="JN59" s="60"/>
      <c r="JO59" s="60"/>
      <c r="JP59" s="60"/>
      <c r="JQ59" s="60"/>
      <c r="JR59" s="60"/>
      <c r="JS59" s="60"/>
      <c r="JT59" s="60"/>
      <c r="JU59" s="60"/>
      <c r="JV59" s="60"/>
      <c r="JW59" s="60"/>
      <c r="JX59" s="60"/>
      <c r="JY59" s="60"/>
      <c r="JZ59" s="60"/>
      <c r="KA59" s="60"/>
      <c r="KB59" s="60"/>
      <c r="KC59" s="60"/>
      <c r="KD59" s="60"/>
      <c r="KE59" s="60"/>
      <c r="KF59" s="60"/>
      <c r="KG59" s="60"/>
      <c r="KH59" s="60"/>
      <c r="KI59" s="60"/>
      <c r="KJ59" s="60"/>
      <c r="KK59" s="60"/>
      <c r="KL59" s="60"/>
      <c r="KM59" s="60"/>
      <c r="KN59" s="60"/>
      <c r="KO59" s="60"/>
      <c r="KP59" s="60"/>
      <c r="KQ59" s="60"/>
      <c r="KR59" s="60"/>
      <c r="KS59" s="60"/>
      <c r="KT59" s="60"/>
      <c r="KU59" s="60"/>
      <c r="KV59" s="60"/>
      <c r="KW59" s="60"/>
      <c r="KX59" s="60"/>
      <c r="KY59" s="60"/>
      <c r="KZ59" s="60"/>
      <c r="LA59" s="60"/>
      <c r="LB59" s="60"/>
      <c r="LC59" s="60"/>
      <c r="LD59" s="60"/>
      <c r="LE59" s="60"/>
      <c r="LF59" s="60"/>
      <c r="LG59" s="60"/>
      <c r="LH59" s="60"/>
    </row>
    <row r="60" spans="1:320" s="17" customFormat="1" x14ac:dyDescent="0.25">
      <c r="A60" s="147"/>
      <c r="E60" s="156"/>
      <c r="F60" s="156"/>
      <c r="G60" s="156"/>
      <c r="H60" s="156"/>
      <c r="I60" s="156"/>
      <c r="J60" s="156"/>
      <c r="K60" s="156"/>
      <c r="L60" s="156"/>
      <c r="M60" s="156"/>
      <c r="N60" s="156"/>
      <c r="O60" s="156"/>
      <c r="P60" s="156"/>
      <c r="Q60" s="156"/>
      <c r="R60" s="156"/>
      <c r="S60" s="156"/>
      <c r="AC60" s="60"/>
      <c r="AD60" s="60"/>
      <c r="AE60" s="60"/>
      <c r="AF60" s="60"/>
      <c r="AG60" s="60"/>
      <c r="AH60" s="60"/>
      <c r="AI60" s="60"/>
      <c r="AJ60" s="60"/>
      <c r="AK60" s="60"/>
      <c r="AL60" s="60"/>
      <c r="AM60" s="60"/>
      <c r="AN60" s="60"/>
      <c r="AO60" s="60"/>
      <c r="AP60" s="60"/>
      <c r="AQ60" s="60"/>
      <c r="AR60" s="60"/>
      <c r="AS60" s="60"/>
      <c r="AT60" s="60"/>
      <c r="AU60" s="60"/>
      <c r="AV60" s="60"/>
      <c r="AW60" s="60"/>
      <c r="AX60" s="60"/>
      <c r="AY60" s="60"/>
      <c r="AZ60" s="60"/>
      <c r="BA60" s="60"/>
      <c r="BB60" s="60"/>
      <c r="BC60" s="60"/>
      <c r="BD60" s="60"/>
      <c r="BE60" s="60"/>
      <c r="BF60" s="60"/>
      <c r="BG60" s="60"/>
      <c r="BH60" s="60"/>
      <c r="BI60" s="60"/>
      <c r="BJ60" s="60"/>
      <c r="BK60" s="60"/>
      <c r="BL60" s="60"/>
      <c r="BM60" s="60"/>
      <c r="BN60" s="60"/>
      <c r="BO60" s="60"/>
      <c r="BP60" s="60"/>
      <c r="BQ60" s="60"/>
      <c r="BR60" s="60"/>
      <c r="BS60" s="60"/>
      <c r="BT60" s="60"/>
      <c r="BU60" s="60"/>
      <c r="BV60" s="60"/>
      <c r="BW60" s="60"/>
      <c r="BX60" s="60"/>
      <c r="BY60" s="60"/>
      <c r="BZ60" s="60"/>
      <c r="CA60" s="60"/>
      <c r="CB60" s="60"/>
      <c r="CC60" s="60"/>
      <c r="CD60" s="60"/>
      <c r="CE60" s="60"/>
      <c r="CF60" s="60"/>
      <c r="CG60" s="60"/>
      <c r="CH60" s="60"/>
      <c r="CI60" s="60"/>
      <c r="CJ60" s="60"/>
      <c r="CK60" s="60"/>
      <c r="CL60" s="60"/>
      <c r="CM60" s="60"/>
      <c r="CN60" s="60"/>
      <c r="CO60" s="60"/>
      <c r="CP60" s="60"/>
      <c r="CQ60" s="60"/>
      <c r="CR60" s="60"/>
      <c r="CS60" s="60"/>
      <c r="CT60" s="60"/>
      <c r="CU60" s="60"/>
      <c r="CV60" s="60"/>
      <c r="CW60" s="60"/>
      <c r="CX60" s="60"/>
      <c r="CY60" s="60"/>
      <c r="CZ60" s="60"/>
      <c r="DA60" s="60"/>
      <c r="DB60" s="60"/>
      <c r="DC60" s="60"/>
      <c r="DD60" s="60"/>
      <c r="DE60" s="60"/>
      <c r="DF60" s="60"/>
      <c r="DG60" s="60"/>
      <c r="DH60" s="60"/>
      <c r="DI60" s="60"/>
      <c r="DJ60" s="60"/>
      <c r="DK60" s="60"/>
      <c r="DL60" s="60"/>
      <c r="DM60" s="60"/>
      <c r="DN60" s="60"/>
      <c r="DO60" s="60"/>
      <c r="DP60" s="60"/>
      <c r="DQ60" s="60"/>
      <c r="DR60" s="60"/>
      <c r="DS60" s="60"/>
      <c r="DT60" s="60"/>
      <c r="DU60" s="60"/>
      <c r="DV60" s="60"/>
      <c r="DW60" s="60"/>
      <c r="DX60" s="60"/>
      <c r="DY60" s="60"/>
      <c r="DZ60" s="60"/>
      <c r="EA60" s="60"/>
      <c r="EB60" s="60"/>
      <c r="EC60" s="60"/>
      <c r="ED60" s="60"/>
      <c r="EE60" s="60"/>
      <c r="EF60" s="60"/>
      <c r="EG60" s="60"/>
      <c r="EH60" s="60"/>
      <c r="EI60" s="60"/>
      <c r="EJ60" s="60"/>
      <c r="EK60" s="60"/>
      <c r="EL60" s="60"/>
      <c r="EM60" s="60"/>
      <c r="EN60" s="60"/>
      <c r="EO60" s="60"/>
      <c r="EP60" s="60"/>
      <c r="EQ60" s="60"/>
      <c r="ER60" s="60"/>
      <c r="ES60" s="60"/>
      <c r="ET60" s="60"/>
      <c r="EU60" s="60"/>
      <c r="EV60" s="60"/>
      <c r="EW60" s="60"/>
      <c r="EX60" s="60"/>
      <c r="EY60" s="60"/>
      <c r="EZ60" s="60"/>
      <c r="FA60" s="60"/>
      <c r="FB60" s="60"/>
      <c r="FC60" s="60"/>
      <c r="FD60" s="60"/>
      <c r="FE60" s="60"/>
      <c r="FF60" s="60"/>
      <c r="FG60" s="60"/>
      <c r="FH60" s="60"/>
      <c r="FI60" s="60"/>
      <c r="FJ60" s="60"/>
      <c r="FK60" s="60"/>
      <c r="FL60" s="60"/>
      <c r="FM60" s="60"/>
      <c r="FN60" s="60"/>
      <c r="FO60" s="60"/>
      <c r="FP60" s="60"/>
      <c r="FQ60" s="60"/>
      <c r="FR60" s="60"/>
      <c r="FS60" s="60"/>
      <c r="FT60" s="60"/>
      <c r="FU60" s="60"/>
      <c r="FV60" s="60"/>
      <c r="FW60" s="60"/>
      <c r="FX60" s="60"/>
      <c r="FY60" s="60"/>
      <c r="FZ60" s="60"/>
      <c r="GA60" s="60"/>
      <c r="GB60" s="60"/>
      <c r="GC60" s="60"/>
      <c r="GD60" s="60"/>
      <c r="GE60" s="60"/>
      <c r="GF60" s="60"/>
      <c r="GG60" s="60"/>
      <c r="GH60" s="60"/>
      <c r="GI60" s="60"/>
      <c r="GJ60" s="60"/>
      <c r="GK60" s="60"/>
      <c r="GL60" s="60"/>
      <c r="GM60" s="60"/>
      <c r="GN60" s="60"/>
      <c r="GO60" s="60"/>
      <c r="GP60" s="60"/>
      <c r="GQ60" s="60"/>
      <c r="GR60" s="60"/>
      <c r="GS60" s="60"/>
      <c r="GT60" s="60"/>
      <c r="GU60" s="60"/>
      <c r="GV60" s="60"/>
      <c r="GW60" s="60"/>
      <c r="GX60" s="60"/>
      <c r="GY60" s="60"/>
      <c r="GZ60" s="60"/>
      <c r="HA60" s="60"/>
      <c r="HB60" s="60"/>
      <c r="HC60" s="60"/>
      <c r="HD60" s="60"/>
      <c r="HE60" s="60"/>
      <c r="HF60" s="60"/>
      <c r="HG60" s="60"/>
      <c r="HH60" s="60"/>
      <c r="HI60" s="60"/>
      <c r="HJ60" s="60"/>
      <c r="HK60" s="60"/>
      <c r="HL60" s="60"/>
      <c r="HM60" s="60"/>
      <c r="HN60" s="60"/>
      <c r="HO60" s="60"/>
      <c r="HP60" s="60"/>
      <c r="HQ60" s="60"/>
      <c r="HR60" s="60"/>
      <c r="HS60" s="60"/>
      <c r="HT60" s="60"/>
      <c r="HU60" s="60"/>
      <c r="HV60" s="60"/>
      <c r="HW60" s="60"/>
      <c r="HX60" s="60"/>
      <c r="HY60" s="60"/>
      <c r="HZ60" s="60"/>
      <c r="IA60" s="60"/>
      <c r="IB60" s="60"/>
      <c r="IC60" s="60"/>
      <c r="ID60" s="60"/>
      <c r="IE60" s="60"/>
      <c r="IF60" s="60"/>
      <c r="IG60" s="60"/>
      <c r="IH60" s="60"/>
      <c r="II60" s="60"/>
      <c r="IJ60" s="60"/>
      <c r="IK60" s="60"/>
      <c r="IL60" s="60"/>
      <c r="IM60" s="60"/>
      <c r="IN60" s="60"/>
      <c r="IO60" s="60"/>
      <c r="IP60" s="60"/>
      <c r="IQ60" s="60"/>
      <c r="IR60" s="60"/>
      <c r="IS60" s="60"/>
      <c r="IT60" s="60"/>
      <c r="IU60" s="60"/>
      <c r="IV60" s="60"/>
      <c r="IW60" s="60"/>
      <c r="IX60" s="60"/>
      <c r="IY60" s="60"/>
      <c r="IZ60" s="60"/>
      <c r="JA60" s="60"/>
      <c r="JB60" s="60"/>
      <c r="JC60" s="60"/>
      <c r="JD60" s="60"/>
      <c r="JE60" s="60"/>
      <c r="JF60" s="60"/>
      <c r="JG60" s="60"/>
      <c r="JH60" s="60"/>
      <c r="JI60" s="60"/>
      <c r="JJ60" s="60"/>
      <c r="JK60" s="60"/>
      <c r="JL60" s="60"/>
      <c r="JM60" s="60"/>
      <c r="JN60" s="60"/>
      <c r="JO60" s="60"/>
      <c r="JP60" s="60"/>
      <c r="JQ60" s="60"/>
      <c r="JR60" s="60"/>
      <c r="JS60" s="60"/>
      <c r="JT60" s="60"/>
      <c r="JU60" s="60"/>
      <c r="JV60" s="60"/>
      <c r="JW60" s="60"/>
      <c r="JX60" s="60"/>
      <c r="JY60" s="60"/>
      <c r="JZ60" s="60"/>
      <c r="KA60" s="60"/>
      <c r="KB60" s="60"/>
      <c r="KC60" s="60"/>
      <c r="KD60" s="60"/>
      <c r="KE60" s="60"/>
      <c r="KF60" s="60"/>
      <c r="KG60" s="60"/>
      <c r="KH60" s="60"/>
      <c r="KI60" s="60"/>
      <c r="KJ60" s="60"/>
      <c r="KK60" s="60"/>
      <c r="KL60" s="60"/>
      <c r="KM60" s="60"/>
      <c r="KN60" s="60"/>
      <c r="KO60" s="60"/>
      <c r="KP60" s="60"/>
      <c r="KQ60" s="60"/>
      <c r="KR60" s="60"/>
      <c r="KS60" s="60"/>
      <c r="KT60" s="60"/>
      <c r="KU60" s="60"/>
      <c r="KV60" s="60"/>
      <c r="KW60" s="60"/>
      <c r="KX60" s="60"/>
      <c r="KY60" s="60"/>
      <c r="KZ60" s="60"/>
      <c r="LA60" s="60"/>
      <c r="LB60" s="60"/>
      <c r="LC60" s="60"/>
      <c r="LD60" s="60"/>
      <c r="LE60" s="60"/>
      <c r="LF60" s="60"/>
      <c r="LG60" s="60"/>
      <c r="LH60" s="60"/>
    </row>
    <row r="61" spans="1:320" s="17" customFormat="1" ht="14.1" customHeight="1" x14ac:dyDescent="0.25">
      <c r="A61" s="147"/>
      <c r="E61" s="156"/>
      <c r="F61" s="156"/>
      <c r="G61" s="156"/>
      <c r="H61" s="156"/>
      <c r="I61" s="156"/>
      <c r="J61" s="156"/>
      <c r="K61" s="156"/>
      <c r="L61" s="156"/>
      <c r="M61" s="156"/>
      <c r="N61" s="156"/>
      <c r="O61" s="156"/>
      <c r="P61" s="156"/>
      <c r="Q61" s="156"/>
      <c r="R61" s="156"/>
      <c r="S61" s="156"/>
      <c r="AC61" s="60"/>
      <c r="AD61" s="60"/>
      <c r="AE61" s="60"/>
      <c r="AF61" s="60"/>
      <c r="AG61" s="60"/>
      <c r="AH61" s="60"/>
      <c r="AI61" s="60"/>
      <c r="AJ61" s="60"/>
      <c r="AK61" s="60"/>
      <c r="AL61" s="60"/>
      <c r="AM61" s="60"/>
      <c r="AN61" s="60"/>
      <c r="AO61" s="60"/>
      <c r="AP61" s="60"/>
      <c r="AQ61" s="60"/>
      <c r="AR61" s="60"/>
      <c r="AS61" s="60"/>
      <c r="AT61" s="60"/>
      <c r="AU61" s="60"/>
      <c r="AV61" s="60"/>
      <c r="AW61" s="60"/>
      <c r="AX61" s="60"/>
      <c r="AY61" s="60"/>
      <c r="AZ61" s="60"/>
      <c r="BA61" s="60"/>
      <c r="BB61" s="60"/>
      <c r="BC61" s="60"/>
      <c r="BD61" s="60"/>
      <c r="BE61" s="60"/>
      <c r="BF61" s="60"/>
      <c r="BG61" s="60"/>
      <c r="BH61" s="60"/>
      <c r="BI61" s="60"/>
      <c r="BJ61" s="60"/>
      <c r="BK61" s="60"/>
      <c r="BL61" s="60"/>
      <c r="BM61" s="60"/>
      <c r="BN61" s="60"/>
      <c r="BO61" s="60"/>
      <c r="BP61" s="60"/>
      <c r="BQ61" s="60"/>
      <c r="BR61" s="60"/>
      <c r="BS61" s="60"/>
      <c r="BT61" s="60"/>
      <c r="BU61" s="60"/>
      <c r="BV61" s="60"/>
      <c r="BW61" s="60"/>
      <c r="BX61" s="60"/>
      <c r="BY61" s="60"/>
      <c r="BZ61" s="60"/>
      <c r="CA61" s="60"/>
      <c r="CB61" s="60"/>
      <c r="CC61" s="60"/>
      <c r="CD61" s="60"/>
      <c r="CE61" s="60"/>
      <c r="CF61" s="60"/>
      <c r="CG61" s="60"/>
      <c r="CH61" s="60"/>
      <c r="CI61" s="60"/>
      <c r="CJ61" s="60"/>
      <c r="CK61" s="60"/>
      <c r="CL61" s="60"/>
      <c r="CM61" s="60"/>
      <c r="CN61" s="60"/>
      <c r="CO61" s="60"/>
      <c r="CP61" s="60"/>
      <c r="CQ61" s="60"/>
      <c r="CR61" s="60"/>
      <c r="CS61" s="60"/>
      <c r="CT61" s="60"/>
      <c r="CU61" s="60"/>
      <c r="CV61" s="60"/>
      <c r="CW61" s="60"/>
      <c r="CX61" s="60"/>
      <c r="CY61" s="60"/>
      <c r="CZ61" s="60"/>
      <c r="DA61" s="60"/>
      <c r="DB61" s="60"/>
      <c r="DC61" s="60"/>
      <c r="DD61" s="60"/>
      <c r="DE61" s="60"/>
      <c r="DF61" s="60"/>
      <c r="DG61" s="60"/>
      <c r="DH61" s="60"/>
      <c r="DI61" s="60"/>
      <c r="DJ61" s="60"/>
      <c r="DK61" s="60"/>
      <c r="DL61" s="60"/>
      <c r="DM61" s="60"/>
      <c r="DN61" s="60"/>
      <c r="DO61" s="60"/>
      <c r="DP61" s="60"/>
      <c r="DQ61" s="60"/>
      <c r="DR61" s="60"/>
      <c r="DS61" s="60"/>
      <c r="DT61" s="60"/>
      <c r="DU61" s="60"/>
      <c r="DV61" s="60"/>
      <c r="DW61" s="60"/>
      <c r="DX61" s="60"/>
      <c r="DY61" s="60"/>
      <c r="DZ61" s="60"/>
      <c r="EA61" s="60"/>
      <c r="EB61" s="60"/>
      <c r="EC61" s="60"/>
      <c r="ED61" s="60"/>
      <c r="EE61" s="60"/>
      <c r="EF61" s="60"/>
      <c r="EG61" s="60"/>
      <c r="EH61" s="60"/>
      <c r="EI61" s="60"/>
      <c r="EJ61" s="60"/>
      <c r="EK61" s="60"/>
      <c r="EL61" s="60"/>
      <c r="EM61" s="60"/>
      <c r="EN61" s="60"/>
      <c r="EO61" s="60"/>
      <c r="EP61" s="60"/>
      <c r="EQ61" s="60"/>
      <c r="ER61" s="60"/>
      <c r="ES61" s="60"/>
      <c r="ET61" s="60"/>
      <c r="EU61" s="60"/>
      <c r="EV61" s="60"/>
      <c r="EW61" s="60"/>
      <c r="EX61" s="60"/>
      <c r="EY61" s="60"/>
      <c r="EZ61" s="60"/>
      <c r="FA61" s="60"/>
      <c r="FB61" s="60"/>
      <c r="FC61" s="60"/>
      <c r="FD61" s="60"/>
      <c r="FE61" s="60"/>
      <c r="FF61" s="60"/>
      <c r="FG61" s="60"/>
      <c r="FH61" s="60"/>
      <c r="FI61" s="60"/>
      <c r="FJ61" s="60"/>
      <c r="FK61" s="60"/>
      <c r="FL61" s="60"/>
      <c r="FM61" s="60"/>
      <c r="FN61" s="60"/>
      <c r="FO61" s="60"/>
      <c r="FP61" s="60"/>
      <c r="FQ61" s="60"/>
      <c r="FR61" s="60"/>
      <c r="FS61" s="60"/>
      <c r="FT61" s="60"/>
      <c r="FU61" s="60"/>
      <c r="FV61" s="60"/>
      <c r="FW61" s="60"/>
      <c r="FX61" s="60"/>
      <c r="FY61" s="60"/>
      <c r="FZ61" s="60"/>
      <c r="GA61" s="60"/>
      <c r="GB61" s="60"/>
      <c r="GC61" s="60"/>
      <c r="GD61" s="60"/>
      <c r="GE61" s="60"/>
      <c r="GF61" s="60"/>
      <c r="GG61" s="60"/>
      <c r="GH61" s="60"/>
      <c r="GI61" s="60"/>
      <c r="GJ61" s="60"/>
      <c r="GK61" s="60"/>
      <c r="GL61" s="60"/>
      <c r="GM61" s="60"/>
      <c r="GN61" s="60"/>
      <c r="GO61" s="60"/>
      <c r="GP61" s="60"/>
      <c r="GQ61" s="60"/>
      <c r="GR61" s="60"/>
      <c r="GS61" s="60"/>
      <c r="GT61" s="60"/>
      <c r="GU61" s="60"/>
      <c r="GV61" s="60"/>
      <c r="GW61" s="60"/>
      <c r="GX61" s="60"/>
      <c r="GY61" s="60"/>
      <c r="GZ61" s="60"/>
      <c r="HA61" s="60"/>
      <c r="HB61" s="60"/>
      <c r="HC61" s="60"/>
      <c r="HD61" s="60"/>
      <c r="HE61" s="60"/>
      <c r="HF61" s="60"/>
      <c r="HG61" s="60"/>
      <c r="HH61" s="60"/>
      <c r="HI61" s="60"/>
      <c r="HJ61" s="60"/>
      <c r="HK61" s="60"/>
      <c r="HL61" s="60"/>
      <c r="HM61" s="60"/>
      <c r="HN61" s="60"/>
      <c r="HO61" s="60"/>
      <c r="HP61" s="60"/>
      <c r="HQ61" s="60"/>
      <c r="HR61" s="60"/>
      <c r="HS61" s="60"/>
      <c r="HT61" s="60"/>
      <c r="HU61" s="60"/>
      <c r="HV61" s="60"/>
      <c r="HW61" s="60"/>
      <c r="HX61" s="60"/>
      <c r="HY61" s="60"/>
      <c r="HZ61" s="60"/>
      <c r="IA61" s="60"/>
      <c r="IB61" s="60"/>
      <c r="IC61" s="60"/>
      <c r="ID61" s="60"/>
      <c r="IE61" s="60"/>
      <c r="IF61" s="60"/>
      <c r="IG61" s="60"/>
      <c r="IH61" s="60"/>
      <c r="II61" s="60"/>
      <c r="IJ61" s="60"/>
      <c r="IK61" s="60"/>
      <c r="IL61" s="60"/>
      <c r="IM61" s="60"/>
      <c r="IN61" s="60"/>
      <c r="IO61" s="60"/>
      <c r="IP61" s="60"/>
      <c r="IQ61" s="60"/>
      <c r="IR61" s="60"/>
      <c r="IS61" s="60"/>
      <c r="IT61" s="60"/>
      <c r="IU61" s="60"/>
      <c r="IV61" s="60"/>
      <c r="IW61" s="60"/>
      <c r="IX61" s="60"/>
      <c r="IY61" s="60"/>
      <c r="IZ61" s="60"/>
      <c r="JA61" s="60"/>
      <c r="JB61" s="60"/>
      <c r="JC61" s="60"/>
      <c r="JD61" s="60"/>
      <c r="JE61" s="60"/>
      <c r="JF61" s="60"/>
      <c r="JG61" s="60"/>
      <c r="JH61" s="60"/>
      <c r="JI61" s="60"/>
      <c r="JJ61" s="60"/>
      <c r="JK61" s="60"/>
      <c r="JL61" s="60"/>
      <c r="JM61" s="60"/>
      <c r="JN61" s="60"/>
      <c r="JO61" s="60"/>
      <c r="JP61" s="60"/>
      <c r="JQ61" s="60"/>
      <c r="JR61" s="60"/>
      <c r="JS61" s="60"/>
      <c r="JT61" s="60"/>
      <c r="JU61" s="60"/>
      <c r="JV61" s="60"/>
      <c r="JW61" s="60"/>
      <c r="JX61" s="60"/>
      <c r="JY61" s="60"/>
      <c r="JZ61" s="60"/>
      <c r="KA61" s="60"/>
      <c r="KB61" s="60"/>
      <c r="KC61" s="60"/>
      <c r="KD61" s="60"/>
      <c r="KE61" s="60"/>
      <c r="KF61" s="60"/>
      <c r="KG61" s="60"/>
      <c r="KH61" s="60"/>
      <c r="KI61" s="60"/>
      <c r="KJ61" s="60"/>
      <c r="KK61" s="60"/>
      <c r="KL61" s="60"/>
      <c r="KM61" s="60"/>
      <c r="KN61" s="60"/>
      <c r="KO61" s="60"/>
      <c r="KP61" s="60"/>
      <c r="KQ61" s="60"/>
      <c r="KR61" s="60"/>
      <c r="KS61" s="60"/>
      <c r="KT61" s="60"/>
      <c r="KU61" s="60"/>
      <c r="KV61" s="60"/>
      <c r="KW61" s="60"/>
      <c r="KX61" s="60"/>
      <c r="KY61" s="60"/>
      <c r="KZ61" s="60"/>
      <c r="LA61" s="60"/>
      <c r="LB61" s="60"/>
      <c r="LC61" s="60"/>
      <c r="LD61" s="60"/>
      <c r="LE61" s="60"/>
      <c r="LF61" s="60"/>
      <c r="LG61" s="60"/>
      <c r="LH61" s="60"/>
    </row>
    <row r="62" spans="1:320" s="17" customFormat="1" ht="14.1" customHeight="1" x14ac:dyDescent="0.25">
      <c r="A62" s="147"/>
      <c r="E62" s="156"/>
      <c r="F62" s="156"/>
      <c r="G62" s="156"/>
      <c r="H62" s="156"/>
      <c r="I62" s="156"/>
      <c r="J62" s="156"/>
      <c r="K62" s="156"/>
      <c r="L62" s="156"/>
      <c r="M62" s="156"/>
      <c r="N62" s="156"/>
      <c r="O62" s="156"/>
      <c r="P62" s="156"/>
      <c r="Q62" s="156"/>
      <c r="R62" s="156"/>
      <c r="S62" s="156"/>
      <c r="AC62" s="60"/>
      <c r="AD62" s="60"/>
      <c r="AE62" s="60"/>
      <c r="AF62" s="60"/>
      <c r="AG62" s="60"/>
      <c r="AH62" s="60"/>
      <c r="AI62" s="60"/>
      <c r="AJ62" s="60"/>
      <c r="AK62" s="60"/>
      <c r="AL62" s="60"/>
      <c r="AM62" s="60"/>
      <c r="AN62" s="60"/>
      <c r="AO62" s="60"/>
      <c r="AP62" s="60"/>
      <c r="AQ62" s="60"/>
      <c r="AR62" s="60"/>
      <c r="AS62" s="60"/>
      <c r="AT62" s="60"/>
      <c r="AU62" s="60"/>
      <c r="AV62" s="60"/>
      <c r="AW62" s="60"/>
      <c r="AX62" s="60"/>
      <c r="AY62" s="60"/>
      <c r="AZ62" s="60"/>
      <c r="BA62" s="60"/>
      <c r="BB62" s="60"/>
      <c r="BC62" s="60"/>
      <c r="BD62" s="60"/>
      <c r="BE62" s="60"/>
      <c r="BF62" s="60"/>
      <c r="BG62" s="60"/>
      <c r="BH62" s="60"/>
      <c r="BI62" s="60"/>
      <c r="BJ62" s="60"/>
      <c r="BK62" s="60"/>
      <c r="BL62" s="60"/>
      <c r="BM62" s="60"/>
      <c r="BN62" s="60"/>
      <c r="BO62" s="60"/>
      <c r="BP62" s="60"/>
      <c r="BQ62" s="60"/>
      <c r="BR62" s="60"/>
      <c r="BS62" s="60"/>
      <c r="BT62" s="60"/>
      <c r="BU62" s="60"/>
      <c r="BV62" s="60"/>
      <c r="BW62" s="60"/>
      <c r="BX62" s="60"/>
      <c r="BY62" s="60"/>
      <c r="BZ62" s="60"/>
      <c r="CA62" s="60"/>
      <c r="CB62" s="60"/>
      <c r="CC62" s="60"/>
      <c r="CD62" s="60"/>
      <c r="CE62" s="60"/>
      <c r="CF62" s="60"/>
      <c r="CG62" s="60"/>
      <c r="CH62" s="60"/>
      <c r="CI62" s="60"/>
      <c r="CJ62" s="60"/>
      <c r="CK62" s="60"/>
      <c r="CL62" s="60"/>
      <c r="CM62" s="60"/>
      <c r="CN62" s="60"/>
      <c r="CO62" s="60"/>
      <c r="CP62" s="60"/>
      <c r="CQ62" s="60"/>
      <c r="CR62" s="60"/>
      <c r="CS62" s="60"/>
      <c r="CT62" s="60"/>
      <c r="CU62" s="60"/>
      <c r="CV62" s="60"/>
      <c r="CW62" s="60"/>
      <c r="CX62" s="60"/>
      <c r="CY62" s="60"/>
      <c r="CZ62" s="60"/>
      <c r="DA62" s="60"/>
      <c r="DB62" s="60"/>
      <c r="DC62" s="60"/>
      <c r="DD62" s="60"/>
      <c r="DE62" s="60"/>
      <c r="DF62" s="60"/>
      <c r="DG62" s="60"/>
      <c r="DH62" s="60"/>
      <c r="DI62" s="60"/>
      <c r="DJ62" s="60"/>
      <c r="DK62" s="60"/>
      <c r="DL62" s="60"/>
      <c r="DM62" s="60"/>
      <c r="DN62" s="60"/>
      <c r="DO62" s="60"/>
      <c r="DP62" s="60"/>
      <c r="DQ62" s="60"/>
      <c r="DR62" s="60"/>
      <c r="DS62" s="60"/>
      <c r="DT62" s="60"/>
      <c r="DU62" s="60"/>
      <c r="DV62" s="60"/>
      <c r="DW62" s="60"/>
      <c r="DX62" s="60"/>
      <c r="DY62" s="60"/>
      <c r="DZ62" s="60"/>
      <c r="EA62" s="60"/>
      <c r="EB62" s="60"/>
      <c r="EC62" s="60"/>
      <c r="ED62" s="60"/>
      <c r="EE62" s="60"/>
      <c r="EF62" s="60"/>
      <c r="EG62" s="60"/>
      <c r="EH62" s="60"/>
      <c r="EI62" s="60"/>
      <c r="EJ62" s="60"/>
      <c r="EK62" s="60"/>
      <c r="EL62" s="60"/>
      <c r="EM62" s="60"/>
      <c r="EN62" s="60"/>
      <c r="EO62" s="60"/>
      <c r="EP62" s="60"/>
      <c r="EQ62" s="60"/>
      <c r="ER62" s="60"/>
      <c r="ES62" s="60"/>
      <c r="ET62" s="60"/>
      <c r="EU62" s="60"/>
      <c r="EV62" s="60"/>
      <c r="EW62" s="60"/>
      <c r="EX62" s="60"/>
      <c r="EY62" s="60"/>
      <c r="EZ62" s="60"/>
      <c r="FA62" s="60"/>
      <c r="FB62" s="60"/>
      <c r="FC62" s="60"/>
      <c r="FD62" s="60"/>
      <c r="FE62" s="60"/>
      <c r="FF62" s="60"/>
      <c r="FG62" s="60"/>
      <c r="FH62" s="60"/>
      <c r="FI62" s="60"/>
      <c r="FJ62" s="60"/>
      <c r="FK62" s="60"/>
      <c r="FL62" s="60"/>
      <c r="FM62" s="60"/>
      <c r="FN62" s="60"/>
      <c r="FO62" s="60"/>
      <c r="FP62" s="60"/>
      <c r="FQ62" s="60"/>
      <c r="FR62" s="60"/>
      <c r="FS62" s="60"/>
      <c r="FT62" s="60"/>
      <c r="FU62" s="60"/>
      <c r="FV62" s="60"/>
      <c r="FW62" s="60"/>
      <c r="FX62" s="60"/>
      <c r="FY62" s="60"/>
      <c r="FZ62" s="60"/>
      <c r="GA62" s="60"/>
      <c r="GB62" s="60"/>
      <c r="GC62" s="60"/>
      <c r="GD62" s="60"/>
      <c r="GE62" s="60"/>
      <c r="GF62" s="60"/>
      <c r="GG62" s="60"/>
      <c r="GH62" s="60"/>
      <c r="GI62" s="60"/>
      <c r="GJ62" s="60"/>
      <c r="GK62" s="60"/>
      <c r="GL62" s="60"/>
      <c r="GM62" s="60"/>
      <c r="GN62" s="60"/>
      <c r="GO62" s="60"/>
      <c r="GP62" s="60"/>
      <c r="GQ62" s="60"/>
      <c r="GR62" s="60"/>
      <c r="GS62" s="60"/>
      <c r="GT62" s="60"/>
      <c r="GU62" s="60"/>
      <c r="GV62" s="60"/>
      <c r="GW62" s="60"/>
      <c r="GX62" s="60"/>
      <c r="GY62" s="60"/>
      <c r="GZ62" s="60"/>
      <c r="HA62" s="60"/>
      <c r="HB62" s="60"/>
      <c r="HC62" s="60"/>
      <c r="HD62" s="60"/>
      <c r="HE62" s="60"/>
      <c r="HF62" s="60"/>
      <c r="HG62" s="60"/>
      <c r="HH62" s="60"/>
      <c r="HI62" s="60"/>
      <c r="HJ62" s="60"/>
      <c r="HK62" s="60"/>
      <c r="HL62" s="60"/>
      <c r="HM62" s="60"/>
      <c r="HN62" s="60"/>
      <c r="HO62" s="60"/>
      <c r="HP62" s="60"/>
      <c r="HQ62" s="60"/>
      <c r="HR62" s="60"/>
      <c r="HS62" s="60"/>
      <c r="HT62" s="60"/>
      <c r="HU62" s="60"/>
      <c r="HV62" s="60"/>
      <c r="HW62" s="60"/>
      <c r="HX62" s="60"/>
      <c r="HY62" s="60"/>
      <c r="HZ62" s="60"/>
      <c r="IA62" s="60"/>
      <c r="IB62" s="60"/>
      <c r="IC62" s="60"/>
      <c r="ID62" s="60"/>
      <c r="IE62" s="60"/>
      <c r="IF62" s="60"/>
      <c r="IG62" s="60"/>
      <c r="IH62" s="60"/>
      <c r="II62" s="60"/>
      <c r="IJ62" s="60"/>
      <c r="IK62" s="60"/>
      <c r="IL62" s="60"/>
      <c r="IM62" s="60"/>
      <c r="IN62" s="60"/>
      <c r="IO62" s="60"/>
      <c r="IP62" s="60"/>
      <c r="IQ62" s="60"/>
      <c r="IR62" s="60"/>
      <c r="IS62" s="60"/>
      <c r="IT62" s="60"/>
      <c r="IU62" s="60"/>
      <c r="IV62" s="60"/>
      <c r="IW62" s="60"/>
      <c r="IX62" s="60"/>
      <c r="IY62" s="60"/>
      <c r="IZ62" s="60"/>
      <c r="JA62" s="60"/>
      <c r="JB62" s="60"/>
      <c r="JC62" s="60"/>
      <c r="JD62" s="60"/>
      <c r="JE62" s="60"/>
      <c r="JF62" s="60"/>
      <c r="JG62" s="60"/>
      <c r="JH62" s="60"/>
      <c r="JI62" s="60"/>
      <c r="JJ62" s="60"/>
      <c r="JK62" s="60"/>
      <c r="JL62" s="60"/>
      <c r="JM62" s="60"/>
      <c r="JN62" s="60"/>
      <c r="JO62" s="60"/>
      <c r="JP62" s="60"/>
      <c r="JQ62" s="60"/>
      <c r="JR62" s="60"/>
      <c r="JS62" s="60"/>
      <c r="JT62" s="60"/>
      <c r="JU62" s="60"/>
      <c r="JV62" s="60"/>
      <c r="JW62" s="60"/>
      <c r="JX62" s="60"/>
      <c r="JY62" s="60"/>
      <c r="JZ62" s="60"/>
      <c r="KA62" s="60"/>
      <c r="KB62" s="60"/>
      <c r="KC62" s="60"/>
      <c r="KD62" s="60"/>
      <c r="KE62" s="60"/>
      <c r="KF62" s="60"/>
      <c r="KG62" s="60"/>
      <c r="KH62" s="60"/>
      <c r="KI62" s="60"/>
      <c r="KJ62" s="60"/>
      <c r="KK62" s="60"/>
      <c r="KL62" s="60"/>
      <c r="KM62" s="60"/>
      <c r="KN62" s="60"/>
      <c r="KO62" s="60"/>
      <c r="KP62" s="60"/>
      <c r="KQ62" s="60"/>
      <c r="KR62" s="60"/>
      <c r="KS62" s="60"/>
      <c r="KT62" s="60"/>
      <c r="KU62" s="60"/>
      <c r="KV62" s="60"/>
      <c r="KW62" s="60"/>
      <c r="KX62" s="60"/>
      <c r="KY62" s="60"/>
      <c r="KZ62" s="60"/>
      <c r="LA62" s="60"/>
      <c r="LB62" s="60"/>
      <c r="LC62" s="60"/>
      <c r="LD62" s="60"/>
      <c r="LE62" s="60"/>
      <c r="LF62" s="60"/>
      <c r="LG62" s="60"/>
      <c r="LH62" s="60"/>
    </row>
    <row r="65" spans="1:320" s="17" customFormat="1" ht="14.1" customHeight="1" x14ac:dyDescent="0.25">
      <c r="A65" s="147"/>
      <c r="E65" s="156"/>
      <c r="F65" s="156"/>
      <c r="G65" s="156"/>
      <c r="H65" s="156"/>
      <c r="I65" s="156"/>
      <c r="J65" s="156"/>
      <c r="K65" s="156"/>
      <c r="L65" s="156"/>
      <c r="M65" s="156"/>
      <c r="N65" s="156"/>
      <c r="O65" s="156"/>
      <c r="P65" s="156"/>
      <c r="Q65" s="156"/>
      <c r="R65" s="156"/>
      <c r="S65" s="156"/>
      <c r="AC65" s="60"/>
      <c r="AD65" s="60"/>
      <c r="AE65" s="60"/>
      <c r="AF65" s="60"/>
      <c r="AG65" s="60"/>
      <c r="AH65" s="60"/>
      <c r="AI65" s="60"/>
      <c r="AJ65" s="60"/>
      <c r="AK65" s="60"/>
      <c r="AL65" s="60"/>
      <c r="AM65" s="60"/>
      <c r="AN65" s="60"/>
      <c r="AO65" s="60"/>
      <c r="AP65" s="60"/>
      <c r="AQ65" s="60"/>
      <c r="AR65" s="60"/>
      <c r="AS65" s="60"/>
      <c r="AT65" s="60"/>
      <c r="AU65" s="60"/>
      <c r="AV65" s="60"/>
      <c r="AW65" s="60"/>
      <c r="AX65" s="60"/>
      <c r="AY65" s="60"/>
      <c r="AZ65" s="60"/>
      <c r="BA65" s="60"/>
      <c r="BB65" s="60"/>
      <c r="BC65" s="60"/>
      <c r="BD65" s="60"/>
      <c r="BE65" s="60"/>
      <c r="BF65" s="60"/>
      <c r="BG65" s="60"/>
      <c r="BH65" s="60"/>
      <c r="BI65" s="60"/>
      <c r="BJ65" s="60"/>
      <c r="BK65" s="60"/>
      <c r="BL65" s="60"/>
      <c r="BM65" s="60"/>
      <c r="BN65" s="60"/>
      <c r="BO65" s="60"/>
      <c r="BP65" s="60"/>
      <c r="BQ65" s="60"/>
      <c r="BR65" s="60"/>
      <c r="BS65" s="60"/>
      <c r="BT65" s="60"/>
      <c r="BU65" s="60"/>
      <c r="BV65" s="60"/>
      <c r="BW65" s="60"/>
      <c r="BX65" s="60"/>
      <c r="BY65" s="60"/>
      <c r="BZ65" s="60"/>
      <c r="CA65" s="60"/>
      <c r="CB65" s="60"/>
      <c r="CC65" s="60"/>
      <c r="CD65" s="60"/>
      <c r="CE65" s="60"/>
      <c r="CF65" s="60"/>
      <c r="CG65" s="60"/>
      <c r="CH65" s="60"/>
      <c r="CI65" s="60"/>
      <c r="CJ65" s="60"/>
      <c r="CK65" s="60"/>
      <c r="CL65" s="60"/>
      <c r="CM65" s="60"/>
      <c r="CN65" s="60"/>
      <c r="CO65" s="60"/>
      <c r="CP65" s="60"/>
      <c r="CQ65" s="60"/>
      <c r="CR65" s="60"/>
      <c r="CS65" s="60"/>
      <c r="CT65" s="60"/>
      <c r="CU65" s="60"/>
      <c r="CV65" s="60"/>
      <c r="CW65" s="60"/>
      <c r="CX65" s="60"/>
      <c r="CY65" s="60"/>
      <c r="CZ65" s="60"/>
      <c r="DA65" s="60"/>
      <c r="DB65" s="60"/>
      <c r="DC65" s="60"/>
      <c r="DD65" s="60"/>
      <c r="DE65" s="60"/>
      <c r="DF65" s="60"/>
      <c r="DG65" s="60"/>
      <c r="DH65" s="60"/>
      <c r="DI65" s="60"/>
      <c r="DJ65" s="60"/>
      <c r="DK65" s="60"/>
      <c r="DL65" s="60"/>
      <c r="DM65" s="60"/>
      <c r="DN65" s="60"/>
      <c r="DO65" s="60"/>
      <c r="DP65" s="60"/>
      <c r="DQ65" s="60"/>
      <c r="DR65" s="60"/>
      <c r="DS65" s="60"/>
      <c r="DT65" s="60"/>
      <c r="DU65" s="60"/>
      <c r="DV65" s="60"/>
      <c r="DW65" s="60"/>
      <c r="DX65" s="60"/>
      <c r="DY65" s="60"/>
      <c r="DZ65" s="60"/>
      <c r="EA65" s="60"/>
      <c r="EB65" s="60"/>
      <c r="EC65" s="60"/>
      <c r="ED65" s="60"/>
      <c r="EE65" s="60"/>
      <c r="EF65" s="60"/>
      <c r="EG65" s="60"/>
      <c r="EH65" s="60"/>
      <c r="EI65" s="60"/>
      <c r="EJ65" s="60"/>
      <c r="EK65" s="60"/>
      <c r="EL65" s="60"/>
      <c r="EM65" s="60"/>
      <c r="EN65" s="60"/>
      <c r="EO65" s="60"/>
      <c r="EP65" s="60"/>
      <c r="EQ65" s="60"/>
      <c r="ER65" s="60"/>
      <c r="ES65" s="60"/>
      <c r="ET65" s="60"/>
      <c r="EU65" s="60"/>
      <c r="EV65" s="60"/>
      <c r="EW65" s="60"/>
      <c r="EX65" s="60"/>
      <c r="EY65" s="60"/>
      <c r="EZ65" s="60"/>
      <c r="FA65" s="60"/>
      <c r="FB65" s="60"/>
      <c r="FC65" s="60"/>
      <c r="FD65" s="60"/>
      <c r="FE65" s="60"/>
      <c r="FF65" s="60"/>
      <c r="FG65" s="60"/>
      <c r="FH65" s="60"/>
      <c r="FI65" s="60"/>
      <c r="FJ65" s="60"/>
      <c r="FK65" s="60"/>
      <c r="FL65" s="60"/>
      <c r="FM65" s="60"/>
      <c r="FN65" s="60"/>
      <c r="FO65" s="60"/>
      <c r="FP65" s="60"/>
      <c r="FQ65" s="60"/>
      <c r="FR65" s="60"/>
      <c r="FS65" s="60"/>
      <c r="FT65" s="60"/>
      <c r="FU65" s="60"/>
      <c r="FV65" s="60"/>
      <c r="FW65" s="60"/>
      <c r="FX65" s="60"/>
      <c r="FY65" s="60"/>
      <c r="FZ65" s="60"/>
      <c r="GA65" s="60"/>
      <c r="GB65" s="60"/>
      <c r="GC65" s="60"/>
      <c r="GD65" s="60"/>
      <c r="GE65" s="60"/>
      <c r="GF65" s="60"/>
      <c r="GG65" s="60"/>
      <c r="GH65" s="60"/>
      <c r="GI65" s="60"/>
      <c r="GJ65" s="60"/>
      <c r="GK65" s="60"/>
      <c r="GL65" s="60"/>
      <c r="GM65" s="60"/>
      <c r="GN65" s="60"/>
      <c r="GO65" s="60"/>
      <c r="GP65" s="60"/>
      <c r="GQ65" s="60"/>
      <c r="GR65" s="60"/>
      <c r="GS65" s="60"/>
      <c r="GT65" s="60"/>
      <c r="GU65" s="60"/>
      <c r="GV65" s="60"/>
      <c r="GW65" s="60"/>
      <c r="GX65" s="60"/>
      <c r="GY65" s="60"/>
      <c r="GZ65" s="60"/>
      <c r="HA65" s="60"/>
      <c r="HB65" s="60"/>
      <c r="HC65" s="60"/>
      <c r="HD65" s="60"/>
      <c r="HE65" s="60"/>
      <c r="HF65" s="60"/>
      <c r="HG65" s="60"/>
      <c r="HH65" s="60"/>
      <c r="HI65" s="60"/>
      <c r="HJ65" s="60"/>
      <c r="HK65" s="60"/>
      <c r="HL65" s="60"/>
      <c r="HM65" s="60"/>
      <c r="HN65" s="60"/>
      <c r="HO65" s="60"/>
      <c r="HP65" s="60"/>
      <c r="HQ65" s="60"/>
      <c r="HR65" s="60"/>
      <c r="HS65" s="60"/>
      <c r="HT65" s="60"/>
      <c r="HU65" s="60"/>
      <c r="HV65" s="60"/>
      <c r="HW65" s="60"/>
      <c r="HX65" s="60"/>
      <c r="HY65" s="60"/>
      <c r="HZ65" s="60"/>
      <c r="IA65" s="60"/>
      <c r="IB65" s="60"/>
      <c r="IC65" s="60"/>
      <c r="ID65" s="60"/>
      <c r="IE65" s="60"/>
      <c r="IF65" s="60"/>
      <c r="IG65" s="60"/>
      <c r="IH65" s="60"/>
      <c r="II65" s="60"/>
      <c r="IJ65" s="60"/>
      <c r="IK65" s="60"/>
      <c r="IL65" s="60"/>
      <c r="IM65" s="60"/>
      <c r="IN65" s="60"/>
      <c r="IO65" s="60"/>
      <c r="IP65" s="60"/>
      <c r="IQ65" s="60"/>
      <c r="IR65" s="60"/>
      <c r="IS65" s="60"/>
      <c r="IT65" s="60"/>
      <c r="IU65" s="60"/>
      <c r="IV65" s="60"/>
      <c r="IW65" s="60"/>
      <c r="IX65" s="60"/>
      <c r="IY65" s="60"/>
      <c r="IZ65" s="60"/>
      <c r="JA65" s="60"/>
      <c r="JB65" s="60"/>
      <c r="JC65" s="60"/>
      <c r="JD65" s="60"/>
      <c r="JE65" s="60"/>
      <c r="JF65" s="60"/>
      <c r="JG65" s="60"/>
      <c r="JH65" s="60"/>
      <c r="JI65" s="60"/>
      <c r="JJ65" s="60"/>
      <c r="JK65" s="60"/>
      <c r="JL65" s="60"/>
      <c r="JM65" s="60"/>
      <c r="JN65" s="60"/>
      <c r="JO65" s="60"/>
      <c r="JP65" s="60"/>
      <c r="JQ65" s="60"/>
      <c r="JR65" s="60"/>
      <c r="JS65" s="60"/>
      <c r="JT65" s="60"/>
      <c r="JU65" s="60"/>
      <c r="JV65" s="60"/>
      <c r="JW65" s="60"/>
      <c r="JX65" s="60"/>
      <c r="JY65" s="60"/>
      <c r="JZ65" s="60"/>
      <c r="KA65" s="60"/>
      <c r="KB65" s="60"/>
      <c r="KC65" s="60"/>
      <c r="KD65" s="60"/>
      <c r="KE65" s="60"/>
      <c r="KF65" s="60"/>
      <c r="KG65" s="60"/>
      <c r="KH65" s="60"/>
      <c r="KI65" s="60"/>
      <c r="KJ65" s="60"/>
      <c r="KK65" s="60"/>
      <c r="KL65" s="60"/>
      <c r="KM65" s="60"/>
      <c r="KN65" s="60"/>
      <c r="KO65" s="60"/>
      <c r="KP65" s="60"/>
      <c r="KQ65" s="60"/>
      <c r="KR65" s="60"/>
      <c r="KS65" s="60"/>
      <c r="KT65" s="60"/>
      <c r="KU65" s="60"/>
      <c r="KV65" s="60"/>
      <c r="KW65" s="60"/>
      <c r="KX65" s="60"/>
      <c r="KY65" s="60"/>
      <c r="KZ65" s="60"/>
      <c r="LA65" s="60"/>
      <c r="LB65" s="60"/>
      <c r="LC65" s="60"/>
      <c r="LD65" s="60"/>
      <c r="LE65" s="60"/>
      <c r="LF65" s="60"/>
      <c r="LG65" s="60"/>
      <c r="LH65" s="60"/>
    </row>
    <row r="66" spans="1:320" s="17" customFormat="1" x14ac:dyDescent="0.25">
      <c r="A66" s="147"/>
      <c r="E66" s="156"/>
      <c r="F66" s="156"/>
      <c r="G66" s="156"/>
      <c r="H66" s="156"/>
      <c r="I66" s="156"/>
      <c r="J66" s="156"/>
      <c r="K66" s="156"/>
      <c r="L66" s="156"/>
      <c r="M66" s="156"/>
      <c r="N66" s="156"/>
      <c r="O66" s="156"/>
      <c r="P66" s="156"/>
      <c r="Q66" s="156"/>
      <c r="R66" s="156"/>
      <c r="S66" s="156"/>
      <c r="AC66" s="60"/>
      <c r="AD66" s="60"/>
      <c r="AE66" s="60"/>
      <c r="AF66" s="60"/>
      <c r="AG66" s="60"/>
      <c r="AH66" s="60"/>
      <c r="AI66" s="60"/>
      <c r="AJ66" s="60"/>
      <c r="AK66" s="60"/>
      <c r="AL66" s="60"/>
      <c r="AM66" s="60"/>
      <c r="AN66" s="60"/>
      <c r="AO66" s="60"/>
      <c r="AP66" s="60"/>
      <c r="AQ66" s="60"/>
      <c r="AR66" s="60"/>
      <c r="AS66" s="60"/>
      <c r="AT66" s="60"/>
      <c r="AU66" s="60"/>
      <c r="AV66" s="60"/>
      <c r="AW66" s="60"/>
      <c r="AX66" s="60"/>
      <c r="AY66" s="60"/>
      <c r="AZ66" s="60"/>
      <c r="BA66" s="60"/>
      <c r="BB66" s="60"/>
      <c r="BC66" s="60"/>
      <c r="BD66" s="60"/>
      <c r="BE66" s="60"/>
      <c r="BF66" s="60"/>
      <c r="BG66" s="60"/>
      <c r="BH66" s="60"/>
      <c r="BI66" s="60"/>
      <c r="BJ66" s="60"/>
      <c r="BK66" s="60"/>
      <c r="BL66" s="60"/>
      <c r="BM66" s="60"/>
      <c r="BN66" s="60"/>
      <c r="BO66" s="60"/>
      <c r="BP66" s="60"/>
      <c r="BQ66" s="60"/>
      <c r="BR66" s="60"/>
      <c r="BS66" s="60"/>
      <c r="BT66" s="60"/>
      <c r="BU66" s="60"/>
      <c r="BV66" s="60"/>
      <c r="BW66" s="60"/>
      <c r="BX66" s="60"/>
      <c r="BY66" s="60"/>
      <c r="BZ66" s="60"/>
      <c r="CA66" s="60"/>
      <c r="CB66" s="60"/>
      <c r="CC66" s="60"/>
      <c r="CD66" s="60"/>
      <c r="CE66" s="60"/>
      <c r="CF66" s="60"/>
      <c r="CG66" s="60"/>
      <c r="CH66" s="60"/>
      <c r="CI66" s="60"/>
      <c r="CJ66" s="60"/>
      <c r="CK66" s="60"/>
      <c r="CL66" s="60"/>
      <c r="CM66" s="60"/>
      <c r="CN66" s="60"/>
      <c r="CO66" s="60"/>
      <c r="CP66" s="60"/>
      <c r="CQ66" s="60"/>
      <c r="CR66" s="60"/>
      <c r="CS66" s="60"/>
      <c r="CT66" s="60"/>
      <c r="CU66" s="60"/>
      <c r="CV66" s="60"/>
      <c r="CW66" s="60"/>
      <c r="CX66" s="60"/>
      <c r="CY66" s="60"/>
      <c r="CZ66" s="60"/>
      <c r="DA66" s="60"/>
      <c r="DB66" s="60"/>
      <c r="DC66" s="60"/>
      <c r="DD66" s="60"/>
      <c r="DE66" s="60"/>
      <c r="DF66" s="60"/>
      <c r="DG66" s="60"/>
      <c r="DH66" s="60"/>
      <c r="DI66" s="60"/>
      <c r="DJ66" s="60"/>
      <c r="DK66" s="60"/>
      <c r="DL66" s="60"/>
      <c r="DM66" s="60"/>
      <c r="DN66" s="60"/>
      <c r="DO66" s="60"/>
      <c r="DP66" s="60"/>
      <c r="DQ66" s="60"/>
      <c r="DR66" s="60"/>
      <c r="DS66" s="60"/>
      <c r="DT66" s="60"/>
      <c r="DU66" s="60"/>
      <c r="DV66" s="60"/>
      <c r="DW66" s="60"/>
      <c r="DX66" s="60"/>
      <c r="DY66" s="60"/>
      <c r="DZ66" s="60"/>
      <c r="EA66" s="60"/>
      <c r="EB66" s="60"/>
      <c r="EC66" s="60"/>
      <c r="ED66" s="60"/>
      <c r="EE66" s="60"/>
      <c r="EF66" s="60"/>
      <c r="EG66" s="60"/>
      <c r="EH66" s="60"/>
      <c r="EI66" s="60"/>
      <c r="EJ66" s="60"/>
      <c r="EK66" s="60"/>
      <c r="EL66" s="60"/>
      <c r="EM66" s="60"/>
      <c r="EN66" s="60"/>
      <c r="EO66" s="60"/>
      <c r="EP66" s="60"/>
      <c r="EQ66" s="60"/>
      <c r="ER66" s="60"/>
      <c r="ES66" s="60"/>
      <c r="ET66" s="60"/>
      <c r="EU66" s="60"/>
      <c r="EV66" s="60"/>
      <c r="EW66" s="60"/>
      <c r="EX66" s="60"/>
      <c r="EY66" s="60"/>
      <c r="EZ66" s="60"/>
      <c r="FA66" s="60"/>
      <c r="FB66" s="60"/>
      <c r="FC66" s="60"/>
      <c r="FD66" s="60"/>
      <c r="FE66" s="60"/>
      <c r="FF66" s="60"/>
      <c r="FG66" s="60"/>
      <c r="FH66" s="60"/>
      <c r="FI66" s="60"/>
      <c r="FJ66" s="60"/>
      <c r="FK66" s="60"/>
      <c r="FL66" s="60"/>
      <c r="FM66" s="60"/>
      <c r="FN66" s="60"/>
      <c r="FO66" s="60"/>
      <c r="FP66" s="60"/>
      <c r="FQ66" s="60"/>
      <c r="FR66" s="60"/>
      <c r="FS66" s="60"/>
      <c r="FT66" s="60"/>
      <c r="FU66" s="60"/>
      <c r="FV66" s="60"/>
      <c r="FW66" s="60"/>
      <c r="FX66" s="60"/>
      <c r="FY66" s="60"/>
      <c r="FZ66" s="60"/>
      <c r="GA66" s="60"/>
      <c r="GB66" s="60"/>
      <c r="GC66" s="60"/>
      <c r="GD66" s="60"/>
      <c r="GE66" s="60"/>
      <c r="GF66" s="60"/>
      <c r="GG66" s="60"/>
      <c r="GH66" s="60"/>
      <c r="GI66" s="60"/>
      <c r="GJ66" s="60"/>
      <c r="GK66" s="60"/>
      <c r="GL66" s="60"/>
      <c r="GM66" s="60"/>
      <c r="GN66" s="60"/>
      <c r="GO66" s="60"/>
      <c r="GP66" s="60"/>
      <c r="GQ66" s="60"/>
      <c r="GR66" s="60"/>
      <c r="GS66" s="60"/>
      <c r="GT66" s="60"/>
      <c r="GU66" s="60"/>
      <c r="GV66" s="60"/>
      <c r="GW66" s="60"/>
      <c r="GX66" s="60"/>
      <c r="GY66" s="60"/>
      <c r="GZ66" s="60"/>
      <c r="HA66" s="60"/>
      <c r="HB66" s="60"/>
      <c r="HC66" s="60"/>
      <c r="HD66" s="60"/>
      <c r="HE66" s="60"/>
      <c r="HF66" s="60"/>
      <c r="HG66" s="60"/>
      <c r="HH66" s="60"/>
      <c r="HI66" s="60"/>
      <c r="HJ66" s="60"/>
      <c r="HK66" s="60"/>
      <c r="HL66" s="60"/>
      <c r="HM66" s="60"/>
      <c r="HN66" s="60"/>
      <c r="HO66" s="60"/>
      <c r="HP66" s="60"/>
      <c r="HQ66" s="60"/>
      <c r="HR66" s="60"/>
      <c r="HS66" s="60"/>
      <c r="HT66" s="60"/>
      <c r="HU66" s="60"/>
      <c r="HV66" s="60"/>
      <c r="HW66" s="60"/>
      <c r="HX66" s="60"/>
      <c r="HY66" s="60"/>
      <c r="HZ66" s="60"/>
      <c r="IA66" s="60"/>
      <c r="IB66" s="60"/>
      <c r="IC66" s="60"/>
      <c r="ID66" s="60"/>
      <c r="IE66" s="60"/>
      <c r="IF66" s="60"/>
      <c r="IG66" s="60"/>
      <c r="IH66" s="60"/>
      <c r="II66" s="60"/>
      <c r="IJ66" s="60"/>
      <c r="IK66" s="60"/>
      <c r="IL66" s="60"/>
      <c r="IM66" s="60"/>
      <c r="IN66" s="60"/>
      <c r="IO66" s="60"/>
      <c r="IP66" s="60"/>
      <c r="IQ66" s="60"/>
      <c r="IR66" s="60"/>
      <c r="IS66" s="60"/>
      <c r="IT66" s="60"/>
      <c r="IU66" s="60"/>
      <c r="IV66" s="60"/>
      <c r="IW66" s="60"/>
      <c r="IX66" s="60"/>
      <c r="IY66" s="60"/>
      <c r="IZ66" s="60"/>
      <c r="JA66" s="60"/>
      <c r="JB66" s="60"/>
      <c r="JC66" s="60"/>
      <c r="JD66" s="60"/>
      <c r="JE66" s="60"/>
      <c r="JF66" s="60"/>
      <c r="JG66" s="60"/>
      <c r="JH66" s="60"/>
      <c r="JI66" s="60"/>
      <c r="JJ66" s="60"/>
      <c r="JK66" s="60"/>
      <c r="JL66" s="60"/>
      <c r="JM66" s="60"/>
      <c r="JN66" s="60"/>
      <c r="JO66" s="60"/>
      <c r="JP66" s="60"/>
      <c r="JQ66" s="60"/>
      <c r="JR66" s="60"/>
      <c r="JS66" s="60"/>
      <c r="JT66" s="60"/>
      <c r="JU66" s="60"/>
      <c r="JV66" s="60"/>
      <c r="JW66" s="60"/>
      <c r="JX66" s="60"/>
      <c r="JY66" s="60"/>
      <c r="JZ66" s="60"/>
      <c r="KA66" s="60"/>
      <c r="KB66" s="60"/>
      <c r="KC66" s="60"/>
      <c r="KD66" s="60"/>
      <c r="KE66" s="60"/>
      <c r="KF66" s="60"/>
      <c r="KG66" s="60"/>
      <c r="KH66" s="60"/>
      <c r="KI66" s="60"/>
      <c r="KJ66" s="60"/>
      <c r="KK66" s="60"/>
      <c r="KL66" s="60"/>
      <c r="KM66" s="60"/>
      <c r="KN66" s="60"/>
      <c r="KO66" s="60"/>
      <c r="KP66" s="60"/>
      <c r="KQ66" s="60"/>
      <c r="KR66" s="60"/>
      <c r="KS66" s="60"/>
      <c r="KT66" s="60"/>
      <c r="KU66" s="60"/>
      <c r="KV66" s="60"/>
      <c r="KW66" s="60"/>
      <c r="KX66" s="60"/>
      <c r="KY66" s="60"/>
      <c r="KZ66" s="60"/>
      <c r="LA66" s="60"/>
      <c r="LB66" s="60"/>
      <c r="LC66" s="60"/>
      <c r="LD66" s="60"/>
      <c r="LE66" s="60"/>
      <c r="LF66" s="60"/>
      <c r="LG66" s="60"/>
      <c r="LH66" s="60"/>
    </row>
    <row r="67" spans="1:320" s="17" customFormat="1" x14ac:dyDescent="0.25">
      <c r="A67" s="147"/>
      <c r="E67" s="156"/>
      <c r="F67" s="156"/>
      <c r="G67" s="156"/>
      <c r="H67" s="156"/>
      <c r="I67" s="156"/>
      <c r="J67" s="156"/>
      <c r="K67" s="156"/>
      <c r="L67" s="156"/>
      <c r="M67" s="156"/>
      <c r="N67" s="156"/>
      <c r="O67" s="156"/>
      <c r="P67" s="156"/>
      <c r="Q67" s="156"/>
      <c r="R67" s="156"/>
      <c r="S67" s="156"/>
      <c r="AC67" s="60"/>
      <c r="AD67" s="60"/>
      <c r="AE67" s="60"/>
      <c r="AF67" s="60"/>
      <c r="AG67" s="60"/>
      <c r="AH67" s="60"/>
      <c r="AI67" s="60"/>
      <c r="AJ67" s="60"/>
      <c r="AK67" s="60"/>
      <c r="AL67" s="60"/>
      <c r="AM67" s="60"/>
      <c r="AN67" s="60"/>
      <c r="AO67" s="60"/>
      <c r="AP67" s="60"/>
      <c r="AQ67" s="60"/>
      <c r="AR67" s="60"/>
      <c r="AS67" s="60"/>
      <c r="AT67" s="60"/>
      <c r="AU67" s="60"/>
      <c r="AV67" s="60"/>
      <c r="AW67" s="60"/>
      <c r="AX67" s="60"/>
      <c r="AY67" s="60"/>
      <c r="AZ67" s="60"/>
      <c r="BA67" s="60"/>
      <c r="BB67" s="60"/>
      <c r="BC67" s="60"/>
      <c r="BD67" s="60"/>
      <c r="BE67" s="60"/>
      <c r="BF67" s="60"/>
      <c r="BG67" s="60"/>
      <c r="BH67" s="60"/>
      <c r="BI67" s="60"/>
      <c r="BJ67" s="60"/>
      <c r="BK67" s="60"/>
      <c r="BL67" s="60"/>
      <c r="BM67" s="60"/>
      <c r="BN67" s="60"/>
      <c r="BO67" s="60"/>
      <c r="BP67" s="60"/>
      <c r="BQ67" s="60"/>
      <c r="BR67" s="60"/>
      <c r="BS67" s="60"/>
      <c r="BT67" s="60"/>
      <c r="BU67" s="60"/>
      <c r="BV67" s="60"/>
      <c r="BW67" s="60"/>
      <c r="BX67" s="60"/>
      <c r="BY67" s="60"/>
      <c r="BZ67" s="60"/>
      <c r="CA67" s="60"/>
      <c r="CB67" s="60"/>
      <c r="CC67" s="60"/>
      <c r="CD67" s="60"/>
      <c r="CE67" s="60"/>
      <c r="CF67" s="60"/>
      <c r="CG67" s="60"/>
      <c r="CH67" s="60"/>
      <c r="CI67" s="60"/>
      <c r="CJ67" s="60"/>
      <c r="CK67" s="60"/>
      <c r="CL67" s="60"/>
      <c r="CM67" s="60"/>
      <c r="CN67" s="60"/>
      <c r="CO67" s="60"/>
      <c r="CP67" s="60"/>
      <c r="CQ67" s="60"/>
      <c r="CR67" s="60"/>
      <c r="CS67" s="60"/>
      <c r="CT67" s="60"/>
      <c r="CU67" s="60"/>
      <c r="CV67" s="60"/>
      <c r="CW67" s="60"/>
      <c r="CX67" s="60"/>
      <c r="CY67" s="60"/>
      <c r="CZ67" s="60"/>
      <c r="DA67" s="60"/>
      <c r="DB67" s="60"/>
      <c r="DC67" s="60"/>
      <c r="DD67" s="60"/>
      <c r="DE67" s="60"/>
      <c r="DF67" s="60"/>
      <c r="DG67" s="60"/>
      <c r="DH67" s="60"/>
      <c r="DI67" s="60"/>
      <c r="DJ67" s="60"/>
      <c r="DK67" s="60"/>
      <c r="DL67" s="60"/>
      <c r="DM67" s="60"/>
      <c r="DN67" s="60"/>
      <c r="DO67" s="60"/>
      <c r="DP67" s="60"/>
      <c r="DQ67" s="60"/>
      <c r="DR67" s="60"/>
      <c r="DS67" s="60"/>
      <c r="DT67" s="60"/>
      <c r="DU67" s="60"/>
      <c r="DV67" s="60"/>
      <c r="DW67" s="60"/>
      <c r="DX67" s="60"/>
      <c r="DY67" s="60"/>
      <c r="DZ67" s="60"/>
      <c r="EA67" s="60"/>
      <c r="EB67" s="60"/>
      <c r="EC67" s="60"/>
      <c r="ED67" s="60"/>
      <c r="EE67" s="60"/>
      <c r="EF67" s="60"/>
      <c r="EG67" s="60"/>
      <c r="EH67" s="60"/>
      <c r="EI67" s="60"/>
      <c r="EJ67" s="60"/>
      <c r="EK67" s="60"/>
      <c r="EL67" s="60"/>
      <c r="EM67" s="60"/>
      <c r="EN67" s="60"/>
      <c r="EO67" s="60"/>
      <c r="EP67" s="60"/>
      <c r="EQ67" s="60"/>
      <c r="ER67" s="60"/>
      <c r="ES67" s="60"/>
      <c r="ET67" s="60"/>
      <c r="EU67" s="60"/>
      <c r="EV67" s="60"/>
      <c r="EW67" s="60"/>
      <c r="EX67" s="60"/>
      <c r="EY67" s="60"/>
      <c r="EZ67" s="60"/>
      <c r="FA67" s="60"/>
      <c r="FB67" s="60"/>
      <c r="FC67" s="60"/>
      <c r="FD67" s="60"/>
      <c r="FE67" s="60"/>
      <c r="FF67" s="60"/>
      <c r="FG67" s="60"/>
      <c r="FH67" s="60"/>
      <c r="FI67" s="60"/>
      <c r="FJ67" s="60"/>
      <c r="FK67" s="60"/>
      <c r="FL67" s="60"/>
      <c r="FM67" s="60"/>
      <c r="FN67" s="60"/>
      <c r="FO67" s="60"/>
      <c r="FP67" s="60"/>
      <c r="FQ67" s="60"/>
      <c r="FR67" s="60"/>
      <c r="FS67" s="60"/>
      <c r="FT67" s="60"/>
      <c r="FU67" s="60"/>
      <c r="FV67" s="60"/>
      <c r="FW67" s="60"/>
      <c r="FX67" s="60"/>
      <c r="FY67" s="60"/>
      <c r="FZ67" s="60"/>
      <c r="GA67" s="60"/>
      <c r="GB67" s="60"/>
      <c r="GC67" s="60"/>
      <c r="GD67" s="60"/>
      <c r="GE67" s="60"/>
      <c r="GF67" s="60"/>
      <c r="GG67" s="60"/>
      <c r="GH67" s="60"/>
      <c r="GI67" s="60"/>
      <c r="GJ67" s="60"/>
      <c r="GK67" s="60"/>
      <c r="GL67" s="60"/>
      <c r="GM67" s="60"/>
      <c r="GN67" s="60"/>
      <c r="GO67" s="60"/>
      <c r="GP67" s="60"/>
      <c r="GQ67" s="60"/>
      <c r="GR67" s="60"/>
      <c r="GS67" s="60"/>
      <c r="GT67" s="60"/>
      <c r="GU67" s="60"/>
      <c r="GV67" s="60"/>
      <c r="GW67" s="60"/>
      <c r="GX67" s="60"/>
      <c r="GY67" s="60"/>
      <c r="GZ67" s="60"/>
      <c r="HA67" s="60"/>
      <c r="HB67" s="60"/>
      <c r="HC67" s="60"/>
      <c r="HD67" s="60"/>
      <c r="HE67" s="60"/>
      <c r="HF67" s="60"/>
      <c r="HG67" s="60"/>
      <c r="HH67" s="60"/>
      <c r="HI67" s="60"/>
      <c r="HJ67" s="60"/>
      <c r="HK67" s="60"/>
      <c r="HL67" s="60"/>
      <c r="HM67" s="60"/>
      <c r="HN67" s="60"/>
      <c r="HO67" s="60"/>
      <c r="HP67" s="60"/>
      <c r="HQ67" s="60"/>
      <c r="HR67" s="60"/>
      <c r="HS67" s="60"/>
      <c r="HT67" s="60"/>
      <c r="HU67" s="60"/>
      <c r="HV67" s="60"/>
      <c r="HW67" s="60"/>
      <c r="HX67" s="60"/>
      <c r="HY67" s="60"/>
      <c r="HZ67" s="60"/>
      <c r="IA67" s="60"/>
      <c r="IB67" s="60"/>
      <c r="IC67" s="60"/>
      <c r="ID67" s="60"/>
      <c r="IE67" s="60"/>
      <c r="IF67" s="60"/>
      <c r="IG67" s="60"/>
      <c r="IH67" s="60"/>
      <c r="II67" s="60"/>
      <c r="IJ67" s="60"/>
      <c r="IK67" s="60"/>
      <c r="IL67" s="60"/>
      <c r="IM67" s="60"/>
      <c r="IN67" s="60"/>
      <c r="IO67" s="60"/>
      <c r="IP67" s="60"/>
      <c r="IQ67" s="60"/>
      <c r="IR67" s="60"/>
      <c r="IS67" s="60"/>
      <c r="IT67" s="60"/>
      <c r="IU67" s="60"/>
      <c r="IV67" s="60"/>
      <c r="IW67" s="60"/>
      <c r="IX67" s="60"/>
      <c r="IY67" s="60"/>
      <c r="IZ67" s="60"/>
      <c r="JA67" s="60"/>
      <c r="JB67" s="60"/>
      <c r="JC67" s="60"/>
      <c r="JD67" s="60"/>
      <c r="JE67" s="60"/>
      <c r="JF67" s="60"/>
      <c r="JG67" s="60"/>
      <c r="JH67" s="60"/>
      <c r="JI67" s="60"/>
      <c r="JJ67" s="60"/>
      <c r="JK67" s="60"/>
      <c r="JL67" s="60"/>
      <c r="JM67" s="60"/>
      <c r="JN67" s="60"/>
      <c r="JO67" s="60"/>
      <c r="JP67" s="60"/>
      <c r="JQ67" s="60"/>
      <c r="JR67" s="60"/>
      <c r="JS67" s="60"/>
      <c r="JT67" s="60"/>
      <c r="JU67" s="60"/>
      <c r="JV67" s="60"/>
      <c r="JW67" s="60"/>
      <c r="JX67" s="60"/>
      <c r="JY67" s="60"/>
      <c r="JZ67" s="60"/>
      <c r="KA67" s="60"/>
      <c r="KB67" s="60"/>
      <c r="KC67" s="60"/>
      <c r="KD67" s="60"/>
      <c r="KE67" s="60"/>
      <c r="KF67" s="60"/>
      <c r="KG67" s="60"/>
      <c r="KH67" s="60"/>
      <c r="KI67" s="60"/>
      <c r="KJ67" s="60"/>
      <c r="KK67" s="60"/>
      <c r="KL67" s="60"/>
      <c r="KM67" s="60"/>
      <c r="KN67" s="60"/>
      <c r="KO67" s="60"/>
      <c r="KP67" s="60"/>
      <c r="KQ67" s="60"/>
      <c r="KR67" s="60"/>
      <c r="KS67" s="60"/>
      <c r="KT67" s="60"/>
      <c r="KU67" s="60"/>
      <c r="KV67" s="60"/>
      <c r="KW67" s="60"/>
      <c r="KX67" s="60"/>
      <c r="KY67" s="60"/>
      <c r="KZ67" s="60"/>
      <c r="LA67" s="60"/>
      <c r="LB67" s="60"/>
      <c r="LC67" s="60"/>
      <c r="LD67" s="60"/>
      <c r="LE67" s="60"/>
      <c r="LF67" s="60"/>
      <c r="LG67" s="60"/>
      <c r="LH67" s="60"/>
    </row>
    <row r="68" spans="1:320" s="17" customFormat="1" x14ac:dyDescent="0.25">
      <c r="A68" s="147"/>
      <c r="E68" s="156"/>
      <c r="F68" s="156"/>
      <c r="G68" s="156"/>
      <c r="H68" s="156"/>
      <c r="I68" s="156"/>
      <c r="J68" s="156"/>
      <c r="K68" s="156"/>
      <c r="L68" s="156"/>
      <c r="M68" s="156"/>
      <c r="N68" s="156"/>
      <c r="O68" s="156"/>
      <c r="P68" s="156"/>
      <c r="Q68" s="156"/>
      <c r="R68" s="156"/>
      <c r="S68" s="156"/>
      <c r="AC68" s="60"/>
      <c r="AD68" s="60"/>
      <c r="AE68" s="60"/>
      <c r="AF68" s="60"/>
      <c r="AG68" s="60"/>
      <c r="AH68" s="60"/>
      <c r="AI68" s="60"/>
      <c r="AJ68" s="60"/>
      <c r="AK68" s="60"/>
      <c r="AL68" s="60"/>
      <c r="AM68" s="60"/>
      <c r="AN68" s="60"/>
      <c r="AO68" s="60"/>
      <c r="AP68" s="60"/>
      <c r="AQ68" s="60"/>
      <c r="AR68" s="60"/>
      <c r="AS68" s="60"/>
      <c r="AT68" s="60"/>
      <c r="AU68" s="60"/>
      <c r="AV68" s="60"/>
      <c r="AW68" s="60"/>
      <c r="AX68" s="60"/>
      <c r="AY68" s="60"/>
      <c r="AZ68" s="60"/>
      <c r="BA68" s="60"/>
      <c r="BB68" s="60"/>
      <c r="BC68" s="60"/>
      <c r="BD68" s="60"/>
      <c r="BE68" s="60"/>
      <c r="BF68" s="60"/>
      <c r="BG68" s="60"/>
      <c r="BH68" s="60"/>
      <c r="BI68" s="60"/>
      <c r="BJ68" s="60"/>
      <c r="BK68" s="60"/>
      <c r="BL68" s="60"/>
      <c r="BM68" s="60"/>
      <c r="BN68" s="60"/>
      <c r="BO68" s="60"/>
      <c r="BP68" s="60"/>
      <c r="BQ68" s="60"/>
      <c r="BR68" s="60"/>
      <c r="BS68" s="60"/>
      <c r="BT68" s="60"/>
      <c r="BU68" s="60"/>
      <c r="BV68" s="60"/>
      <c r="BW68" s="60"/>
      <c r="BX68" s="60"/>
      <c r="BY68" s="60"/>
      <c r="BZ68" s="60"/>
      <c r="CA68" s="60"/>
      <c r="CB68" s="60"/>
      <c r="CC68" s="60"/>
      <c r="CD68" s="60"/>
      <c r="CE68" s="60"/>
      <c r="CF68" s="60"/>
      <c r="CG68" s="60"/>
      <c r="CH68" s="60"/>
      <c r="CI68" s="60"/>
      <c r="CJ68" s="60"/>
      <c r="CK68" s="60"/>
      <c r="CL68" s="60"/>
      <c r="CM68" s="60"/>
      <c r="CN68" s="60"/>
      <c r="CO68" s="60"/>
      <c r="CP68" s="60"/>
      <c r="CQ68" s="60"/>
      <c r="CR68" s="60"/>
      <c r="CS68" s="60"/>
      <c r="CT68" s="60"/>
      <c r="CU68" s="60"/>
      <c r="CV68" s="60"/>
      <c r="CW68" s="60"/>
      <c r="CX68" s="60"/>
      <c r="CY68" s="60"/>
      <c r="CZ68" s="60"/>
      <c r="DA68" s="60"/>
      <c r="DB68" s="60"/>
      <c r="DC68" s="60"/>
      <c r="DD68" s="60"/>
      <c r="DE68" s="60"/>
      <c r="DF68" s="60"/>
      <c r="DG68" s="60"/>
      <c r="DH68" s="60"/>
      <c r="DI68" s="60"/>
      <c r="DJ68" s="60"/>
      <c r="DK68" s="60"/>
      <c r="DL68" s="60"/>
      <c r="DM68" s="60"/>
      <c r="DN68" s="60"/>
      <c r="DO68" s="60"/>
      <c r="DP68" s="60"/>
      <c r="DQ68" s="60"/>
      <c r="DR68" s="60"/>
      <c r="DS68" s="60"/>
      <c r="DT68" s="60"/>
      <c r="DU68" s="60"/>
      <c r="DV68" s="60"/>
      <c r="DW68" s="60"/>
      <c r="DX68" s="60"/>
      <c r="DY68" s="60"/>
      <c r="DZ68" s="60"/>
      <c r="EA68" s="60"/>
      <c r="EB68" s="60"/>
      <c r="EC68" s="60"/>
      <c r="ED68" s="60"/>
      <c r="EE68" s="60"/>
      <c r="EF68" s="60"/>
      <c r="EG68" s="60"/>
      <c r="EH68" s="60"/>
      <c r="EI68" s="60"/>
      <c r="EJ68" s="60"/>
      <c r="EK68" s="60"/>
      <c r="EL68" s="60"/>
      <c r="EM68" s="60"/>
      <c r="EN68" s="60"/>
      <c r="EO68" s="60"/>
      <c r="EP68" s="60"/>
      <c r="EQ68" s="60"/>
      <c r="ER68" s="60"/>
      <c r="ES68" s="60"/>
      <c r="ET68" s="60"/>
      <c r="EU68" s="60"/>
      <c r="EV68" s="60"/>
      <c r="EW68" s="60"/>
      <c r="EX68" s="60"/>
      <c r="EY68" s="60"/>
      <c r="EZ68" s="60"/>
      <c r="FA68" s="60"/>
      <c r="FB68" s="60"/>
      <c r="FC68" s="60"/>
      <c r="FD68" s="60"/>
      <c r="FE68" s="60"/>
      <c r="FF68" s="60"/>
      <c r="FG68" s="60"/>
      <c r="FH68" s="60"/>
      <c r="FI68" s="60"/>
      <c r="FJ68" s="60"/>
      <c r="FK68" s="60"/>
      <c r="FL68" s="60"/>
      <c r="FM68" s="60"/>
      <c r="FN68" s="60"/>
      <c r="FO68" s="60"/>
      <c r="FP68" s="60"/>
      <c r="FQ68" s="60"/>
      <c r="FR68" s="60"/>
      <c r="FS68" s="60"/>
      <c r="FT68" s="60"/>
      <c r="FU68" s="60"/>
      <c r="FV68" s="60"/>
      <c r="FW68" s="60"/>
      <c r="FX68" s="60"/>
      <c r="FY68" s="60"/>
      <c r="FZ68" s="60"/>
      <c r="GA68" s="60"/>
      <c r="GB68" s="60"/>
      <c r="GC68" s="60"/>
      <c r="GD68" s="60"/>
      <c r="GE68" s="60"/>
      <c r="GF68" s="60"/>
      <c r="GG68" s="60"/>
      <c r="GH68" s="60"/>
      <c r="GI68" s="60"/>
      <c r="GJ68" s="60"/>
      <c r="GK68" s="60"/>
      <c r="GL68" s="60"/>
      <c r="GM68" s="60"/>
      <c r="GN68" s="60"/>
      <c r="GO68" s="60"/>
      <c r="GP68" s="60"/>
      <c r="GQ68" s="60"/>
      <c r="GR68" s="60"/>
      <c r="GS68" s="60"/>
      <c r="GT68" s="60"/>
      <c r="GU68" s="60"/>
      <c r="GV68" s="60"/>
      <c r="GW68" s="60"/>
      <c r="GX68" s="60"/>
      <c r="GY68" s="60"/>
      <c r="GZ68" s="60"/>
      <c r="HA68" s="60"/>
      <c r="HB68" s="60"/>
      <c r="HC68" s="60"/>
      <c r="HD68" s="60"/>
      <c r="HE68" s="60"/>
      <c r="HF68" s="60"/>
      <c r="HG68" s="60"/>
      <c r="HH68" s="60"/>
      <c r="HI68" s="60"/>
      <c r="HJ68" s="60"/>
      <c r="HK68" s="60"/>
      <c r="HL68" s="60"/>
      <c r="HM68" s="60"/>
      <c r="HN68" s="60"/>
      <c r="HO68" s="60"/>
      <c r="HP68" s="60"/>
      <c r="HQ68" s="60"/>
      <c r="HR68" s="60"/>
      <c r="HS68" s="60"/>
      <c r="HT68" s="60"/>
      <c r="HU68" s="60"/>
      <c r="HV68" s="60"/>
      <c r="HW68" s="60"/>
      <c r="HX68" s="60"/>
      <c r="HY68" s="60"/>
      <c r="HZ68" s="60"/>
      <c r="IA68" s="60"/>
      <c r="IB68" s="60"/>
      <c r="IC68" s="60"/>
      <c r="ID68" s="60"/>
      <c r="IE68" s="60"/>
      <c r="IF68" s="60"/>
      <c r="IG68" s="60"/>
      <c r="IH68" s="60"/>
      <c r="II68" s="60"/>
      <c r="IJ68" s="60"/>
      <c r="IK68" s="60"/>
      <c r="IL68" s="60"/>
      <c r="IM68" s="60"/>
      <c r="IN68" s="60"/>
      <c r="IO68" s="60"/>
      <c r="IP68" s="60"/>
      <c r="IQ68" s="60"/>
      <c r="IR68" s="60"/>
      <c r="IS68" s="60"/>
      <c r="IT68" s="60"/>
      <c r="IU68" s="60"/>
      <c r="IV68" s="60"/>
      <c r="IW68" s="60"/>
      <c r="IX68" s="60"/>
      <c r="IY68" s="60"/>
      <c r="IZ68" s="60"/>
      <c r="JA68" s="60"/>
      <c r="JB68" s="60"/>
      <c r="JC68" s="60"/>
      <c r="JD68" s="60"/>
      <c r="JE68" s="60"/>
      <c r="JF68" s="60"/>
      <c r="JG68" s="60"/>
      <c r="JH68" s="60"/>
      <c r="JI68" s="60"/>
      <c r="JJ68" s="60"/>
      <c r="JK68" s="60"/>
      <c r="JL68" s="60"/>
      <c r="JM68" s="60"/>
      <c r="JN68" s="60"/>
      <c r="JO68" s="60"/>
      <c r="JP68" s="60"/>
      <c r="JQ68" s="60"/>
      <c r="JR68" s="60"/>
      <c r="JS68" s="60"/>
      <c r="JT68" s="60"/>
      <c r="JU68" s="60"/>
      <c r="JV68" s="60"/>
      <c r="JW68" s="60"/>
      <c r="JX68" s="60"/>
      <c r="JY68" s="60"/>
      <c r="JZ68" s="60"/>
      <c r="KA68" s="60"/>
      <c r="KB68" s="60"/>
      <c r="KC68" s="60"/>
      <c r="KD68" s="60"/>
      <c r="KE68" s="60"/>
      <c r="KF68" s="60"/>
      <c r="KG68" s="60"/>
      <c r="KH68" s="60"/>
      <c r="KI68" s="60"/>
      <c r="KJ68" s="60"/>
      <c r="KK68" s="60"/>
      <c r="KL68" s="60"/>
      <c r="KM68" s="60"/>
      <c r="KN68" s="60"/>
      <c r="KO68" s="60"/>
      <c r="KP68" s="60"/>
      <c r="KQ68" s="60"/>
      <c r="KR68" s="60"/>
      <c r="KS68" s="60"/>
      <c r="KT68" s="60"/>
      <c r="KU68" s="60"/>
      <c r="KV68" s="60"/>
      <c r="KW68" s="60"/>
      <c r="KX68" s="60"/>
      <c r="KY68" s="60"/>
      <c r="KZ68" s="60"/>
      <c r="LA68" s="60"/>
      <c r="LB68" s="60"/>
      <c r="LC68" s="60"/>
      <c r="LD68" s="60"/>
      <c r="LE68" s="60"/>
      <c r="LF68" s="60"/>
      <c r="LG68" s="60"/>
      <c r="LH68" s="60"/>
    </row>
    <row r="69" spans="1:320" s="17" customFormat="1" x14ac:dyDescent="0.25">
      <c r="A69" s="147"/>
      <c r="E69" s="156"/>
      <c r="F69" s="156"/>
      <c r="G69" s="156"/>
      <c r="H69" s="156"/>
      <c r="I69" s="156"/>
      <c r="J69" s="156"/>
      <c r="K69" s="156"/>
      <c r="L69" s="156"/>
      <c r="M69" s="156"/>
      <c r="N69" s="156"/>
      <c r="O69" s="156"/>
      <c r="P69" s="156"/>
      <c r="Q69" s="156"/>
      <c r="R69" s="156"/>
      <c r="S69" s="156"/>
      <c r="AC69" s="60"/>
      <c r="AD69" s="60"/>
      <c r="AE69" s="60"/>
      <c r="AF69" s="60"/>
      <c r="AG69" s="60"/>
      <c r="AH69" s="60"/>
      <c r="AI69" s="60"/>
      <c r="AJ69" s="60"/>
      <c r="AK69" s="60"/>
      <c r="AL69" s="60"/>
      <c r="AM69" s="60"/>
      <c r="AN69" s="60"/>
      <c r="AO69" s="60"/>
      <c r="AP69" s="60"/>
      <c r="AQ69" s="60"/>
      <c r="AR69" s="60"/>
      <c r="AS69" s="60"/>
      <c r="AT69" s="60"/>
      <c r="AU69" s="60"/>
      <c r="AV69" s="60"/>
      <c r="AW69" s="60"/>
      <c r="AX69" s="60"/>
      <c r="AY69" s="60"/>
      <c r="AZ69" s="60"/>
      <c r="BA69" s="60"/>
      <c r="BB69" s="60"/>
      <c r="BC69" s="60"/>
      <c r="BD69" s="60"/>
      <c r="BE69" s="60"/>
      <c r="BF69" s="60"/>
      <c r="BG69" s="60"/>
      <c r="BH69" s="60"/>
      <c r="BI69" s="60"/>
      <c r="BJ69" s="60"/>
      <c r="BK69" s="60"/>
      <c r="BL69" s="60"/>
      <c r="BM69" s="60"/>
      <c r="BN69" s="60"/>
      <c r="BO69" s="60"/>
      <c r="BP69" s="60"/>
      <c r="BQ69" s="60"/>
      <c r="BR69" s="60"/>
      <c r="BS69" s="60"/>
      <c r="BT69" s="60"/>
      <c r="BU69" s="60"/>
      <c r="BV69" s="60"/>
      <c r="BW69" s="60"/>
      <c r="BX69" s="60"/>
      <c r="BY69" s="60"/>
      <c r="BZ69" s="60"/>
      <c r="CA69" s="60"/>
      <c r="CB69" s="60"/>
      <c r="CC69" s="60"/>
      <c r="CD69" s="60"/>
      <c r="CE69" s="60"/>
      <c r="CF69" s="60"/>
      <c r="CG69" s="60"/>
      <c r="CH69" s="60"/>
      <c r="CI69" s="60"/>
      <c r="CJ69" s="60"/>
      <c r="CK69" s="60"/>
      <c r="CL69" s="60"/>
      <c r="CM69" s="60"/>
      <c r="CN69" s="60"/>
      <c r="CO69" s="60"/>
      <c r="CP69" s="60"/>
      <c r="CQ69" s="60"/>
      <c r="CR69" s="60"/>
      <c r="CS69" s="60"/>
      <c r="CT69" s="60"/>
      <c r="CU69" s="60"/>
      <c r="CV69" s="60"/>
      <c r="CW69" s="60"/>
      <c r="CX69" s="60"/>
      <c r="CY69" s="60"/>
      <c r="CZ69" s="60"/>
      <c r="DA69" s="60"/>
      <c r="DB69" s="60"/>
      <c r="DC69" s="60"/>
      <c r="DD69" s="60"/>
      <c r="DE69" s="60"/>
      <c r="DF69" s="60"/>
      <c r="DG69" s="60"/>
      <c r="DH69" s="60"/>
      <c r="DI69" s="60"/>
      <c r="DJ69" s="60"/>
      <c r="DK69" s="60"/>
      <c r="DL69" s="60"/>
      <c r="DM69" s="60"/>
      <c r="DN69" s="60"/>
      <c r="DO69" s="60"/>
      <c r="DP69" s="60"/>
      <c r="DQ69" s="60"/>
      <c r="DR69" s="60"/>
      <c r="DS69" s="60"/>
      <c r="DT69" s="60"/>
      <c r="DU69" s="60"/>
      <c r="DV69" s="60"/>
      <c r="DW69" s="60"/>
      <c r="DX69" s="60"/>
      <c r="DY69" s="60"/>
      <c r="DZ69" s="60"/>
      <c r="EA69" s="60"/>
      <c r="EB69" s="60"/>
      <c r="EC69" s="60"/>
      <c r="ED69" s="60"/>
      <c r="EE69" s="60"/>
      <c r="EF69" s="60"/>
      <c r="EG69" s="60"/>
      <c r="EH69" s="60"/>
      <c r="EI69" s="60"/>
      <c r="EJ69" s="60"/>
      <c r="EK69" s="60"/>
      <c r="EL69" s="60"/>
      <c r="EM69" s="60"/>
      <c r="EN69" s="60"/>
      <c r="EO69" s="60"/>
      <c r="EP69" s="60"/>
      <c r="EQ69" s="60"/>
      <c r="ER69" s="60"/>
      <c r="ES69" s="60"/>
      <c r="ET69" s="60"/>
      <c r="EU69" s="60"/>
      <c r="EV69" s="60"/>
      <c r="EW69" s="60"/>
      <c r="EX69" s="60"/>
      <c r="EY69" s="60"/>
      <c r="EZ69" s="60"/>
      <c r="FA69" s="60"/>
      <c r="FB69" s="60"/>
      <c r="FC69" s="60"/>
      <c r="FD69" s="60"/>
      <c r="FE69" s="60"/>
      <c r="FF69" s="60"/>
      <c r="FG69" s="60"/>
      <c r="FH69" s="60"/>
      <c r="FI69" s="60"/>
      <c r="FJ69" s="60"/>
      <c r="FK69" s="60"/>
      <c r="FL69" s="60"/>
      <c r="FM69" s="60"/>
      <c r="FN69" s="60"/>
      <c r="FO69" s="60"/>
      <c r="FP69" s="60"/>
      <c r="FQ69" s="60"/>
      <c r="FR69" s="60"/>
      <c r="FS69" s="60"/>
      <c r="FT69" s="60"/>
      <c r="FU69" s="60"/>
      <c r="FV69" s="60"/>
      <c r="FW69" s="60"/>
      <c r="FX69" s="60"/>
      <c r="FY69" s="60"/>
      <c r="FZ69" s="60"/>
      <c r="GA69" s="60"/>
      <c r="GB69" s="60"/>
      <c r="GC69" s="60"/>
      <c r="GD69" s="60"/>
      <c r="GE69" s="60"/>
      <c r="GF69" s="60"/>
      <c r="GG69" s="60"/>
      <c r="GH69" s="60"/>
      <c r="GI69" s="60"/>
      <c r="GJ69" s="60"/>
      <c r="GK69" s="60"/>
      <c r="GL69" s="60"/>
      <c r="GM69" s="60"/>
      <c r="GN69" s="60"/>
      <c r="GO69" s="60"/>
      <c r="GP69" s="60"/>
      <c r="GQ69" s="60"/>
      <c r="GR69" s="60"/>
      <c r="GS69" s="60"/>
      <c r="GT69" s="60"/>
      <c r="GU69" s="60"/>
      <c r="GV69" s="60"/>
      <c r="GW69" s="60"/>
      <c r="GX69" s="60"/>
      <c r="GY69" s="60"/>
      <c r="GZ69" s="60"/>
      <c r="HA69" s="60"/>
      <c r="HB69" s="60"/>
      <c r="HC69" s="60"/>
      <c r="HD69" s="60"/>
      <c r="HE69" s="60"/>
      <c r="HF69" s="60"/>
      <c r="HG69" s="60"/>
      <c r="HH69" s="60"/>
      <c r="HI69" s="60"/>
      <c r="HJ69" s="60"/>
      <c r="HK69" s="60"/>
      <c r="HL69" s="60"/>
      <c r="HM69" s="60"/>
      <c r="HN69" s="60"/>
      <c r="HO69" s="60"/>
      <c r="HP69" s="60"/>
      <c r="HQ69" s="60"/>
      <c r="HR69" s="60"/>
      <c r="HS69" s="60"/>
      <c r="HT69" s="60"/>
      <c r="HU69" s="60"/>
      <c r="HV69" s="60"/>
      <c r="HW69" s="60"/>
      <c r="HX69" s="60"/>
      <c r="HY69" s="60"/>
      <c r="HZ69" s="60"/>
      <c r="IA69" s="60"/>
      <c r="IB69" s="60"/>
      <c r="IC69" s="60"/>
      <c r="ID69" s="60"/>
      <c r="IE69" s="60"/>
      <c r="IF69" s="60"/>
      <c r="IG69" s="60"/>
      <c r="IH69" s="60"/>
      <c r="II69" s="60"/>
      <c r="IJ69" s="60"/>
      <c r="IK69" s="60"/>
      <c r="IL69" s="60"/>
      <c r="IM69" s="60"/>
      <c r="IN69" s="60"/>
      <c r="IO69" s="60"/>
      <c r="IP69" s="60"/>
      <c r="IQ69" s="60"/>
      <c r="IR69" s="60"/>
      <c r="IS69" s="60"/>
      <c r="IT69" s="60"/>
      <c r="IU69" s="60"/>
      <c r="IV69" s="60"/>
      <c r="IW69" s="60"/>
      <c r="IX69" s="60"/>
      <c r="IY69" s="60"/>
      <c r="IZ69" s="60"/>
      <c r="JA69" s="60"/>
      <c r="JB69" s="60"/>
      <c r="JC69" s="60"/>
      <c r="JD69" s="60"/>
      <c r="JE69" s="60"/>
      <c r="JF69" s="60"/>
      <c r="JG69" s="60"/>
      <c r="JH69" s="60"/>
      <c r="JI69" s="60"/>
      <c r="JJ69" s="60"/>
      <c r="JK69" s="60"/>
      <c r="JL69" s="60"/>
      <c r="JM69" s="60"/>
      <c r="JN69" s="60"/>
      <c r="JO69" s="60"/>
      <c r="JP69" s="60"/>
      <c r="JQ69" s="60"/>
      <c r="JR69" s="60"/>
      <c r="JS69" s="60"/>
      <c r="JT69" s="60"/>
      <c r="JU69" s="60"/>
      <c r="JV69" s="60"/>
      <c r="JW69" s="60"/>
      <c r="JX69" s="60"/>
      <c r="JY69" s="60"/>
      <c r="JZ69" s="60"/>
      <c r="KA69" s="60"/>
      <c r="KB69" s="60"/>
      <c r="KC69" s="60"/>
      <c r="KD69" s="60"/>
      <c r="KE69" s="60"/>
      <c r="KF69" s="60"/>
      <c r="KG69" s="60"/>
      <c r="KH69" s="60"/>
      <c r="KI69" s="60"/>
      <c r="KJ69" s="60"/>
      <c r="KK69" s="60"/>
      <c r="KL69" s="60"/>
      <c r="KM69" s="60"/>
      <c r="KN69" s="60"/>
      <c r="KO69" s="60"/>
      <c r="KP69" s="60"/>
      <c r="KQ69" s="60"/>
      <c r="KR69" s="60"/>
      <c r="KS69" s="60"/>
      <c r="KT69" s="60"/>
      <c r="KU69" s="60"/>
      <c r="KV69" s="60"/>
      <c r="KW69" s="60"/>
      <c r="KX69" s="60"/>
      <c r="KY69" s="60"/>
      <c r="KZ69" s="60"/>
      <c r="LA69" s="60"/>
      <c r="LB69" s="60"/>
      <c r="LC69" s="60"/>
      <c r="LD69" s="60"/>
      <c r="LE69" s="60"/>
      <c r="LF69" s="60"/>
      <c r="LG69" s="60"/>
      <c r="LH69" s="60"/>
    </row>
    <row r="70" spans="1:320" s="17" customFormat="1" x14ac:dyDescent="0.25">
      <c r="A70" s="147"/>
      <c r="E70" s="156"/>
      <c r="F70" s="156"/>
      <c r="G70" s="156"/>
      <c r="H70" s="156"/>
      <c r="I70" s="156"/>
      <c r="J70" s="156"/>
      <c r="K70" s="156"/>
      <c r="L70" s="156"/>
      <c r="M70" s="156"/>
      <c r="N70" s="156"/>
      <c r="O70" s="156"/>
      <c r="P70" s="156"/>
      <c r="Q70" s="156"/>
      <c r="R70" s="156"/>
      <c r="S70" s="156"/>
      <c r="AC70" s="60"/>
      <c r="AD70" s="60"/>
      <c r="AE70" s="60"/>
      <c r="AF70" s="60"/>
      <c r="AG70" s="60"/>
      <c r="AH70" s="60"/>
      <c r="AI70" s="60"/>
      <c r="AJ70" s="60"/>
      <c r="AK70" s="60"/>
      <c r="AL70" s="60"/>
      <c r="AM70" s="60"/>
      <c r="AN70" s="60"/>
      <c r="AO70" s="60"/>
      <c r="AP70" s="60"/>
      <c r="AQ70" s="60"/>
      <c r="AR70" s="60"/>
      <c r="AS70" s="60"/>
      <c r="AT70" s="60"/>
      <c r="AU70" s="60"/>
      <c r="AV70" s="60"/>
      <c r="AW70" s="60"/>
      <c r="AX70" s="60"/>
      <c r="AY70" s="60"/>
      <c r="AZ70" s="60"/>
      <c r="BA70" s="60"/>
      <c r="BB70" s="60"/>
      <c r="BC70" s="60"/>
      <c r="BD70" s="60"/>
      <c r="BE70" s="60"/>
      <c r="BF70" s="60"/>
      <c r="BG70" s="60"/>
      <c r="BH70" s="60"/>
      <c r="BI70" s="60"/>
      <c r="BJ70" s="60"/>
      <c r="BK70" s="60"/>
      <c r="BL70" s="60"/>
      <c r="BM70" s="60"/>
      <c r="BN70" s="60"/>
      <c r="BO70" s="60"/>
      <c r="BP70" s="60"/>
      <c r="BQ70" s="60"/>
      <c r="BR70" s="60"/>
      <c r="BS70" s="60"/>
      <c r="BT70" s="60"/>
      <c r="BU70" s="60"/>
      <c r="BV70" s="60"/>
      <c r="BW70" s="60"/>
      <c r="BX70" s="60"/>
      <c r="BY70" s="60"/>
      <c r="BZ70" s="60"/>
      <c r="CA70" s="60"/>
      <c r="CB70" s="60"/>
      <c r="CC70" s="60"/>
      <c r="CD70" s="60"/>
      <c r="CE70" s="60"/>
      <c r="CF70" s="60"/>
      <c r="CG70" s="60"/>
      <c r="CH70" s="60"/>
      <c r="CI70" s="60"/>
      <c r="CJ70" s="60"/>
      <c r="CK70" s="60"/>
      <c r="CL70" s="60"/>
      <c r="CM70" s="60"/>
      <c r="CN70" s="60"/>
      <c r="CO70" s="60"/>
      <c r="CP70" s="60"/>
      <c r="CQ70" s="60"/>
      <c r="CR70" s="60"/>
      <c r="CS70" s="60"/>
      <c r="CT70" s="60"/>
      <c r="CU70" s="60"/>
      <c r="CV70" s="60"/>
      <c r="CW70" s="60"/>
      <c r="CX70" s="60"/>
      <c r="CY70" s="60"/>
      <c r="CZ70" s="60"/>
      <c r="DA70" s="60"/>
      <c r="DB70" s="60"/>
      <c r="DC70" s="60"/>
      <c r="DD70" s="60"/>
      <c r="DE70" s="60"/>
      <c r="DF70" s="60"/>
      <c r="DG70" s="60"/>
      <c r="DH70" s="60"/>
      <c r="DI70" s="60"/>
      <c r="DJ70" s="60"/>
      <c r="DK70" s="60"/>
      <c r="DL70" s="60"/>
      <c r="DM70" s="60"/>
      <c r="DN70" s="60"/>
      <c r="DO70" s="60"/>
      <c r="DP70" s="60"/>
      <c r="DQ70" s="60"/>
      <c r="DR70" s="60"/>
      <c r="DS70" s="60"/>
      <c r="DT70" s="60"/>
      <c r="DU70" s="60"/>
      <c r="DV70" s="60"/>
      <c r="DW70" s="60"/>
      <c r="DX70" s="60"/>
      <c r="DY70" s="60"/>
      <c r="DZ70" s="60"/>
      <c r="EA70" s="60"/>
      <c r="EB70" s="60"/>
      <c r="EC70" s="60"/>
      <c r="ED70" s="60"/>
      <c r="EE70" s="60"/>
      <c r="EF70" s="60"/>
      <c r="EG70" s="60"/>
      <c r="EH70" s="60"/>
      <c r="EI70" s="60"/>
      <c r="EJ70" s="60"/>
      <c r="EK70" s="60"/>
      <c r="EL70" s="60"/>
      <c r="EM70" s="60"/>
      <c r="EN70" s="60"/>
      <c r="EO70" s="60"/>
      <c r="EP70" s="60"/>
      <c r="EQ70" s="60"/>
      <c r="ER70" s="60"/>
      <c r="ES70" s="60"/>
      <c r="ET70" s="60"/>
      <c r="EU70" s="60"/>
      <c r="EV70" s="60"/>
      <c r="EW70" s="60"/>
      <c r="EX70" s="60"/>
      <c r="EY70" s="60"/>
      <c r="EZ70" s="60"/>
      <c r="FA70" s="60"/>
      <c r="FB70" s="60"/>
      <c r="FC70" s="60"/>
      <c r="FD70" s="60"/>
      <c r="FE70" s="60"/>
      <c r="FF70" s="60"/>
      <c r="FG70" s="60"/>
      <c r="FH70" s="60"/>
      <c r="FI70" s="60"/>
      <c r="FJ70" s="60"/>
      <c r="FK70" s="60"/>
      <c r="FL70" s="60"/>
      <c r="FM70" s="60"/>
      <c r="FN70" s="60"/>
      <c r="FO70" s="60"/>
      <c r="FP70" s="60"/>
      <c r="FQ70" s="60"/>
      <c r="FR70" s="60"/>
      <c r="FS70" s="60"/>
      <c r="FT70" s="60"/>
      <c r="FU70" s="60"/>
      <c r="FV70" s="60"/>
      <c r="FW70" s="60"/>
      <c r="FX70" s="60"/>
      <c r="FY70" s="60"/>
      <c r="FZ70" s="60"/>
      <c r="GA70" s="60"/>
      <c r="GB70" s="60"/>
      <c r="GC70" s="60"/>
      <c r="GD70" s="60"/>
      <c r="GE70" s="60"/>
      <c r="GF70" s="60"/>
      <c r="GG70" s="60"/>
      <c r="GH70" s="60"/>
      <c r="GI70" s="60"/>
      <c r="GJ70" s="60"/>
      <c r="GK70" s="60"/>
      <c r="GL70" s="60"/>
      <c r="GM70" s="60"/>
      <c r="GN70" s="60"/>
      <c r="GO70" s="60"/>
      <c r="GP70" s="60"/>
      <c r="GQ70" s="60"/>
      <c r="GR70" s="60"/>
      <c r="GS70" s="60"/>
      <c r="GT70" s="60"/>
      <c r="GU70" s="60"/>
      <c r="GV70" s="60"/>
      <c r="GW70" s="60"/>
      <c r="GX70" s="60"/>
      <c r="GY70" s="60"/>
      <c r="GZ70" s="60"/>
      <c r="HA70" s="60"/>
      <c r="HB70" s="60"/>
      <c r="HC70" s="60"/>
      <c r="HD70" s="60"/>
      <c r="HE70" s="60"/>
      <c r="HF70" s="60"/>
      <c r="HG70" s="60"/>
      <c r="HH70" s="60"/>
      <c r="HI70" s="60"/>
      <c r="HJ70" s="60"/>
      <c r="HK70" s="60"/>
      <c r="HL70" s="60"/>
      <c r="HM70" s="60"/>
      <c r="HN70" s="60"/>
      <c r="HO70" s="60"/>
      <c r="HP70" s="60"/>
      <c r="HQ70" s="60"/>
      <c r="HR70" s="60"/>
      <c r="HS70" s="60"/>
      <c r="HT70" s="60"/>
      <c r="HU70" s="60"/>
      <c r="HV70" s="60"/>
      <c r="HW70" s="60"/>
      <c r="HX70" s="60"/>
      <c r="HY70" s="60"/>
      <c r="HZ70" s="60"/>
      <c r="IA70" s="60"/>
      <c r="IB70" s="60"/>
      <c r="IC70" s="60"/>
      <c r="ID70" s="60"/>
      <c r="IE70" s="60"/>
      <c r="IF70" s="60"/>
      <c r="IG70" s="60"/>
      <c r="IH70" s="60"/>
      <c r="II70" s="60"/>
      <c r="IJ70" s="60"/>
      <c r="IK70" s="60"/>
      <c r="IL70" s="60"/>
      <c r="IM70" s="60"/>
      <c r="IN70" s="60"/>
      <c r="IO70" s="60"/>
      <c r="IP70" s="60"/>
      <c r="IQ70" s="60"/>
      <c r="IR70" s="60"/>
      <c r="IS70" s="60"/>
      <c r="IT70" s="60"/>
      <c r="IU70" s="60"/>
      <c r="IV70" s="60"/>
      <c r="IW70" s="60"/>
      <c r="IX70" s="60"/>
      <c r="IY70" s="60"/>
      <c r="IZ70" s="60"/>
      <c r="JA70" s="60"/>
      <c r="JB70" s="60"/>
      <c r="JC70" s="60"/>
      <c r="JD70" s="60"/>
      <c r="JE70" s="60"/>
      <c r="JF70" s="60"/>
      <c r="JG70" s="60"/>
      <c r="JH70" s="60"/>
      <c r="JI70" s="60"/>
      <c r="JJ70" s="60"/>
      <c r="JK70" s="60"/>
      <c r="JL70" s="60"/>
      <c r="JM70" s="60"/>
      <c r="JN70" s="60"/>
      <c r="JO70" s="60"/>
      <c r="JP70" s="60"/>
      <c r="JQ70" s="60"/>
      <c r="JR70" s="60"/>
      <c r="JS70" s="60"/>
      <c r="JT70" s="60"/>
      <c r="JU70" s="60"/>
      <c r="JV70" s="60"/>
      <c r="JW70" s="60"/>
      <c r="JX70" s="60"/>
      <c r="JY70" s="60"/>
      <c r="JZ70" s="60"/>
      <c r="KA70" s="60"/>
      <c r="KB70" s="60"/>
      <c r="KC70" s="60"/>
      <c r="KD70" s="60"/>
      <c r="KE70" s="60"/>
      <c r="KF70" s="60"/>
      <c r="KG70" s="60"/>
      <c r="KH70" s="60"/>
      <c r="KI70" s="60"/>
      <c r="KJ70" s="60"/>
      <c r="KK70" s="60"/>
      <c r="KL70" s="60"/>
      <c r="KM70" s="60"/>
      <c r="KN70" s="60"/>
      <c r="KO70" s="60"/>
      <c r="KP70" s="60"/>
      <c r="KQ70" s="60"/>
      <c r="KR70" s="60"/>
      <c r="KS70" s="60"/>
      <c r="KT70" s="60"/>
      <c r="KU70" s="60"/>
      <c r="KV70" s="60"/>
      <c r="KW70" s="60"/>
      <c r="KX70" s="60"/>
      <c r="KY70" s="60"/>
      <c r="KZ70" s="60"/>
      <c r="LA70" s="60"/>
      <c r="LB70" s="60"/>
      <c r="LC70" s="60"/>
      <c r="LD70" s="60"/>
      <c r="LE70" s="60"/>
      <c r="LF70" s="60"/>
      <c r="LG70" s="60"/>
      <c r="LH70" s="60"/>
    </row>
    <row r="71" spans="1:320" s="17" customFormat="1" x14ac:dyDescent="0.25">
      <c r="A71" s="147"/>
      <c r="E71" s="156"/>
      <c r="F71" s="156"/>
      <c r="G71" s="156"/>
      <c r="H71" s="156"/>
      <c r="I71" s="156"/>
      <c r="J71" s="156"/>
      <c r="K71" s="156"/>
      <c r="L71" s="156"/>
      <c r="M71" s="156"/>
      <c r="N71" s="156"/>
      <c r="O71" s="156"/>
      <c r="P71" s="156"/>
      <c r="Q71" s="156"/>
      <c r="R71" s="156"/>
      <c r="S71" s="156"/>
      <c r="AC71" s="60"/>
      <c r="AD71" s="60"/>
      <c r="AE71" s="60"/>
      <c r="AF71" s="60"/>
      <c r="AG71" s="60"/>
      <c r="AH71" s="60"/>
      <c r="AI71" s="60"/>
      <c r="AJ71" s="60"/>
      <c r="AK71" s="60"/>
      <c r="AL71" s="60"/>
      <c r="AM71" s="60"/>
      <c r="AN71" s="60"/>
      <c r="AO71" s="60"/>
      <c r="AP71" s="60"/>
      <c r="AQ71" s="60"/>
      <c r="AR71" s="60"/>
      <c r="AS71" s="60"/>
      <c r="AT71" s="60"/>
      <c r="AU71" s="60"/>
      <c r="AV71" s="60"/>
      <c r="AW71" s="60"/>
      <c r="AX71" s="60"/>
      <c r="AY71" s="60"/>
      <c r="AZ71" s="60"/>
      <c r="BA71" s="60"/>
      <c r="BB71" s="60"/>
      <c r="BC71" s="60"/>
      <c r="BD71" s="60"/>
      <c r="BE71" s="60"/>
      <c r="BF71" s="60"/>
      <c r="BG71" s="60"/>
      <c r="BH71" s="60"/>
      <c r="BI71" s="60"/>
      <c r="BJ71" s="60"/>
      <c r="BK71" s="60"/>
      <c r="BL71" s="60"/>
      <c r="BM71" s="60"/>
      <c r="BN71" s="60"/>
      <c r="BO71" s="60"/>
      <c r="BP71" s="60"/>
      <c r="BQ71" s="60"/>
      <c r="BR71" s="60"/>
      <c r="BS71" s="60"/>
      <c r="BT71" s="60"/>
      <c r="BU71" s="60"/>
      <c r="BV71" s="60"/>
      <c r="BW71" s="60"/>
      <c r="BX71" s="60"/>
      <c r="BY71" s="60"/>
      <c r="BZ71" s="60"/>
      <c r="CA71" s="60"/>
      <c r="CB71" s="60"/>
      <c r="CC71" s="60"/>
      <c r="CD71" s="60"/>
      <c r="CE71" s="60"/>
      <c r="CF71" s="60"/>
      <c r="CG71" s="60"/>
      <c r="CH71" s="60"/>
      <c r="CI71" s="60"/>
      <c r="CJ71" s="60"/>
      <c r="CK71" s="60"/>
      <c r="CL71" s="60"/>
      <c r="CM71" s="60"/>
      <c r="CN71" s="60"/>
      <c r="CO71" s="60"/>
      <c r="CP71" s="60"/>
      <c r="CQ71" s="60"/>
      <c r="CR71" s="60"/>
      <c r="CS71" s="60"/>
      <c r="CT71" s="60"/>
      <c r="CU71" s="60"/>
      <c r="CV71" s="60"/>
      <c r="CW71" s="60"/>
      <c r="CX71" s="60"/>
      <c r="CY71" s="60"/>
      <c r="CZ71" s="60"/>
      <c r="DA71" s="60"/>
      <c r="DB71" s="60"/>
      <c r="DC71" s="60"/>
      <c r="DD71" s="60"/>
      <c r="DE71" s="60"/>
      <c r="DF71" s="60"/>
      <c r="DG71" s="60"/>
      <c r="DH71" s="60"/>
      <c r="DI71" s="60"/>
      <c r="DJ71" s="60"/>
      <c r="DK71" s="60"/>
      <c r="DL71" s="60"/>
      <c r="DM71" s="60"/>
      <c r="DN71" s="60"/>
      <c r="DO71" s="60"/>
      <c r="DP71" s="60"/>
      <c r="DQ71" s="60"/>
      <c r="DR71" s="60"/>
      <c r="DS71" s="60"/>
      <c r="DT71" s="60"/>
      <c r="DU71" s="60"/>
      <c r="DV71" s="60"/>
      <c r="DW71" s="60"/>
      <c r="DX71" s="60"/>
      <c r="DY71" s="60"/>
      <c r="DZ71" s="60"/>
      <c r="EA71" s="60"/>
      <c r="EB71" s="60"/>
      <c r="EC71" s="60"/>
      <c r="ED71" s="60"/>
      <c r="EE71" s="60"/>
      <c r="EF71" s="60"/>
      <c r="EG71" s="60"/>
      <c r="EH71" s="60"/>
      <c r="EI71" s="60"/>
      <c r="EJ71" s="60"/>
      <c r="EK71" s="60"/>
      <c r="EL71" s="60"/>
      <c r="EM71" s="60"/>
      <c r="EN71" s="60"/>
      <c r="EO71" s="60"/>
      <c r="EP71" s="60"/>
      <c r="EQ71" s="60"/>
      <c r="ER71" s="60"/>
      <c r="ES71" s="60"/>
      <c r="ET71" s="60"/>
      <c r="EU71" s="60"/>
      <c r="EV71" s="60"/>
      <c r="EW71" s="60"/>
      <c r="EX71" s="60"/>
      <c r="EY71" s="60"/>
      <c r="EZ71" s="60"/>
      <c r="FA71" s="60"/>
      <c r="FB71" s="60"/>
      <c r="FC71" s="60"/>
      <c r="FD71" s="60"/>
      <c r="FE71" s="60"/>
      <c r="FF71" s="60"/>
      <c r="FG71" s="60"/>
      <c r="FH71" s="60"/>
      <c r="FI71" s="60"/>
      <c r="FJ71" s="60"/>
      <c r="FK71" s="60"/>
      <c r="FL71" s="60"/>
      <c r="FM71" s="60"/>
      <c r="FN71" s="60"/>
      <c r="FO71" s="60"/>
      <c r="FP71" s="60"/>
      <c r="FQ71" s="60"/>
      <c r="FR71" s="60"/>
      <c r="FS71" s="60"/>
      <c r="FT71" s="60"/>
      <c r="FU71" s="60"/>
      <c r="FV71" s="60"/>
      <c r="FW71" s="60"/>
      <c r="FX71" s="60"/>
      <c r="FY71" s="60"/>
      <c r="FZ71" s="60"/>
      <c r="GA71" s="60"/>
      <c r="GB71" s="60"/>
      <c r="GC71" s="60"/>
      <c r="GD71" s="60"/>
      <c r="GE71" s="60"/>
      <c r="GF71" s="60"/>
      <c r="GG71" s="60"/>
      <c r="GH71" s="60"/>
      <c r="GI71" s="60"/>
      <c r="GJ71" s="60"/>
      <c r="GK71" s="60"/>
      <c r="GL71" s="60"/>
      <c r="GM71" s="60"/>
      <c r="GN71" s="60"/>
      <c r="GO71" s="60"/>
      <c r="GP71" s="60"/>
      <c r="GQ71" s="60"/>
      <c r="GR71" s="60"/>
      <c r="GS71" s="60"/>
      <c r="GT71" s="60"/>
      <c r="GU71" s="60"/>
      <c r="GV71" s="60"/>
      <c r="GW71" s="60"/>
      <c r="GX71" s="60"/>
      <c r="GY71" s="60"/>
      <c r="GZ71" s="60"/>
      <c r="HA71" s="60"/>
      <c r="HB71" s="60"/>
      <c r="HC71" s="60"/>
      <c r="HD71" s="60"/>
      <c r="HE71" s="60"/>
      <c r="HF71" s="60"/>
      <c r="HG71" s="60"/>
      <c r="HH71" s="60"/>
      <c r="HI71" s="60"/>
      <c r="HJ71" s="60"/>
      <c r="HK71" s="60"/>
      <c r="HL71" s="60"/>
      <c r="HM71" s="60"/>
      <c r="HN71" s="60"/>
      <c r="HO71" s="60"/>
      <c r="HP71" s="60"/>
      <c r="HQ71" s="60"/>
      <c r="HR71" s="60"/>
      <c r="HS71" s="60"/>
      <c r="HT71" s="60"/>
      <c r="HU71" s="60"/>
      <c r="HV71" s="60"/>
      <c r="HW71" s="60"/>
      <c r="HX71" s="60"/>
      <c r="HY71" s="60"/>
      <c r="HZ71" s="60"/>
      <c r="IA71" s="60"/>
      <c r="IB71" s="60"/>
      <c r="IC71" s="60"/>
      <c r="ID71" s="60"/>
      <c r="IE71" s="60"/>
      <c r="IF71" s="60"/>
      <c r="IG71" s="60"/>
      <c r="IH71" s="60"/>
      <c r="II71" s="60"/>
      <c r="IJ71" s="60"/>
      <c r="IK71" s="60"/>
      <c r="IL71" s="60"/>
      <c r="IM71" s="60"/>
      <c r="IN71" s="60"/>
      <c r="IO71" s="60"/>
      <c r="IP71" s="60"/>
      <c r="IQ71" s="60"/>
      <c r="IR71" s="60"/>
      <c r="IS71" s="60"/>
      <c r="IT71" s="60"/>
      <c r="IU71" s="60"/>
      <c r="IV71" s="60"/>
      <c r="IW71" s="60"/>
      <c r="IX71" s="60"/>
      <c r="IY71" s="60"/>
      <c r="IZ71" s="60"/>
      <c r="JA71" s="60"/>
      <c r="JB71" s="60"/>
      <c r="JC71" s="60"/>
      <c r="JD71" s="60"/>
      <c r="JE71" s="60"/>
      <c r="JF71" s="60"/>
      <c r="JG71" s="60"/>
      <c r="JH71" s="60"/>
      <c r="JI71" s="60"/>
      <c r="JJ71" s="60"/>
      <c r="JK71" s="60"/>
      <c r="JL71" s="60"/>
      <c r="JM71" s="60"/>
      <c r="JN71" s="60"/>
      <c r="JO71" s="60"/>
      <c r="JP71" s="60"/>
      <c r="JQ71" s="60"/>
      <c r="JR71" s="60"/>
      <c r="JS71" s="60"/>
      <c r="JT71" s="60"/>
      <c r="JU71" s="60"/>
      <c r="JV71" s="60"/>
      <c r="JW71" s="60"/>
      <c r="JX71" s="60"/>
      <c r="JY71" s="60"/>
      <c r="JZ71" s="60"/>
      <c r="KA71" s="60"/>
      <c r="KB71" s="60"/>
      <c r="KC71" s="60"/>
      <c r="KD71" s="60"/>
      <c r="KE71" s="60"/>
      <c r="KF71" s="60"/>
      <c r="KG71" s="60"/>
      <c r="KH71" s="60"/>
      <c r="KI71" s="60"/>
      <c r="KJ71" s="60"/>
      <c r="KK71" s="60"/>
      <c r="KL71" s="60"/>
      <c r="KM71" s="60"/>
      <c r="KN71" s="60"/>
      <c r="KO71" s="60"/>
      <c r="KP71" s="60"/>
      <c r="KQ71" s="60"/>
      <c r="KR71" s="60"/>
      <c r="KS71" s="60"/>
      <c r="KT71" s="60"/>
      <c r="KU71" s="60"/>
      <c r="KV71" s="60"/>
      <c r="KW71" s="60"/>
      <c r="KX71" s="60"/>
      <c r="KY71" s="60"/>
      <c r="KZ71" s="60"/>
      <c r="LA71" s="60"/>
      <c r="LB71" s="60"/>
      <c r="LC71" s="60"/>
      <c r="LD71" s="60"/>
      <c r="LE71" s="60"/>
      <c r="LF71" s="60"/>
      <c r="LG71" s="60"/>
      <c r="LH71" s="60"/>
    </row>
    <row r="72" spans="1:320" s="17" customFormat="1" x14ac:dyDescent="0.25">
      <c r="A72" s="147"/>
      <c r="E72" s="156"/>
      <c r="F72" s="156"/>
      <c r="G72" s="156"/>
      <c r="H72" s="156"/>
      <c r="I72" s="156"/>
      <c r="J72" s="156"/>
      <c r="K72" s="156"/>
      <c r="L72" s="156"/>
      <c r="M72" s="156"/>
      <c r="N72" s="156"/>
      <c r="O72" s="156"/>
      <c r="P72" s="156"/>
      <c r="Q72" s="156"/>
      <c r="R72" s="156"/>
      <c r="S72" s="156"/>
      <c r="AC72" s="60"/>
      <c r="AD72" s="60"/>
      <c r="AE72" s="60"/>
      <c r="AF72" s="60"/>
      <c r="AG72" s="60"/>
      <c r="AH72" s="60"/>
      <c r="AI72" s="60"/>
      <c r="AJ72" s="60"/>
      <c r="AK72" s="60"/>
      <c r="AL72" s="60"/>
      <c r="AM72" s="60"/>
      <c r="AN72" s="60"/>
      <c r="AO72" s="60"/>
      <c r="AP72" s="60"/>
      <c r="AQ72" s="60"/>
      <c r="AR72" s="60"/>
      <c r="AS72" s="60"/>
      <c r="AT72" s="60"/>
      <c r="AU72" s="60"/>
      <c r="AV72" s="60"/>
      <c r="AW72" s="60"/>
      <c r="AX72" s="60"/>
      <c r="AY72" s="60"/>
      <c r="AZ72" s="60"/>
      <c r="BA72" s="60"/>
      <c r="BB72" s="60"/>
      <c r="BC72" s="60"/>
      <c r="BD72" s="60"/>
      <c r="BE72" s="60"/>
      <c r="BF72" s="60"/>
      <c r="BG72" s="60"/>
      <c r="BH72" s="60"/>
      <c r="BI72" s="60"/>
      <c r="BJ72" s="60"/>
      <c r="BK72" s="60"/>
      <c r="BL72" s="60"/>
      <c r="BM72" s="60"/>
      <c r="BN72" s="60"/>
      <c r="BO72" s="60"/>
      <c r="BP72" s="60"/>
      <c r="BQ72" s="60"/>
      <c r="BR72" s="60"/>
      <c r="BS72" s="60"/>
      <c r="BT72" s="60"/>
      <c r="BU72" s="60"/>
      <c r="BV72" s="60"/>
      <c r="BW72" s="60"/>
      <c r="BX72" s="60"/>
      <c r="BY72" s="60"/>
      <c r="BZ72" s="60"/>
      <c r="CA72" s="60"/>
      <c r="CB72" s="60"/>
      <c r="CC72" s="60"/>
      <c r="CD72" s="60"/>
      <c r="CE72" s="60"/>
      <c r="CF72" s="60"/>
      <c r="CG72" s="60"/>
      <c r="CH72" s="60"/>
      <c r="CI72" s="60"/>
      <c r="CJ72" s="60"/>
      <c r="CK72" s="60"/>
      <c r="CL72" s="60"/>
      <c r="CM72" s="60"/>
      <c r="CN72" s="60"/>
      <c r="CO72" s="60"/>
      <c r="CP72" s="60"/>
      <c r="CQ72" s="60"/>
      <c r="CR72" s="60"/>
      <c r="CS72" s="60"/>
      <c r="CT72" s="60"/>
      <c r="CU72" s="60"/>
      <c r="CV72" s="60"/>
      <c r="CW72" s="60"/>
      <c r="CX72" s="60"/>
      <c r="CY72" s="60"/>
      <c r="CZ72" s="60"/>
      <c r="DA72" s="60"/>
      <c r="DB72" s="60"/>
      <c r="DC72" s="60"/>
      <c r="DD72" s="60"/>
      <c r="DE72" s="60"/>
      <c r="DF72" s="60"/>
      <c r="DG72" s="60"/>
      <c r="DH72" s="60"/>
      <c r="DI72" s="60"/>
      <c r="DJ72" s="60"/>
      <c r="DK72" s="60"/>
      <c r="DL72" s="60"/>
      <c r="DM72" s="60"/>
      <c r="DN72" s="60"/>
      <c r="DO72" s="60"/>
      <c r="DP72" s="60"/>
      <c r="DQ72" s="60"/>
      <c r="DR72" s="60"/>
      <c r="DS72" s="60"/>
      <c r="DT72" s="60"/>
      <c r="DU72" s="60"/>
      <c r="DV72" s="60"/>
      <c r="DW72" s="60"/>
      <c r="DX72" s="60"/>
      <c r="DY72" s="60"/>
      <c r="DZ72" s="60"/>
      <c r="EA72" s="60"/>
      <c r="EB72" s="60"/>
      <c r="EC72" s="60"/>
      <c r="ED72" s="60"/>
      <c r="EE72" s="60"/>
      <c r="EF72" s="60"/>
      <c r="EG72" s="60"/>
      <c r="EH72" s="60"/>
      <c r="EI72" s="60"/>
      <c r="EJ72" s="60"/>
      <c r="EK72" s="60"/>
      <c r="EL72" s="60"/>
      <c r="EM72" s="60"/>
      <c r="EN72" s="60"/>
      <c r="EO72" s="60"/>
      <c r="EP72" s="60"/>
      <c r="EQ72" s="60"/>
      <c r="ER72" s="60"/>
      <c r="ES72" s="60"/>
      <c r="ET72" s="60"/>
      <c r="EU72" s="60"/>
      <c r="EV72" s="60"/>
      <c r="EW72" s="60"/>
      <c r="EX72" s="60"/>
      <c r="EY72" s="60"/>
      <c r="EZ72" s="60"/>
      <c r="FA72" s="60"/>
      <c r="FB72" s="60"/>
      <c r="FC72" s="60"/>
      <c r="FD72" s="60"/>
      <c r="FE72" s="60"/>
      <c r="FF72" s="60"/>
      <c r="FG72" s="60"/>
      <c r="FH72" s="60"/>
      <c r="FI72" s="60"/>
      <c r="FJ72" s="60"/>
      <c r="FK72" s="60"/>
      <c r="FL72" s="60"/>
      <c r="FM72" s="60"/>
      <c r="FN72" s="60"/>
      <c r="FO72" s="60"/>
      <c r="FP72" s="60"/>
      <c r="FQ72" s="60"/>
      <c r="FR72" s="60"/>
      <c r="FS72" s="60"/>
      <c r="FT72" s="60"/>
      <c r="FU72" s="60"/>
      <c r="FV72" s="60"/>
      <c r="FW72" s="60"/>
      <c r="FX72" s="60"/>
      <c r="FY72" s="60"/>
      <c r="FZ72" s="60"/>
      <c r="GA72" s="60"/>
      <c r="GB72" s="60"/>
      <c r="GC72" s="60"/>
      <c r="GD72" s="60"/>
      <c r="GE72" s="60"/>
      <c r="GF72" s="60"/>
      <c r="GG72" s="60"/>
      <c r="GH72" s="60"/>
      <c r="GI72" s="60"/>
      <c r="GJ72" s="60"/>
      <c r="GK72" s="60"/>
      <c r="GL72" s="60"/>
      <c r="GM72" s="60"/>
      <c r="GN72" s="60"/>
      <c r="GO72" s="60"/>
      <c r="GP72" s="60"/>
      <c r="GQ72" s="60"/>
      <c r="GR72" s="60"/>
      <c r="GS72" s="60"/>
      <c r="GT72" s="60"/>
      <c r="GU72" s="60"/>
      <c r="GV72" s="60"/>
      <c r="GW72" s="60"/>
      <c r="GX72" s="60"/>
      <c r="GY72" s="60"/>
      <c r="GZ72" s="60"/>
      <c r="HA72" s="60"/>
      <c r="HB72" s="60"/>
      <c r="HC72" s="60"/>
      <c r="HD72" s="60"/>
      <c r="HE72" s="60"/>
      <c r="HF72" s="60"/>
      <c r="HG72" s="60"/>
      <c r="HH72" s="60"/>
      <c r="HI72" s="60"/>
      <c r="HJ72" s="60"/>
      <c r="HK72" s="60"/>
      <c r="HL72" s="60"/>
      <c r="HM72" s="60"/>
      <c r="HN72" s="60"/>
      <c r="HO72" s="60"/>
      <c r="HP72" s="60"/>
      <c r="HQ72" s="60"/>
      <c r="HR72" s="60"/>
      <c r="HS72" s="60"/>
      <c r="HT72" s="60"/>
      <c r="HU72" s="60"/>
      <c r="HV72" s="60"/>
      <c r="HW72" s="60"/>
      <c r="HX72" s="60"/>
      <c r="HY72" s="60"/>
      <c r="HZ72" s="60"/>
      <c r="IA72" s="60"/>
      <c r="IB72" s="60"/>
      <c r="IC72" s="60"/>
      <c r="ID72" s="60"/>
      <c r="IE72" s="60"/>
      <c r="IF72" s="60"/>
      <c r="IG72" s="60"/>
      <c r="IH72" s="60"/>
      <c r="II72" s="60"/>
      <c r="IJ72" s="60"/>
      <c r="IK72" s="60"/>
      <c r="IL72" s="60"/>
      <c r="IM72" s="60"/>
      <c r="IN72" s="60"/>
      <c r="IO72" s="60"/>
      <c r="IP72" s="60"/>
      <c r="IQ72" s="60"/>
      <c r="IR72" s="60"/>
      <c r="IS72" s="60"/>
      <c r="IT72" s="60"/>
      <c r="IU72" s="60"/>
      <c r="IV72" s="60"/>
      <c r="IW72" s="60"/>
      <c r="IX72" s="60"/>
      <c r="IY72" s="60"/>
      <c r="IZ72" s="60"/>
      <c r="JA72" s="60"/>
      <c r="JB72" s="60"/>
      <c r="JC72" s="60"/>
      <c r="JD72" s="60"/>
      <c r="JE72" s="60"/>
      <c r="JF72" s="60"/>
      <c r="JG72" s="60"/>
      <c r="JH72" s="60"/>
      <c r="JI72" s="60"/>
      <c r="JJ72" s="60"/>
      <c r="JK72" s="60"/>
      <c r="JL72" s="60"/>
      <c r="JM72" s="60"/>
      <c r="JN72" s="60"/>
      <c r="JO72" s="60"/>
      <c r="JP72" s="60"/>
      <c r="JQ72" s="60"/>
      <c r="JR72" s="60"/>
      <c r="JS72" s="60"/>
      <c r="JT72" s="60"/>
      <c r="JU72" s="60"/>
      <c r="JV72" s="60"/>
      <c r="JW72" s="60"/>
      <c r="JX72" s="60"/>
      <c r="JY72" s="60"/>
      <c r="JZ72" s="60"/>
      <c r="KA72" s="60"/>
      <c r="KB72" s="60"/>
      <c r="KC72" s="60"/>
      <c r="KD72" s="60"/>
      <c r="KE72" s="60"/>
      <c r="KF72" s="60"/>
      <c r="KG72" s="60"/>
      <c r="KH72" s="60"/>
      <c r="KI72" s="60"/>
      <c r="KJ72" s="60"/>
      <c r="KK72" s="60"/>
      <c r="KL72" s="60"/>
      <c r="KM72" s="60"/>
      <c r="KN72" s="60"/>
      <c r="KO72" s="60"/>
      <c r="KP72" s="60"/>
      <c r="KQ72" s="60"/>
      <c r="KR72" s="60"/>
      <c r="KS72" s="60"/>
      <c r="KT72" s="60"/>
      <c r="KU72" s="60"/>
      <c r="KV72" s="60"/>
      <c r="KW72" s="60"/>
      <c r="KX72" s="60"/>
      <c r="KY72" s="60"/>
      <c r="KZ72" s="60"/>
      <c r="LA72" s="60"/>
      <c r="LB72" s="60"/>
      <c r="LC72" s="60"/>
      <c r="LD72" s="60"/>
      <c r="LE72" s="60"/>
      <c r="LF72" s="60"/>
      <c r="LG72" s="60"/>
      <c r="LH72" s="60"/>
    </row>
    <row r="73" spans="1:320" s="17" customFormat="1" x14ac:dyDescent="0.25">
      <c r="A73" s="147"/>
      <c r="E73" s="156"/>
      <c r="F73" s="156"/>
      <c r="G73" s="156"/>
      <c r="H73" s="156"/>
      <c r="I73" s="156"/>
      <c r="J73" s="156"/>
      <c r="K73" s="156"/>
      <c r="L73" s="156"/>
      <c r="M73" s="156"/>
      <c r="N73" s="156"/>
      <c r="O73" s="156"/>
      <c r="P73" s="156"/>
      <c r="Q73" s="156"/>
      <c r="R73" s="156"/>
      <c r="S73" s="156"/>
      <c r="AC73" s="60"/>
      <c r="AD73" s="60"/>
      <c r="AE73" s="60"/>
      <c r="AF73" s="60"/>
      <c r="AG73" s="60"/>
      <c r="AH73" s="60"/>
      <c r="AI73" s="60"/>
      <c r="AJ73" s="60"/>
      <c r="AK73" s="60"/>
      <c r="AL73" s="60"/>
      <c r="AM73" s="60"/>
      <c r="AN73" s="60"/>
      <c r="AO73" s="60"/>
      <c r="AP73" s="60"/>
      <c r="AQ73" s="60"/>
      <c r="AR73" s="60"/>
      <c r="AS73" s="60"/>
      <c r="AT73" s="60"/>
      <c r="AU73" s="60"/>
      <c r="AV73" s="60"/>
      <c r="AW73" s="60"/>
      <c r="AX73" s="60"/>
      <c r="AY73" s="60"/>
      <c r="AZ73" s="60"/>
      <c r="BA73" s="60"/>
      <c r="BB73" s="60"/>
      <c r="BC73" s="60"/>
      <c r="BD73" s="60"/>
      <c r="BE73" s="60"/>
      <c r="BF73" s="60"/>
      <c r="BG73" s="60"/>
      <c r="BH73" s="60"/>
      <c r="BI73" s="60"/>
      <c r="BJ73" s="60"/>
      <c r="BK73" s="60"/>
      <c r="BL73" s="60"/>
      <c r="BM73" s="60"/>
      <c r="BN73" s="60"/>
      <c r="BO73" s="60"/>
      <c r="BP73" s="60"/>
      <c r="BQ73" s="60"/>
      <c r="BR73" s="60"/>
      <c r="BS73" s="60"/>
      <c r="BT73" s="60"/>
      <c r="BU73" s="60"/>
      <c r="BV73" s="60"/>
      <c r="BW73" s="60"/>
      <c r="BX73" s="60"/>
      <c r="BY73" s="60"/>
      <c r="BZ73" s="60"/>
      <c r="CA73" s="60"/>
      <c r="CB73" s="60"/>
      <c r="CC73" s="60"/>
      <c r="CD73" s="60"/>
      <c r="CE73" s="60"/>
      <c r="CF73" s="60"/>
      <c r="CG73" s="60"/>
      <c r="CH73" s="60"/>
      <c r="CI73" s="60"/>
      <c r="CJ73" s="60"/>
      <c r="CK73" s="60"/>
      <c r="CL73" s="60"/>
      <c r="CM73" s="60"/>
      <c r="CN73" s="60"/>
      <c r="CO73" s="60"/>
      <c r="CP73" s="60"/>
      <c r="CQ73" s="60"/>
      <c r="CR73" s="60"/>
      <c r="CS73" s="60"/>
      <c r="CT73" s="60"/>
      <c r="CU73" s="60"/>
      <c r="CV73" s="60"/>
      <c r="CW73" s="60"/>
      <c r="CX73" s="60"/>
      <c r="CY73" s="60"/>
      <c r="CZ73" s="60"/>
      <c r="DA73" s="60"/>
      <c r="DB73" s="60"/>
      <c r="DC73" s="60"/>
      <c r="DD73" s="60"/>
      <c r="DE73" s="60"/>
      <c r="DF73" s="60"/>
      <c r="DG73" s="60"/>
      <c r="DH73" s="60"/>
      <c r="DI73" s="60"/>
      <c r="DJ73" s="60"/>
      <c r="DK73" s="60"/>
      <c r="DL73" s="60"/>
      <c r="DM73" s="60"/>
      <c r="DN73" s="60"/>
      <c r="DO73" s="60"/>
      <c r="DP73" s="60"/>
      <c r="DQ73" s="60"/>
      <c r="DR73" s="60"/>
      <c r="DS73" s="60"/>
      <c r="DT73" s="60"/>
      <c r="DU73" s="60"/>
      <c r="DV73" s="60"/>
      <c r="DW73" s="60"/>
      <c r="DX73" s="60"/>
      <c r="DY73" s="60"/>
      <c r="DZ73" s="60"/>
      <c r="EA73" s="60"/>
      <c r="EB73" s="60"/>
      <c r="EC73" s="60"/>
      <c r="ED73" s="60"/>
      <c r="EE73" s="60"/>
      <c r="EF73" s="60"/>
      <c r="EG73" s="60"/>
      <c r="EH73" s="60"/>
      <c r="EI73" s="60"/>
      <c r="EJ73" s="60"/>
      <c r="EK73" s="60"/>
      <c r="EL73" s="60"/>
      <c r="EM73" s="60"/>
      <c r="EN73" s="60"/>
      <c r="EO73" s="60"/>
      <c r="EP73" s="60"/>
      <c r="EQ73" s="60"/>
      <c r="ER73" s="60"/>
      <c r="ES73" s="60"/>
      <c r="ET73" s="60"/>
      <c r="EU73" s="60"/>
      <c r="EV73" s="60"/>
      <c r="EW73" s="60"/>
      <c r="EX73" s="60"/>
      <c r="EY73" s="60"/>
      <c r="EZ73" s="60"/>
      <c r="FA73" s="60"/>
      <c r="FB73" s="60"/>
      <c r="FC73" s="60"/>
      <c r="FD73" s="60"/>
      <c r="FE73" s="60"/>
      <c r="FF73" s="60"/>
      <c r="FG73" s="60"/>
      <c r="FH73" s="60"/>
      <c r="FI73" s="60"/>
      <c r="FJ73" s="60"/>
      <c r="FK73" s="60"/>
      <c r="FL73" s="60"/>
      <c r="FM73" s="60"/>
      <c r="FN73" s="60"/>
      <c r="FO73" s="60"/>
      <c r="FP73" s="60"/>
      <c r="FQ73" s="60"/>
      <c r="FR73" s="60"/>
      <c r="FS73" s="60"/>
      <c r="FT73" s="60"/>
      <c r="FU73" s="60"/>
      <c r="FV73" s="60"/>
      <c r="FW73" s="60"/>
      <c r="FX73" s="60"/>
      <c r="FY73" s="60"/>
      <c r="FZ73" s="60"/>
      <c r="GA73" s="60"/>
      <c r="GB73" s="60"/>
      <c r="GC73" s="60"/>
      <c r="GD73" s="60"/>
      <c r="GE73" s="60"/>
      <c r="GF73" s="60"/>
      <c r="GG73" s="60"/>
      <c r="GH73" s="60"/>
      <c r="GI73" s="60"/>
      <c r="GJ73" s="60"/>
      <c r="GK73" s="60"/>
      <c r="GL73" s="60"/>
      <c r="GM73" s="60"/>
      <c r="GN73" s="60"/>
      <c r="GO73" s="60"/>
      <c r="GP73" s="60"/>
      <c r="GQ73" s="60"/>
      <c r="GR73" s="60"/>
      <c r="GS73" s="60"/>
      <c r="GT73" s="60"/>
      <c r="GU73" s="60"/>
      <c r="GV73" s="60"/>
      <c r="GW73" s="60"/>
      <c r="GX73" s="60"/>
      <c r="GY73" s="60"/>
      <c r="GZ73" s="60"/>
      <c r="HA73" s="60"/>
      <c r="HB73" s="60"/>
      <c r="HC73" s="60"/>
      <c r="HD73" s="60"/>
      <c r="HE73" s="60"/>
      <c r="HF73" s="60"/>
      <c r="HG73" s="60"/>
      <c r="HH73" s="60"/>
      <c r="HI73" s="60"/>
      <c r="HJ73" s="60"/>
      <c r="HK73" s="60"/>
      <c r="HL73" s="60"/>
      <c r="HM73" s="60"/>
      <c r="HN73" s="60"/>
      <c r="HO73" s="60"/>
      <c r="HP73" s="60"/>
      <c r="HQ73" s="60"/>
      <c r="HR73" s="60"/>
      <c r="HS73" s="60"/>
      <c r="HT73" s="60"/>
      <c r="HU73" s="60"/>
      <c r="HV73" s="60"/>
      <c r="HW73" s="60"/>
      <c r="HX73" s="60"/>
      <c r="HY73" s="60"/>
      <c r="HZ73" s="60"/>
      <c r="IA73" s="60"/>
      <c r="IB73" s="60"/>
      <c r="IC73" s="60"/>
      <c r="ID73" s="60"/>
      <c r="IE73" s="60"/>
      <c r="IF73" s="60"/>
      <c r="IG73" s="60"/>
      <c r="IH73" s="60"/>
      <c r="II73" s="60"/>
      <c r="IJ73" s="60"/>
      <c r="IK73" s="60"/>
      <c r="IL73" s="60"/>
      <c r="IM73" s="60"/>
      <c r="IN73" s="60"/>
      <c r="IO73" s="60"/>
      <c r="IP73" s="60"/>
      <c r="IQ73" s="60"/>
      <c r="IR73" s="60"/>
      <c r="IS73" s="60"/>
      <c r="IT73" s="60"/>
      <c r="IU73" s="60"/>
      <c r="IV73" s="60"/>
      <c r="IW73" s="60"/>
      <c r="IX73" s="60"/>
      <c r="IY73" s="60"/>
      <c r="IZ73" s="60"/>
      <c r="JA73" s="60"/>
      <c r="JB73" s="60"/>
      <c r="JC73" s="60"/>
      <c r="JD73" s="60"/>
      <c r="JE73" s="60"/>
      <c r="JF73" s="60"/>
      <c r="JG73" s="60"/>
      <c r="JH73" s="60"/>
      <c r="JI73" s="60"/>
      <c r="JJ73" s="60"/>
      <c r="JK73" s="60"/>
      <c r="JL73" s="60"/>
      <c r="JM73" s="60"/>
      <c r="JN73" s="60"/>
      <c r="JO73" s="60"/>
      <c r="JP73" s="60"/>
      <c r="JQ73" s="60"/>
      <c r="JR73" s="60"/>
      <c r="JS73" s="60"/>
      <c r="JT73" s="60"/>
      <c r="JU73" s="60"/>
      <c r="JV73" s="60"/>
      <c r="JW73" s="60"/>
      <c r="JX73" s="60"/>
      <c r="JY73" s="60"/>
      <c r="JZ73" s="60"/>
      <c r="KA73" s="60"/>
      <c r="KB73" s="60"/>
      <c r="KC73" s="60"/>
      <c r="KD73" s="60"/>
      <c r="KE73" s="60"/>
      <c r="KF73" s="60"/>
      <c r="KG73" s="60"/>
      <c r="KH73" s="60"/>
      <c r="KI73" s="60"/>
      <c r="KJ73" s="60"/>
      <c r="KK73" s="60"/>
      <c r="KL73" s="60"/>
      <c r="KM73" s="60"/>
      <c r="KN73" s="60"/>
      <c r="KO73" s="60"/>
      <c r="KP73" s="60"/>
      <c r="KQ73" s="60"/>
      <c r="KR73" s="60"/>
      <c r="KS73" s="60"/>
      <c r="KT73" s="60"/>
      <c r="KU73" s="60"/>
      <c r="KV73" s="60"/>
      <c r="KW73" s="60"/>
      <c r="KX73" s="60"/>
      <c r="KY73" s="60"/>
      <c r="KZ73" s="60"/>
      <c r="LA73" s="60"/>
      <c r="LB73" s="60"/>
      <c r="LC73" s="60"/>
      <c r="LD73" s="60"/>
      <c r="LE73" s="60"/>
      <c r="LF73" s="60"/>
      <c r="LG73" s="60"/>
      <c r="LH73" s="60"/>
    </row>
    <row r="74" spans="1:320" s="17" customFormat="1" x14ac:dyDescent="0.25">
      <c r="A74" s="147"/>
      <c r="E74" s="156"/>
      <c r="F74" s="156"/>
      <c r="G74" s="156"/>
      <c r="H74" s="156"/>
      <c r="I74" s="156"/>
      <c r="J74" s="156"/>
      <c r="K74" s="156"/>
      <c r="L74" s="156"/>
      <c r="M74" s="156"/>
      <c r="N74" s="156"/>
      <c r="O74" s="156"/>
      <c r="P74" s="156"/>
      <c r="Q74" s="156"/>
      <c r="R74" s="156"/>
      <c r="S74" s="156"/>
      <c r="AC74" s="60"/>
      <c r="AD74" s="60"/>
      <c r="AE74" s="60"/>
      <c r="AF74" s="60"/>
      <c r="AG74" s="60"/>
      <c r="AH74" s="60"/>
      <c r="AI74" s="60"/>
      <c r="AJ74" s="60"/>
      <c r="AK74" s="60"/>
      <c r="AL74" s="60"/>
      <c r="AM74" s="60"/>
      <c r="AN74" s="60"/>
      <c r="AO74" s="60"/>
      <c r="AP74" s="60"/>
      <c r="AQ74" s="60"/>
      <c r="AR74" s="60"/>
      <c r="AS74" s="60"/>
      <c r="AT74" s="60"/>
      <c r="AU74" s="60"/>
      <c r="AV74" s="60"/>
      <c r="AW74" s="60"/>
      <c r="AX74" s="60"/>
      <c r="AY74" s="60"/>
      <c r="AZ74" s="60"/>
      <c r="BA74" s="60"/>
      <c r="BB74" s="60"/>
      <c r="BC74" s="60"/>
      <c r="BD74" s="60"/>
      <c r="BE74" s="60"/>
      <c r="BF74" s="60"/>
      <c r="BG74" s="60"/>
      <c r="BH74" s="60"/>
      <c r="BI74" s="60"/>
      <c r="BJ74" s="60"/>
      <c r="BK74" s="60"/>
      <c r="BL74" s="60"/>
      <c r="BM74" s="60"/>
      <c r="BN74" s="60"/>
      <c r="BO74" s="60"/>
      <c r="BP74" s="60"/>
      <c r="BQ74" s="60"/>
      <c r="BR74" s="60"/>
      <c r="BS74" s="60"/>
      <c r="BT74" s="60"/>
      <c r="BU74" s="60"/>
      <c r="BV74" s="60"/>
      <c r="BW74" s="60"/>
      <c r="BX74" s="60"/>
      <c r="BY74" s="60"/>
      <c r="BZ74" s="60"/>
      <c r="CA74" s="60"/>
      <c r="CB74" s="60"/>
      <c r="CC74" s="60"/>
      <c r="CD74" s="60"/>
      <c r="CE74" s="60"/>
      <c r="CF74" s="60"/>
      <c r="CG74" s="60"/>
      <c r="CH74" s="60"/>
      <c r="CI74" s="60"/>
      <c r="CJ74" s="60"/>
      <c r="CK74" s="60"/>
      <c r="CL74" s="60"/>
      <c r="CM74" s="60"/>
      <c r="CN74" s="60"/>
      <c r="CO74" s="60"/>
      <c r="CP74" s="60"/>
      <c r="CQ74" s="60"/>
      <c r="CR74" s="60"/>
      <c r="CS74" s="60"/>
      <c r="CT74" s="60"/>
      <c r="CU74" s="60"/>
      <c r="CV74" s="60"/>
      <c r="CW74" s="60"/>
      <c r="CX74" s="60"/>
      <c r="CY74" s="60"/>
      <c r="CZ74" s="60"/>
      <c r="DA74" s="60"/>
      <c r="DB74" s="60"/>
      <c r="DC74" s="60"/>
      <c r="DD74" s="60"/>
      <c r="DE74" s="60"/>
      <c r="DF74" s="60"/>
      <c r="DG74" s="60"/>
      <c r="DH74" s="60"/>
      <c r="DI74" s="60"/>
      <c r="DJ74" s="60"/>
      <c r="DK74" s="60"/>
      <c r="DL74" s="60"/>
      <c r="DM74" s="60"/>
      <c r="DN74" s="60"/>
      <c r="DO74" s="60"/>
      <c r="DP74" s="60"/>
      <c r="DQ74" s="60"/>
      <c r="DR74" s="60"/>
      <c r="DS74" s="60"/>
      <c r="DT74" s="60"/>
      <c r="DU74" s="60"/>
      <c r="DV74" s="60"/>
      <c r="DW74" s="60"/>
      <c r="DX74" s="60"/>
      <c r="DY74" s="60"/>
      <c r="DZ74" s="60"/>
      <c r="EA74" s="60"/>
      <c r="EB74" s="60"/>
      <c r="EC74" s="60"/>
      <c r="ED74" s="60"/>
      <c r="EE74" s="60"/>
      <c r="EF74" s="60"/>
      <c r="EG74" s="60"/>
      <c r="EH74" s="60"/>
      <c r="EI74" s="60"/>
      <c r="EJ74" s="60"/>
      <c r="EK74" s="60"/>
      <c r="EL74" s="60"/>
      <c r="EM74" s="60"/>
      <c r="EN74" s="60"/>
      <c r="EO74" s="60"/>
      <c r="EP74" s="60"/>
      <c r="EQ74" s="60"/>
      <c r="ER74" s="60"/>
      <c r="ES74" s="60"/>
      <c r="ET74" s="60"/>
      <c r="EU74" s="60"/>
      <c r="EV74" s="60"/>
      <c r="EW74" s="60"/>
      <c r="EX74" s="60"/>
      <c r="EY74" s="60"/>
      <c r="EZ74" s="60"/>
      <c r="FA74" s="60"/>
      <c r="FB74" s="60"/>
      <c r="FC74" s="60"/>
      <c r="FD74" s="60"/>
      <c r="FE74" s="60"/>
      <c r="FF74" s="60"/>
      <c r="FG74" s="60"/>
      <c r="FH74" s="60"/>
      <c r="FI74" s="60"/>
      <c r="FJ74" s="60"/>
      <c r="FK74" s="60"/>
      <c r="FL74" s="60"/>
      <c r="FM74" s="60"/>
      <c r="FN74" s="60"/>
      <c r="FO74" s="60"/>
      <c r="FP74" s="60"/>
      <c r="FQ74" s="60"/>
      <c r="FR74" s="60"/>
      <c r="FS74" s="60"/>
      <c r="FT74" s="60"/>
      <c r="FU74" s="60"/>
      <c r="FV74" s="60"/>
      <c r="FW74" s="60"/>
      <c r="FX74" s="60"/>
      <c r="FY74" s="60"/>
      <c r="FZ74" s="60"/>
      <c r="GA74" s="60"/>
      <c r="GB74" s="60"/>
      <c r="GC74" s="60"/>
      <c r="GD74" s="60"/>
      <c r="GE74" s="60"/>
      <c r="GF74" s="60"/>
      <c r="GG74" s="60"/>
      <c r="GH74" s="60"/>
      <c r="GI74" s="60"/>
      <c r="GJ74" s="60"/>
      <c r="GK74" s="60"/>
      <c r="GL74" s="60"/>
      <c r="GM74" s="60"/>
      <c r="GN74" s="60"/>
      <c r="GO74" s="60"/>
      <c r="GP74" s="60"/>
      <c r="GQ74" s="60"/>
      <c r="GR74" s="60"/>
      <c r="GS74" s="60"/>
      <c r="GT74" s="60"/>
      <c r="GU74" s="60"/>
      <c r="GV74" s="60"/>
      <c r="GW74" s="60"/>
      <c r="GX74" s="60"/>
      <c r="GY74" s="60"/>
      <c r="GZ74" s="60"/>
      <c r="HA74" s="60"/>
      <c r="HB74" s="60"/>
      <c r="HC74" s="60"/>
      <c r="HD74" s="60"/>
      <c r="HE74" s="60"/>
      <c r="HF74" s="60"/>
      <c r="HG74" s="60"/>
      <c r="HH74" s="60"/>
      <c r="HI74" s="60"/>
      <c r="HJ74" s="60"/>
      <c r="HK74" s="60"/>
      <c r="HL74" s="60"/>
      <c r="HM74" s="60"/>
      <c r="HN74" s="60"/>
      <c r="HO74" s="60"/>
      <c r="HP74" s="60"/>
      <c r="HQ74" s="60"/>
      <c r="HR74" s="60"/>
      <c r="HS74" s="60"/>
      <c r="HT74" s="60"/>
      <c r="HU74" s="60"/>
      <c r="HV74" s="60"/>
      <c r="HW74" s="60"/>
      <c r="HX74" s="60"/>
      <c r="HY74" s="60"/>
      <c r="HZ74" s="60"/>
      <c r="IA74" s="60"/>
      <c r="IB74" s="60"/>
      <c r="IC74" s="60"/>
      <c r="ID74" s="60"/>
      <c r="IE74" s="60"/>
      <c r="IF74" s="60"/>
      <c r="IG74" s="60"/>
      <c r="IH74" s="60"/>
      <c r="II74" s="60"/>
      <c r="IJ74" s="60"/>
      <c r="IK74" s="60"/>
      <c r="IL74" s="60"/>
      <c r="IM74" s="60"/>
      <c r="IN74" s="60"/>
      <c r="IO74" s="60"/>
      <c r="IP74" s="60"/>
      <c r="IQ74" s="60"/>
      <c r="IR74" s="60"/>
      <c r="IS74" s="60"/>
      <c r="IT74" s="60"/>
      <c r="IU74" s="60"/>
      <c r="IV74" s="60"/>
      <c r="IW74" s="60"/>
      <c r="IX74" s="60"/>
      <c r="IY74" s="60"/>
      <c r="IZ74" s="60"/>
      <c r="JA74" s="60"/>
      <c r="JB74" s="60"/>
      <c r="JC74" s="60"/>
      <c r="JD74" s="60"/>
      <c r="JE74" s="60"/>
      <c r="JF74" s="60"/>
      <c r="JG74" s="60"/>
      <c r="JH74" s="60"/>
      <c r="JI74" s="60"/>
      <c r="JJ74" s="60"/>
      <c r="JK74" s="60"/>
      <c r="JL74" s="60"/>
      <c r="JM74" s="60"/>
      <c r="JN74" s="60"/>
      <c r="JO74" s="60"/>
      <c r="JP74" s="60"/>
      <c r="JQ74" s="60"/>
      <c r="JR74" s="60"/>
      <c r="JS74" s="60"/>
      <c r="JT74" s="60"/>
      <c r="JU74" s="60"/>
      <c r="JV74" s="60"/>
      <c r="JW74" s="60"/>
      <c r="JX74" s="60"/>
      <c r="JY74" s="60"/>
      <c r="JZ74" s="60"/>
      <c r="KA74" s="60"/>
      <c r="KB74" s="60"/>
      <c r="KC74" s="60"/>
      <c r="KD74" s="60"/>
      <c r="KE74" s="60"/>
      <c r="KF74" s="60"/>
      <c r="KG74" s="60"/>
      <c r="KH74" s="60"/>
      <c r="KI74" s="60"/>
      <c r="KJ74" s="60"/>
      <c r="KK74" s="60"/>
      <c r="KL74" s="60"/>
      <c r="KM74" s="60"/>
      <c r="KN74" s="60"/>
      <c r="KO74" s="60"/>
      <c r="KP74" s="60"/>
      <c r="KQ74" s="60"/>
      <c r="KR74" s="60"/>
      <c r="KS74" s="60"/>
      <c r="KT74" s="60"/>
      <c r="KU74" s="60"/>
      <c r="KV74" s="60"/>
      <c r="KW74" s="60"/>
      <c r="KX74" s="60"/>
      <c r="KY74" s="60"/>
      <c r="KZ74" s="60"/>
      <c r="LA74" s="60"/>
      <c r="LB74" s="60"/>
      <c r="LC74" s="60"/>
      <c r="LD74" s="60"/>
      <c r="LE74" s="60"/>
      <c r="LF74" s="60"/>
      <c r="LG74" s="60"/>
      <c r="LH74" s="60"/>
    </row>
    <row r="75" spans="1:320" s="17" customFormat="1" x14ac:dyDescent="0.25">
      <c r="A75" s="147"/>
      <c r="E75" s="156"/>
      <c r="F75" s="156"/>
      <c r="G75" s="156"/>
      <c r="H75" s="156"/>
      <c r="I75" s="156"/>
      <c r="J75" s="156"/>
      <c r="K75" s="156"/>
      <c r="L75" s="156"/>
      <c r="M75" s="156"/>
      <c r="N75" s="156"/>
      <c r="O75" s="156"/>
      <c r="P75" s="156"/>
      <c r="Q75" s="156"/>
      <c r="R75" s="156"/>
      <c r="S75" s="156"/>
      <c r="AC75" s="60"/>
      <c r="AD75" s="60"/>
      <c r="AE75" s="60"/>
      <c r="AF75" s="60"/>
      <c r="AG75" s="60"/>
      <c r="AH75" s="60"/>
      <c r="AI75" s="60"/>
      <c r="AJ75" s="60"/>
      <c r="AK75" s="60"/>
      <c r="AL75" s="60"/>
      <c r="AM75" s="60"/>
      <c r="AN75" s="60"/>
      <c r="AO75" s="60"/>
      <c r="AP75" s="60"/>
      <c r="AQ75" s="60"/>
      <c r="AR75" s="60"/>
      <c r="AS75" s="60"/>
      <c r="AT75" s="60"/>
      <c r="AU75" s="60"/>
      <c r="AV75" s="60"/>
      <c r="AW75" s="60"/>
      <c r="AX75" s="60"/>
      <c r="AY75" s="60"/>
      <c r="AZ75" s="60"/>
      <c r="BA75" s="60"/>
      <c r="BB75" s="60"/>
      <c r="BC75" s="60"/>
      <c r="BD75" s="60"/>
      <c r="BE75" s="60"/>
      <c r="BF75" s="60"/>
      <c r="BG75" s="60"/>
      <c r="BH75" s="60"/>
      <c r="BI75" s="60"/>
      <c r="BJ75" s="60"/>
      <c r="BK75" s="60"/>
      <c r="BL75" s="60"/>
      <c r="BM75" s="60"/>
      <c r="BN75" s="60"/>
      <c r="BO75" s="60"/>
      <c r="BP75" s="60"/>
      <c r="BQ75" s="60"/>
      <c r="BR75" s="60"/>
      <c r="BS75" s="60"/>
      <c r="BT75" s="60"/>
      <c r="BU75" s="60"/>
      <c r="BV75" s="60"/>
      <c r="BW75" s="60"/>
      <c r="BX75" s="60"/>
      <c r="BY75" s="60"/>
      <c r="BZ75" s="60"/>
      <c r="CA75" s="60"/>
      <c r="CB75" s="60"/>
      <c r="CC75" s="60"/>
      <c r="CD75" s="60"/>
      <c r="CE75" s="60"/>
      <c r="CF75" s="60"/>
      <c r="CG75" s="60"/>
      <c r="CH75" s="60"/>
      <c r="CI75" s="60"/>
      <c r="CJ75" s="60"/>
      <c r="CK75" s="60"/>
      <c r="CL75" s="60"/>
      <c r="CM75" s="60"/>
      <c r="CN75" s="60"/>
      <c r="CO75" s="60"/>
      <c r="CP75" s="60"/>
      <c r="CQ75" s="60"/>
      <c r="CR75" s="60"/>
      <c r="CS75" s="60"/>
      <c r="CT75" s="60"/>
      <c r="CU75" s="60"/>
      <c r="CV75" s="60"/>
      <c r="CW75" s="60"/>
      <c r="CX75" s="60"/>
      <c r="CY75" s="60"/>
      <c r="CZ75" s="60"/>
      <c r="DA75" s="60"/>
      <c r="DB75" s="60"/>
      <c r="DC75" s="60"/>
      <c r="DD75" s="60"/>
      <c r="DE75" s="60"/>
      <c r="DF75" s="60"/>
      <c r="DG75" s="60"/>
      <c r="DH75" s="60"/>
      <c r="DI75" s="60"/>
      <c r="DJ75" s="60"/>
      <c r="DK75" s="60"/>
      <c r="DL75" s="60"/>
      <c r="DM75" s="60"/>
      <c r="DN75" s="60"/>
      <c r="DO75" s="60"/>
      <c r="DP75" s="60"/>
      <c r="DQ75" s="60"/>
      <c r="DR75" s="60"/>
      <c r="DS75" s="60"/>
      <c r="DT75" s="60"/>
      <c r="DU75" s="60"/>
      <c r="DV75" s="60"/>
      <c r="DW75" s="60"/>
      <c r="DX75" s="60"/>
      <c r="DY75" s="60"/>
      <c r="DZ75" s="60"/>
      <c r="EA75" s="60"/>
      <c r="EB75" s="60"/>
      <c r="EC75" s="60"/>
      <c r="ED75" s="60"/>
      <c r="EE75" s="60"/>
      <c r="EF75" s="60"/>
      <c r="EG75" s="60"/>
      <c r="EH75" s="60"/>
      <c r="EI75" s="60"/>
      <c r="EJ75" s="60"/>
      <c r="EK75" s="60"/>
      <c r="EL75" s="60"/>
      <c r="EM75" s="60"/>
      <c r="EN75" s="60"/>
      <c r="EO75" s="60"/>
      <c r="EP75" s="60"/>
      <c r="EQ75" s="60"/>
      <c r="ER75" s="60"/>
      <c r="ES75" s="60"/>
      <c r="ET75" s="60"/>
      <c r="EU75" s="60"/>
      <c r="EV75" s="60"/>
      <c r="EW75" s="60"/>
      <c r="EX75" s="60"/>
      <c r="EY75" s="60"/>
      <c r="EZ75" s="60"/>
      <c r="FA75" s="60"/>
      <c r="FB75" s="60"/>
      <c r="FC75" s="60"/>
      <c r="FD75" s="60"/>
      <c r="FE75" s="60"/>
      <c r="FF75" s="60"/>
      <c r="FG75" s="60"/>
      <c r="FH75" s="60"/>
      <c r="FI75" s="60"/>
      <c r="FJ75" s="60"/>
      <c r="FK75" s="60"/>
      <c r="FL75" s="60"/>
      <c r="FM75" s="60"/>
      <c r="FN75" s="60"/>
      <c r="FO75" s="60"/>
      <c r="FP75" s="60"/>
      <c r="FQ75" s="60"/>
      <c r="FR75" s="60"/>
      <c r="FS75" s="60"/>
      <c r="FT75" s="60"/>
      <c r="FU75" s="60"/>
      <c r="FV75" s="60"/>
      <c r="FW75" s="60"/>
      <c r="FX75" s="60"/>
      <c r="FY75" s="60"/>
      <c r="FZ75" s="60"/>
      <c r="GA75" s="60"/>
      <c r="GB75" s="60"/>
      <c r="GC75" s="60"/>
      <c r="GD75" s="60"/>
      <c r="GE75" s="60"/>
      <c r="GF75" s="60"/>
      <c r="GG75" s="60"/>
      <c r="GH75" s="60"/>
      <c r="GI75" s="60"/>
      <c r="GJ75" s="60"/>
      <c r="GK75" s="60"/>
      <c r="GL75" s="60"/>
      <c r="GM75" s="60"/>
      <c r="GN75" s="60"/>
      <c r="GO75" s="60"/>
      <c r="GP75" s="60"/>
      <c r="GQ75" s="60"/>
      <c r="GR75" s="60"/>
      <c r="GS75" s="60"/>
      <c r="GT75" s="60"/>
      <c r="GU75" s="60"/>
      <c r="GV75" s="60"/>
      <c r="GW75" s="60"/>
      <c r="GX75" s="60"/>
      <c r="GY75" s="60"/>
      <c r="GZ75" s="60"/>
      <c r="HA75" s="60"/>
      <c r="HB75" s="60"/>
      <c r="HC75" s="60"/>
      <c r="HD75" s="60"/>
      <c r="HE75" s="60"/>
      <c r="HF75" s="60"/>
      <c r="HG75" s="60"/>
      <c r="HH75" s="60"/>
      <c r="HI75" s="60"/>
      <c r="HJ75" s="60"/>
      <c r="HK75" s="60"/>
      <c r="HL75" s="60"/>
      <c r="HM75" s="60"/>
      <c r="HN75" s="60"/>
      <c r="HO75" s="60"/>
      <c r="HP75" s="60"/>
      <c r="HQ75" s="60"/>
      <c r="HR75" s="60"/>
      <c r="HS75" s="60"/>
      <c r="HT75" s="60"/>
      <c r="HU75" s="60"/>
      <c r="HV75" s="60"/>
      <c r="HW75" s="60"/>
      <c r="HX75" s="60"/>
      <c r="HY75" s="60"/>
      <c r="HZ75" s="60"/>
      <c r="IA75" s="60"/>
      <c r="IB75" s="60"/>
      <c r="IC75" s="60"/>
      <c r="ID75" s="60"/>
      <c r="IE75" s="60"/>
      <c r="IF75" s="60"/>
      <c r="IG75" s="60"/>
      <c r="IH75" s="60"/>
      <c r="II75" s="60"/>
      <c r="IJ75" s="60"/>
      <c r="IK75" s="60"/>
      <c r="IL75" s="60"/>
      <c r="IM75" s="60"/>
      <c r="IN75" s="60"/>
      <c r="IO75" s="60"/>
      <c r="IP75" s="60"/>
      <c r="IQ75" s="60"/>
      <c r="IR75" s="60"/>
      <c r="IS75" s="60"/>
      <c r="IT75" s="60"/>
      <c r="IU75" s="60"/>
      <c r="IV75" s="60"/>
      <c r="IW75" s="60"/>
      <c r="IX75" s="60"/>
      <c r="IY75" s="60"/>
      <c r="IZ75" s="60"/>
      <c r="JA75" s="60"/>
      <c r="JB75" s="60"/>
      <c r="JC75" s="60"/>
      <c r="JD75" s="60"/>
      <c r="JE75" s="60"/>
      <c r="JF75" s="60"/>
      <c r="JG75" s="60"/>
      <c r="JH75" s="60"/>
      <c r="JI75" s="60"/>
      <c r="JJ75" s="60"/>
      <c r="JK75" s="60"/>
      <c r="JL75" s="60"/>
      <c r="JM75" s="60"/>
      <c r="JN75" s="60"/>
      <c r="JO75" s="60"/>
      <c r="JP75" s="60"/>
      <c r="JQ75" s="60"/>
      <c r="JR75" s="60"/>
      <c r="JS75" s="60"/>
      <c r="JT75" s="60"/>
      <c r="JU75" s="60"/>
      <c r="JV75" s="60"/>
      <c r="JW75" s="60"/>
      <c r="JX75" s="60"/>
      <c r="JY75" s="60"/>
      <c r="JZ75" s="60"/>
      <c r="KA75" s="60"/>
      <c r="KB75" s="60"/>
      <c r="KC75" s="60"/>
      <c r="KD75" s="60"/>
      <c r="KE75" s="60"/>
      <c r="KF75" s="60"/>
      <c r="KG75" s="60"/>
      <c r="KH75" s="60"/>
      <c r="KI75" s="60"/>
      <c r="KJ75" s="60"/>
      <c r="KK75" s="60"/>
      <c r="KL75" s="60"/>
      <c r="KM75" s="60"/>
      <c r="KN75" s="60"/>
      <c r="KO75" s="60"/>
      <c r="KP75" s="60"/>
      <c r="KQ75" s="60"/>
      <c r="KR75" s="60"/>
      <c r="KS75" s="60"/>
      <c r="KT75" s="60"/>
      <c r="KU75" s="60"/>
      <c r="KV75" s="60"/>
      <c r="KW75" s="60"/>
      <c r="KX75" s="60"/>
      <c r="KY75" s="60"/>
      <c r="KZ75" s="60"/>
      <c r="LA75" s="60"/>
      <c r="LB75" s="60"/>
      <c r="LC75" s="60"/>
      <c r="LD75" s="60"/>
      <c r="LE75" s="60"/>
      <c r="LF75" s="60"/>
      <c r="LG75" s="60"/>
      <c r="LH75" s="60"/>
    </row>
    <row r="76" spans="1:320" s="17" customFormat="1" x14ac:dyDescent="0.25">
      <c r="A76" s="147"/>
      <c r="E76" s="156"/>
      <c r="F76" s="156"/>
      <c r="G76" s="156"/>
      <c r="H76" s="156"/>
      <c r="I76" s="156"/>
      <c r="J76" s="156"/>
      <c r="K76" s="156"/>
      <c r="L76" s="156"/>
      <c r="M76" s="156"/>
      <c r="N76" s="156"/>
      <c r="O76" s="156"/>
      <c r="P76" s="156"/>
      <c r="Q76" s="156"/>
      <c r="R76" s="156"/>
      <c r="S76" s="156"/>
      <c r="AC76" s="60"/>
      <c r="AD76" s="60"/>
      <c r="AE76" s="60"/>
      <c r="AF76" s="60"/>
      <c r="AG76" s="60"/>
      <c r="AH76" s="60"/>
      <c r="AI76" s="60"/>
      <c r="AJ76" s="60"/>
      <c r="AK76" s="60"/>
      <c r="AL76" s="60"/>
      <c r="AM76" s="60"/>
      <c r="AN76" s="60"/>
      <c r="AO76" s="60"/>
      <c r="AP76" s="60"/>
      <c r="AQ76" s="60"/>
      <c r="AR76" s="60"/>
      <c r="AS76" s="60"/>
      <c r="AT76" s="60"/>
      <c r="AU76" s="60"/>
      <c r="AV76" s="60"/>
      <c r="AW76" s="60"/>
      <c r="AX76" s="60"/>
      <c r="AY76" s="60"/>
      <c r="AZ76" s="60"/>
      <c r="BA76" s="60"/>
      <c r="BB76" s="60"/>
      <c r="BC76" s="60"/>
      <c r="BD76" s="60"/>
      <c r="BE76" s="60"/>
      <c r="BF76" s="60"/>
      <c r="BG76" s="60"/>
      <c r="BH76" s="60"/>
      <c r="BI76" s="60"/>
      <c r="BJ76" s="60"/>
      <c r="BK76" s="60"/>
      <c r="BL76" s="60"/>
      <c r="BM76" s="60"/>
      <c r="BN76" s="60"/>
      <c r="BO76" s="60"/>
      <c r="BP76" s="60"/>
      <c r="BQ76" s="60"/>
      <c r="BR76" s="60"/>
      <c r="BS76" s="60"/>
      <c r="BT76" s="60"/>
      <c r="BU76" s="60"/>
      <c r="BV76" s="60"/>
      <c r="BW76" s="60"/>
      <c r="BX76" s="60"/>
      <c r="BY76" s="60"/>
      <c r="BZ76" s="60"/>
      <c r="CA76" s="60"/>
      <c r="CB76" s="60"/>
      <c r="CC76" s="60"/>
      <c r="CD76" s="60"/>
      <c r="CE76" s="60"/>
      <c r="CF76" s="60"/>
      <c r="CG76" s="60"/>
      <c r="CH76" s="60"/>
      <c r="CI76" s="60"/>
      <c r="CJ76" s="60"/>
      <c r="CK76" s="60"/>
      <c r="CL76" s="60"/>
      <c r="CM76" s="60"/>
      <c r="CN76" s="60"/>
      <c r="CO76" s="60"/>
      <c r="CP76" s="60"/>
      <c r="CQ76" s="60"/>
      <c r="CR76" s="60"/>
      <c r="CS76" s="60"/>
      <c r="CT76" s="60"/>
      <c r="CU76" s="60"/>
      <c r="CV76" s="60"/>
      <c r="CW76" s="60"/>
      <c r="CX76" s="60"/>
      <c r="CY76" s="60"/>
      <c r="CZ76" s="60"/>
      <c r="DA76" s="60"/>
      <c r="DB76" s="60"/>
      <c r="DC76" s="60"/>
      <c r="DD76" s="60"/>
      <c r="DE76" s="60"/>
      <c r="DF76" s="60"/>
      <c r="DG76" s="60"/>
      <c r="DH76" s="60"/>
      <c r="DI76" s="60"/>
      <c r="DJ76" s="60"/>
      <c r="DK76" s="60"/>
      <c r="DL76" s="60"/>
      <c r="DM76" s="60"/>
      <c r="DN76" s="60"/>
      <c r="DO76" s="60"/>
      <c r="DP76" s="60"/>
      <c r="DQ76" s="60"/>
      <c r="DR76" s="60"/>
      <c r="DS76" s="60"/>
      <c r="DT76" s="60"/>
      <c r="DU76" s="60"/>
      <c r="DV76" s="60"/>
      <c r="DW76" s="60"/>
      <c r="DX76" s="60"/>
      <c r="DY76" s="60"/>
      <c r="DZ76" s="60"/>
      <c r="EA76" s="60"/>
      <c r="EB76" s="60"/>
      <c r="EC76" s="60"/>
      <c r="ED76" s="60"/>
      <c r="EE76" s="60"/>
      <c r="EF76" s="60"/>
      <c r="EG76" s="60"/>
      <c r="EH76" s="60"/>
      <c r="EI76" s="60"/>
      <c r="EJ76" s="60"/>
      <c r="EK76" s="60"/>
      <c r="EL76" s="60"/>
      <c r="EM76" s="60"/>
      <c r="EN76" s="60"/>
      <c r="EO76" s="60"/>
      <c r="EP76" s="60"/>
      <c r="EQ76" s="60"/>
      <c r="ER76" s="60"/>
      <c r="ES76" s="60"/>
      <c r="ET76" s="60"/>
      <c r="EU76" s="60"/>
      <c r="EV76" s="60"/>
      <c r="EW76" s="60"/>
      <c r="EX76" s="60"/>
      <c r="EY76" s="60"/>
      <c r="EZ76" s="60"/>
      <c r="FA76" s="60"/>
      <c r="FB76" s="60"/>
      <c r="FC76" s="60"/>
      <c r="FD76" s="60"/>
      <c r="FE76" s="60"/>
      <c r="FF76" s="60"/>
      <c r="FG76" s="60"/>
      <c r="FH76" s="60"/>
      <c r="FI76" s="60"/>
      <c r="FJ76" s="60"/>
      <c r="FK76" s="60"/>
      <c r="FL76" s="60"/>
      <c r="FM76" s="60"/>
      <c r="FN76" s="60"/>
      <c r="FO76" s="60"/>
      <c r="FP76" s="60"/>
      <c r="FQ76" s="60"/>
      <c r="FR76" s="60"/>
      <c r="FS76" s="60"/>
      <c r="FT76" s="60"/>
      <c r="FU76" s="60"/>
      <c r="FV76" s="60"/>
      <c r="FW76" s="60"/>
      <c r="FX76" s="60"/>
      <c r="FY76" s="60"/>
      <c r="FZ76" s="60"/>
      <c r="GA76" s="60"/>
      <c r="GB76" s="60"/>
      <c r="GC76" s="60"/>
      <c r="GD76" s="60"/>
      <c r="GE76" s="60"/>
      <c r="GF76" s="60"/>
      <c r="GG76" s="60"/>
      <c r="GH76" s="60"/>
      <c r="GI76" s="60"/>
      <c r="GJ76" s="60"/>
      <c r="GK76" s="60"/>
      <c r="GL76" s="60"/>
      <c r="GM76" s="60"/>
      <c r="GN76" s="60"/>
      <c r="GO76" s="60"/>
      <c r="GP76" s="60"/>
      <c r="GQ76" s="60"/>
      <c r="GR76" s="60"/>
      <c r="GS76" s="60"/>
      <c r="GT76" s="60"/>
      <c r="GU76" s="60"/>
      <c r="GV76" s="60"/>
      <c r="GW76" s="60"/>
      <c r="GX76" s="60"/>
      <c r="GY76" s="60"/>
      <c r="GZ76" s="60"/>
      <c r="HA76" s="60"/>
      <c r="HB76" s="60"/>
      <c r="HC76" s="60"/>
      <c r="HD76" s="60"/>
      <c r="HE76" s="60"/>
      <c r="HF76" s="60"/>
      <c r="HG76" s="60"/>
      <c r="HH76" s="60"/>
      <c r="HI76" s="60"/>
      <c r="HJ76" s="60"/>
      <c r="HK76" s="60"/>
      <c r="HL76" s="60"/>
      <c r="HM76" s="60"/>
      <c r="HN76" s="60"/>
      <c r="HO76" s="60"/>
      <c r="HP76" s="60"/>
      <c r="HQ76" s="60"/>
      <c r="HR76" s="60"/>
      <c r="HS76" s="60"/>
      <c r="HT76" s="60"/>
      <c r="HU76" s="60"/>
      <c r="HV76" s="60"/>
      <c r="HW76" s="60"/>
      <c r="HX76" s="60"/>
      <c r="HY76" s="60"/>
      <c r="HZ76" s="60"/>
      <c r="IA76" s="60"/>
      <c r="IB76" s="60"/>
      <c r="IC76" s="60"/>
      <c r="ID76" s="60"/>
      <c r="IE76" s="60"/>
      <c r="IF76" s="60"/>
      <c r="IG76" s="60"/>
      <c r="IH76" s="60"/>
      <c r="II76" s="60"/>
      <c r="IJ76" s="60"/>
      <c r="IK76" s="60"/>
      <c r="IL76" s="60"/>
      <c r="IM76" s="60"/>
      <c r="IN76" s="60"/>
      <c r="IO76" s="60"/>
      <c r="IP76" s="60"/>
      <c r="IQ76" s="60"/>
      <c r="IR76" s="60"/>
      <c r="IS76" s="60"/>
      <c r="IT76" s="60"/>
      <c r="IU76" s="60"/>
      <c r="IV76" s="60"/>
      <c r="IW76" s="60"/>
      <c r="IX76" s="60"/>
      <c r="IY76" s="60"/>
      <c r="IZ76" s="60"/>
      <c r="JA76" s="60"/>
      <c r="JB76" s="60"/>
      <c r="JC76" s="60"/>
      <c r="JD76" s="60"/>
      <c r="JE76" s="60"/>
      <c r="JF76" s="60"/>
      <c r="JG76" s="60"/>
      <c r="JH76" s="60"/>
      <c r="JI76" s="60"/>
      <c r="JJ76" s="60"/>
      <c r="JK76" s="60"/>
      <c r="JL76" s="60"/>
      <c r="JM76" s="60"/>
      <c r="JN76" s="60"/>
      <c r="JO76" s="60"/>
      <c r="JP76" s="60"/>
      <c r="JQ76" s="60"/>
      <c r="JR76" s="60"/>
      <c r="JS76" s="60"/>
      <c r="JT76" s="60"/>
      <c r="JU76" s="60"/>
      <c r="JV76" s="60"/>
      <c r="JW76" s="60"/>
      <c r="JX76" s="60"/>
      <c r="JY76" s="60"/>
      <c r="JZ76" s="60"/>
      <c r="KA76" s="60"/>
      <c r="KB76" s="60"/>
      <c r="KC76" s="60"/>
      <c r="KD76" s="60"/>
      <c r="KE76" s="60"/>
      <c r="KF76" s="60"/>
      <c r="KG76" s="60"/>
      <c r="KH76" s="60"/>
      <c r="KI76" s="60"/>
      <c r="KJ76" s="60"/>
      <c r="KK76" s="60"/>
      <c r="KL76" s="60"/>
      <c r="KM76" s="60"/>
      <c r="KN76" s="60"/>
      <c r="KO76" s="60"/>
      <c r="KP76" s="60"/>
      <c r="KQ76" s="60"/>
      <c r="KR76" s="60"/>
      <c r="KS76" s="60"/>
      <c r="KT76" s="60"/>
      <c r="KU76" s="60"/>
      <c r="KV76" s="60"/>
      <c r="KW76" s="60"/>
      <c r="KX76" s="60"/>
      <c r="KY76" s="60"/>
      <c r="KZ76" s="60"/>
      <c r="LA76" s="60"/>
      <c r="LB76" s="60"/>
      <c r="LC76" s="60"/>
      <c r="LD76" s="60"/>
      <c r="LE76" s="60"/>
      <c r="LF76" s="60"/>
      <c r="LG76" s="60"/>
      <c r="LH76" s="60"/>
    </row>
    <row r="77" spans="1:320" s="17" customFormat="1" x14ac:dyDescent="0.25">
      <c r="A77" s="147"/>
      <c r="E77" s="156"/>
      <c r="F77" s="156"/>
      <c r="G77" s="156"/>
      <c r="H77" s="156"/>
      <c r="I77" s="156"/>
      <c r="J77" s="156"/>
      <c r="K77" s="156"/>
      <c r="L77" s="156"/>
      <c r="M77" s="156"/>
      <c r="N77" s="156"/>
      <c r="O77" s="156"/>
      <c r="P77" s="156"/>
      <c r="Q77" s="156"/>
      <c r="R77" s="156"/>
      <c r="S77" s="156"/>
      <c r="AC77" s="60"/>
      <c r="AD77" s="60"/>
      <c r="AE77" s="60"/>
      <c r="AF77" s="60"/>
      <c r="AG77" s="60"/>
      <c r="AH77" s="60"/>
      <c r="AI77" s="60"/>
      <c r="AJ77" s="60"/>
      <c r="AK77" s="60"/>
      <c r="AL77" s="60"/>
      <c r="AM77" s="60"/>
      <c r="AN77" s="60"/>
      <c r="AO77" s="60"/>
      <c r="AP77" s="60"/>
      <c r="AQ77" s="60"/>
      <c r="AR77" s="60"/>
      <c r="AS77" s="60"/>
      <c r="AT77" s="60"/>
      <c r="AU77" s="60"/>
      <c r="AV77" s="60"/>
      <c r="AW77" s="60"/>
      <c r="AX77" s="60"/>
      <c r="AY77" s="60"/>
      <c r="AZ77" s="60"/>
      <c r="BA77" s="60"/>
      <c r="BB77" s="60"/>
      <c r="BC77" s="60"/>
      <c r="BD77" s="60"/>
      <c r="BE77" s="60"/>
      <c r="BF77" s="60"/>
      <c r="BG77" s="60"/>
      <c r="BH77" s="60"/>
      <c r="BI77" s="60"/>
      <c r="BJ77" s="60"/>
      <c r="BK77" s="60"/>
      <c r="BL77" s="60"/>
      <c r="BM77" s="60"/>
      <c r="BN77" s="60"/>
      <c r="BO77" s="60"/>
      <c r="BP77" s="60"/>
      <c r="BQ77" s="60"/>
      <c r="BR77" s="60"/>
      <c r="BS77" s="60"/>
      <c r="BT77" s="60"/>
      <c r="BU77" s="60"/>
      <c r="BV77" s="60"/>
      <c r="BW77" s="60"/>
      <c r="BX77" s="60"/>
      <c r="BY77" s="60"/>
      <c r="BZ77" s="60"/>
      <c r="CA77" s="60"/>
      <c r="CB77" s="60"/>
      <c r="CC77" s="60"/>
      <c r="CD77" s="60"/>
      <c r="CE77" s="60"/>
      <c r="CF77" s="60"/>
      <c r="CG77" s="60"/>
      <c r="CH77" s="60"/>
      <c r="CI77" s="60"/>
      <c r="CJ77" s="60"/>
      <c r="CK77" s="60"/>
      <c r="CL77" s="60"/>
      <c r="CM77" s="60"/>
      <c r="CN77" s="60"/>
      <c r="CO77" s="60"/>
      <c r="CP77" s="60"/>
      <c r="CQ77" s="60"/>
      <c r="CR77" s="60"/>
      <c r="CS77" s="60"/>
      <c r="CT77" s="60"/>
      <c r="CU77" s="60"/>
      <c r="CV77" s="60"/>
      <c r="CW77" s="60"/>
      <c r="CX77" s="60"/>
      <c r="CY77" s="60"/>
      <c r="CZ77" s="60"/>
      <c r="DA77" s="60"/>
      <c r="DB77" s="60"/>
      <c r="DC77" s="60"/>
      <c r="DD77" s="60"/>
      <c r="DE77" s="60"/>
      <c r="DF77" s="60"/>
      <c r="DG77" s="60"/>
      <c r="DH77" s="60"/>
      <c r="DI77" s="60"/>
      <c r="DJ77" s="60"/>
      <c r="DK77" s="60"/>
      <c r="DL77" s="60"/>
      <c r="DM77" s="60"/>
      <c r="DN77" s="60"/>
      <c r="DO77" s="60"/>
      <c r="DP77" s="60"/>
      <c r="DQ77" s="60"/>
      <c r="DR77" s="60"/>
      <c r="DS77" s="60"/>
      <c r="DT77" s="60"/>
      <c r="DU77" s="60"/>
      <c r="DV77" s="60"/>
      <c r="DW77" s="60"/>
      <c r="DX77" s="60"/>
      <c r="DY77" s="60"/>
      <c r="DZ77" s="60"/>
      <c r="EA77" s="60"/>
      <c r="EB77" s="60"/>
      <c r="EC77" s="60"/>
      <c r="ED77" s="60"/>
      <c r="EE77" s="60"/>
      <c r="EF77" s="60"/>
      <c r="EG77" s="60"/>
      <c r="EH77" s="60"/>
      <c r="EI77" s="60"/>
      <c r="EJ77" s="60"/>
      <c r="EK77" s="60"/>
      <c r="EL77" s="60"/>
      <c r="EM77" s="60"/>
      <c r="EN77" s="60"/>
      <c r="EO77" s="60"/>
      <c r="EP77" s="60"/>
      <c r="EQ77" s="60"/>
      <c r="ER77" s="60"/>
      <c r="ES77" s="60"/>
      <c r="ET77" s="60"/>
      <c r="EU77" s="60"/>
      <c r="EV77" s="60"/>
      <c r="EW77" s="60"/>
      <c r="EX77" s="60"/>
      <c r="EY77" s="60"/>
      <c r="EZ77" s="60"/>
      <c r="FA77" s="60"/>
      <c r="FB77" s="60"/>
      <c r="FC77" s="60"/>
      <c r="FD77" s="60"/>
      <c r="FE77" s="60"/>
      <c r="FF77" s="60"/>
      <c r="FG77" s="60"/>
      <c r="FH77" s="60"/>
      <c r="FI77" s="60"/>
      <c r="FJ77" s="60"/>
      <c r="FK77" s="60"/>
      <c r="FL77" s="60"/>
      <c r="FM77" s="60"/>
      <c r="FN77" s="60"/>
      <c r="FO77" s="60"/>
      <c r="FP77" s="60"/>
      <c r="FQ77" s="60"/>
      <c r="FR77" s="60"/>
      <c r="FS77" s="60"/>
      <c r="FT77" s="60"/>
      <c r="FU77" s="60"/>
      <c r="FV77" s="60"/>
      <c r="FW77" s="60"/>
      <c r="FX77" s="60"/>
      <c r="FY77" s="60"/>
      <c r="FZ77" s="60"/>
      <c r="GA77" s="60"/>
      <c r="GB77" s="60"/>
      <c r="GC77" s="60"/>
      <c r="GD77" s="60"/>
      <c r="GE77" s="60"/>
      <c r="GF77" s="60"/>
      <c r="GG77" s="60"/>
      <c r="GH77" s="60"/>
      <c r="GI77" s="60"/>
      <c r="GJ77" s="60"/>
      <c r="GK77" s="60"/>
      <c r="GL77" s="60"/>
      <c r="GM77" s="60"/>
      <c r="GN77" s="60"/>
      <c r="GO77" s="60"/>
      <c r="GP77" s="60"/>
      <c r="GQ77" s="60"/>
      <c r="GR77" s="60"/>
      <c r="GS77" s="60"/>
      <c r="GT77" s="60"/>
      <c r="GU77" s="60"/>
      <c r="GV77" s="60"/>
      <c r="GW77" s="60"/>
      <c r="GX77" s="60"/>
      <c r="GY77" s="60"/>
      <c r="GZ77" s="60"/>
      <c r="HA77" s="60"/>
      <c r="HB77" s="60"/>
      <c r="HC77" s="60"/>
      <c r="HD77" s="60"/>
      <c r="HE77" s="60"/>
      <c r="HF77" s="60"/>
      <c r="HG77" s="60"/>
      <c r="HH77" s="60"/>
      <c r="HI77" s="60"/>
      <c r="HJ77" s="60"/>
      <c r="HK77" s="60"/>
      <c r="HL77" s="60"/>
      <c r="HM77" s="60"/>
      <c r="HN77" s="60"/>
      <c r="HO77" s="60"/>
      <c r="HP77" s="60"/>
      <c r="HQ77" s="60"/>
      <c r="HR77" s="60"/>
      <c r="HS77" s="60"/>
      <c r="HT77" s="60"/>
      <c r="HU77" s="60"/>
      <c r="HV77" s="60"/>
      <c r="HW77" s="60"/>
      <c r="HX77" s="60"/>
      <c r="HY77" s="60"/>
      <c r="HZ77" s="60"/>
      <c r="IA77" s="60"/>
      <c r="IB77" s="60"/>
      <c r="IC77" s="60"/>
      <c r="ID77" s="60"/>
      <c r="IE77" s="60"/>
      <c r="IF77" s="60"/>
      <c r="IG77" s="60"/>
      <c r="IH77" s="60"/>
      <c r="II77" s="60"/>
      <c r="IJ77" s="60"/>
      <c r="IK77" s="60"/>
      <c r="IL77" s="60"/>
      <c r="IM77" s="60"/>
      <c r="IN77" s="60"/>
      <c r="IO77" s="60"/>
      <c r="IP77" s="60"/>
      <c r="IQ77" s="60"/>
      <c r="IR77" s="60"/>
      <c r="IS77" s="60"/>
      <c r="IT77" s="60"/>
      <c r="IU77" s="60"/>
      <c r="IV77" s="60"/>
      <c r="IW77" s="60"/>
      <c r="IX77" s="60"/>
      <c r="IY77" s="60"/>
      <c r="IZ77" s="60"/>
      <c r="JA77" s="60"/>
      <c r="JB77" s="60"/>
      <c r="JC77" s="60"/>
      <c r="JD77" s="60"/>
      <c r="JE77" s="60"/>
      <c r="JF77" s="60"/>
      <c r="JG77" s="60"/>
      <c r="JH77" s="60"/>
      <c r="JI77" s="60"/>
      <c r="JJ77" s="60"/>
      <c r="JK77" s="60"/>
      <c r="JL77" s="60"/>
      <c r="JM77" s="60"/>
      <c r="JN77" s="60"/>
      <c r="JO77" s="60"/>
      <c r="JP77" s="60"/>
      <c r="JQ77" s="60"/>
      <c r="JR77" s="60"/>
      <c r="JS77" s="60"/>
      <c r="JT77" s="60"/>
      <c r="JU77" s="60"/>
      <c r="JV77" s="60"/>
      <c r="JW77" s="60"/>
      <c r="JX77" s="60"/>
      <c r="JY77" s="60"/>
      <c r="JZ77" s="60"/>
      <c r="KA77" s="60"/>
      <c r="KB77" s="60"/>
      <c r="KC77" s="60"/>
      <c r="KD77" s="60"/>
      <c r="KE77" s="60"/>
      <c r="KF77" s="60"/>
      <c r="KG77" s="60"/>
      <c r="KH77" s="60"/>
      <c r="KI77" s="60"/>
      <c r="KJ77" s="60"/>
      <c r="KK77" s="60"/>
      <c r="KL77" s="60"/>
      <c r="KM77" s="60"/>
      <c r="KN77" s="60"/>
      <c r="KO77" s="60"/>
      <c r="KP77" s="60"/>
      <c r="KQ77" s="60"/>
      <c r="KR77" s="60"/>
      <c r="KS77" s="60"/>
      <c r="KT77" s="60"/>
      <c r="KU77" s="60"/>
      <c r="KV77" s="60"/>
      <c r="KW77" s="60"/>
      <c r="KX77" s="60"/>
      <c r="KY77" s="60"/>
      <c r="KZ77" s="60"/>
      <c r="LA77" s="60"/>
      <c r="LB77" s="60"/>
      <c r="LC77" s="60"/>
      <c r="LD77" s="60"/>
      <c r="LE77" s="60"/>
      <c r="LF77" s="60"/>
      <c r="LG77" s="60"/>
      <c r="LH77" s="60"/>
    </row>
    <row r="78" spans="1:320" s="17" customFormat="1" x14ac:dyDescent="0.25">
      <c r="A78" s="147"/>
      <c r="E78" s="156"/>
      <c r="F78" s="156"/>
      <c r="G78" s="156"/>
      <c r="H78" s="156"/>
      <c r="I78" s="156"/>
      <c r="J78" s="156"/>
      <c r="K78" s="156"/>
      <c r="L78" s="156"/>
      <c r="M78" s="156"/>
      <c r="N78" s="156"/>
      <c r="O78" s="156"/>
      <c r="P78" s="156"/>
      <c r="Q78" s="156"/>
      <c r="R78" s="156"/>
      <c r="S78" s="156"/>
      <c r="AC78" s="60"/>
      <c r="AD78" s="60"/>
      <c r="AE78" s="60"/>
      <c r="AF78" s="60"/>
      <c r="AG78" s="60"/>
      <c r="AH78" s="60"/>
      <c r="AI78" s="60"/>
      <c r="AJ78" s="60"/>
      <c r="AK78" s="60"/>
      <c r="AL78" s="60"/>
      <c r="AM78" s="60"/>
      <c r="AN78" s="60"/>
      <c r="AO78" s="60"/>
      <c r="AP78" s="60"/>
      <c r="AQ78" s="60"/>
      <c r="AR78" s="60"/>
      <c r="AS78" s="60"/>
      <c r="AT78" s="60"/>
      <c r="AU78" s="60"/>
      <c r="AV78" s="60"/>
      <c r="AW78" s="60"/>
      <c r="AX78" s="60"/>
      <c r="AY78" s="60"/>
      <c r="AZ78" s="60"/>
      <c r="BA78" s="60"/>
      <c r="BB78" s="60"/>
      <c r="BC78" s="60"/>
      <c r="BD78" s="60"/>
      <c r="BE78" s="60"/>
      <c r="BF78" s="60"/>
      <c r="BG78" s="60"/>
      <c r="BH78" s="60"/>
      <c r="BI78" s="60"/>
      <c r="BJ78" s="60"/>
      <c r="BK78" s="60"/>
      <c r="BL78" s="60"/>
      <c r="BM78" s="60"/>
      <c r="BN78" s="60"/>
      <c r="BO78" s="60"/>
      <c r="BP78" s="60"/>
      <c r="BQ78" s="60"/>
      <c r="BR78" s="60"/>
      <c r="BS78" s="60"/>
      <c r="BT78" s="60"/>
      <c r="BU78" s="60"/>
      <c r="BV78" s="60"/>
      <c r="BW78" s="60"/>
      <c r="BX78" s="60"/>
      <c r="BY78" s="60"/>
      <c r="BZ78" s="60"/>
      <c r="CA78" s="60"/>
      <c r="CB78" s="60"/>
      <c r="CC78" s="60"/>
      <c r="CD78" s="60"/>
      <c r="CE78" s="60"/>
      <c r="CF78" s="60"/>
      <c r="CG78" s="60"/>
      <c r="CH78" s="60"/>
      <c r="CI78" s="60"/>
      <c r="CJ78" s="60"/>
      <c r="CK78" s="60"/>
      <c r="CL78" s="60"/>
      <c r="CM78" s="60"/>
      <c r="CN78" s="60"/>
      <c r="CO78" s="60"/>
      <c r="CP78" s="60"/>
      <c r="CQ78" s="60"/>
      <c r="CR78" s="60"/>
      <c r="CS78" s="60"/>
      <c r="CT78" s="60"/>
      <c r="CU78" s="60"/>
      <c r="CV78" s="60"/>
      <c r="CW78" s="60"/>
      <c r="CX78" s="60"/>
      <c r="CY78" s="60"/>
      <c r="CZ78" s="60"/>
      <c r="DA78" s="60"/>
      <c r="DB78" s="60"/>
      <c r="DC78" s="60"/>
      <c r="DD78" s="60"/>
      <c r="DE78" s="60"/>
      <c r="DF78" s="60"/>
      <c r="DG78" s="60"/>
      <c r="DH78" s="60"/>
      <c r="DI78" s="60"/>
      <c r="DJ78" s="60"/>
      <c r="DK78" s="60"/>
      <c r="DL78" s="60"/>
      <c r="DM78" s="60"/>
      <c r="DN78" s="60"/>
      <c r="DO78" s="60"/>
      <c r="DP78" s="60"/>
      <c r="DQ78" s="60"/>
      <c r="DR78" s="60"/>
      <c r="DS78" s="60"/>
      <c r="DT78" s="60"/>
      <c r="DU78" s="60"/>
      <c r="DV78" s="60"/>
      <c r="DW78" s="60"/>
      <c r="DX78" s="60"/>
      <c r="DY78" s="60"/>
      <c r="DZ78" s="60"/>
      <c r="EA78" s="60"/>
      <c r="EB78" s="60"/>
      <c r="EC78" s="60"/>
      <c r="ED78" s="60"/>
      <c r="EE78" s="60"/>
      <c r="EF78" s="60"/>
      <c r="EG78" s="60"/>
      <c r="EH78" s="60"/>
      <c r="EI78" s="60"/>
      <c r="EJ78" s="60"/>
      <c r="EK78" s="60"/>
      <c r="EL78" s="60"/>
      <c r="EM78" s="60"/>
      <c r="EN78" s="60"/>
      <c r="EO78" s="60"/>
      <c r="EP78" s="60"/>
      <c r="EQ78" s="60"/>
      <c r="ER78" s="60"/>
      <c r="ES78" s="60"/>
      <c r="ET78" s="60"/>
      <c r="EU78" s="60"/>
      <c r="EV78" s="60"/>
      <c r="EW78" s="60"/>
      <c r="EX78" s="60"/>
      <c r="EY78" s="60"/>
      <c r="EZ78" s="60"/>
      <c r="FA78" s="60"/>
      <c r="FB78" s="60"/>
      <c r="FC78" s="60"/>
      <c r="FD78" s="60"/>
      <c r="FE78" s="60"/>
      <c r="FF78" s="60"/>
      <c r="FG78" s="60"/>
      <c r="FH78" s="60"/>
      <c r="FI78" s="60"/>
      <c r="FJ78" s="60"/>
      <c r="FK78" s="60"/>
      <c r="FL78" s="60"/>
      <c r="FM78" s="60"/>
      <c r="FN78" s="60"/>
      <c r="FO78" s="60"/>
      <c r="FP78" s="60"/>
      <c r="FQ78" s="60"/>
      <c r="FR78" s="60"/>
      <c r="FS78" s="60"/>
      <c r="FT78" s="60"/>
      <c r="FU78" s="60"/>
      <c r="FV78" s="60"/>
      <c r="FW78" s="60"/>
      <c r="FX78" s="60"/>
      <c r="FY78" s="60"/>
      <c r="FZ78" s="60"/>
      <c r="GA78" s="60"/>
      <c r="GB78" s="60"/>
      <c r="GC78" s="60"/>
      <c r="GD78" s="60"/>
      <c r="GE78" s="60"/>
      <c r="GF78" s="60"/>
      <c r="GG78" s="60"/>
      <c r="GH78" s="60"/>
      <c r="GI78" s="60"/>
      <c r="GJ78" s="60"/>
      <c r="GK78" s="60"/>
      <c r="GL78" s="60"/>
      <c r="GM78" s="60"/>
      <c r="GN78" s="60"/>
      <c r="GO78" s="60"/>
      <c r="GP78" s="60"/>
      <c r="GQ78" s="60"/>
      <c r="GR78" s="60"/>
      <c r="GS78" s="60"/>
      <c r="GT78" s="60"/>
      <c r="GU78" s="60"/>
      <c r="GV78" s="60"/>
      <c r="GW78" s="60"/>
      <c r="GX78" s="60"/>
      <c r="GY78" s="60"/>
      <c r="GZ78" s="60"/>
      <c r="HA78" s="60"/>
      <c r="HB78" s="60"/>
      <c r="HC78" s="60"/>
      <c r="HD78" s="60"/>
      <c r="HE78" s="60"/>
      <c r="HF78" s="60"/>
      <c r="HG78" s="60"/>
      <c r="HH78" s="60"/>
      <c r="HI78" s="60"/>
      <c r="HJ78" s="60"/>
      <c r="HK78" s="60"/>
      <c r="HL78" s="60"/>
      <c r="HM78" s="60"/>
      <c r="HN78" s="60"/>
      <c r="HO78" s="60"/>
      <c r="HP78" s="60"/>
      <c r="HQ78" s="60"/>
      <c r="HR78" s="60"/>
      <c r="HS78" s="60"/>
      <c r="HT78" s="60"/>
      <c r="HU78" s="60"/>
      <c r="HV78" s="60"/>
      <c r="HW78" s="60"/>
      <c r="HX78" s="60"/>
      <c r="HY78" s="60"/>
      <c r="HZ78" s="60"/>
      <c r="IA78" s="60"/>
      <c r="IB78" s="60"/>
      <c r="IC78" s="60"/>
      <c r="ID78" s="60"/>
      <c r="IE78" s="60"/>
      <c r="IF78" s="60"/>
      <c r="IG78" s="60"/>
      <c r="IH78" s="60"/>
      <c r="II78" s="60"/>
      <c r="IJ78" s="60"/>
      <c r="IK78" s="60"/>
      <c r="IL78" s="60"/>
      <c r="IM78" s="60"/>
      <c r="IN78" s="60"/>
      <c r="IO78" s="60"/>
      <c r="IP78" s="60"/>
      <c r="IQ78" s="60"/>
      <c r="IR78" s="60"/>
      <c r="IS78" s="60"/>
      <c r="IT78" s="60"/>
      <c r="IU78" s="60"/>
      <c r="IV78" s="60"/>
      <c r="IW78" s="60"/>
      <c r="IX78" s="60"/>
      <c r="IY78" s="60"/>
      <c r="IZ78" s="60"/>
      <c r="JA78" s="60"/>
      <c r="JB78" s="60"/>
      <c r="JC78" s="60"/>
      <c r="JD78" s="60"/>
      <c r="JE78" s="60"/>
      <c r="JF78" s="60"/>
      <c r="JG78" s="60"/>
      <c r="JH78" s="60"/>
      <c r="JI78" s="60"/>
      <c r="JJ78" s="60"/>
      <c r="JK78" s="60"/>
      <c r="JL78" s="60"/>
      <c r="JM78" s="60"/>
      <c r="JN78" s="60"/>
      <c r="JO78" s="60"/>
      <c r="JP78" s="60"/>
      <c r="JQ78" s="60"/>
      <c r="JR78" s="60"/>
      <c r="JS78" s="60"/>
      <c r="JT78" s="60"/>
      <c r="JU78" s="60"/>
      <c r="JV78" s="60"/>
      <c r="JW78" s="60"/>
      <c r="JX78" s="60"/>
      <c r="JY78" s="60"/>
      <c r="JZ78" s="60"/>
      <c r="KA78" s="60"/>
      <c r="KB78" s="60"/>
      <c r="KC78" s="60"/>
      <c r="KD78" s="60"/>
      <c r="KE78" s="60"/>
      <c r="KF78" s="60"/>
      <c r="KG78" s="60"/>
      <c r="KH78" s="60"/>
      <c r="KI78" s="60"/>
      <c r="KJ78" s="60"/>
      <c r="KK78" s="60"/>
      <c r="KL78" s="60"/>
      <c r="KM78" s="60"/>
      <c r="KN78" s="60"/>
      <c r="KO78" s="60"/>
      <c r="KP78" s="60"/>
      <c r="KQ78" s="60"/>
      <c r="KR78" s="60"/>
      <c r="KS78" s="60"/>
      <c r="KT78" s="60"/>
      <c r="KU78" s="60"/>
      <c r="KV78" s="60"/>
      <c r="KW78" s="60"/>
      <c r="KX78" s="60"/>
      <c r="KY78" s="60"/>
      <c r="KZ78" s="60"/>
      <c r="LA78" s="60"/>
      <c r="LB78" s="60"/>
      <c r="LC78" s="60"/>
      <c r="LD78" s="60"/>
      <c r="LE78" s="60"/>
      <c r="LF78" s="60"/>
      <c r="LG78" s="60"/>
      <c r="LH78" s="60"/>
    </row>
    <row r="79" spans="1:320" s="17" customFormat="1" x14ac:dyDescent="0.25">
      <c r="A79" s="147"/>
      <c r="E79" s="156"/>
      <c r="F79" s="156"/>
      <c r="G79" s="156"/>
      <c r="H79" s="156"/>
      <c r="I79" s="156"/>
      <c r="J79" s="156"/>
      <c r="K79" s="156"/>
      <c r="L79" s="156"/>
      <c r="M79" s="156"/>
      <c r="N79" s="156"/>
      <c r="O79" s="156"/>
      <c r="P79" s="156"/>
      <c r="Q79" s="156"/>
      <c r="R79" s="156"/>
      <c r="S79" s="156"/>
      <c r="AC79" s="60"/>
      <c r="AD79" s="60"/>
      <c r="AE79" s="60"/>
      <c r="AF79" s="60"/>
      <c r="AG79" s="60"/>
      <c r="AH79" s="60"/>
      <c r="AI79" s="60"/>
      <c r="AJ79" s="60"/>
      <c r="AK79" s="60"/>
      <c r="AL79" s="60"/>
      <c r="AM79" s="60"/>
      <c r="AN79" s="60"/>
      <c r="AO79" s="60"/>
      <c r="AP79" s="60"/>
      <c r="AQ79" s="60"/>
      <c r="AR79" s="60"/>
      <c r="AS79" s="60"/>
      <c r="AT79" s="60"/>
      <c r="AU79" s="60"/>
      <c r="AV79" s="60"/>
      <c r="AW79" s="60"/>
      <c r="AX79" s="60"/>
      <c r="AY79" s="60"/>
      <c r="AZ79" s="60"/>
      <c r="BA79" s="60"/>
      <c r="BB79" s="60"/>
      <c r="BC79" s="60"/>
      <c r="BD79" s="60"/>
      <c r="BE79" s="60"/>
      <c r="BF79" s="60"/>
      <c r="BG79" s="60"/>
      <c r="BH79" s="60"/>
      <c r="BI79" s="60"/>
      <c r="BJ79" s="60"/>
      <c r="BK79" s="60"/>
      <c r="BL79" s="60"/>
      <c r="BM79" s="60"/>
      <c r="BN79" s="60"/>
      <c r="BO79" s="60"/>
      <c r="BP79" s="60"/>
      <c r="BQ79" s="60"/>
      <c r="BR79" s="60"/>
      <c r="BS79" s="60"/>
      <c r="BT79" s="60"/>
      <c r="BU79" s="60"/>
      <c r="BV79" s="60"/>
      <c r="BW79" s="60"/>
      <c r="BX79" s="60"/>
      <c r="BY79" s="60"/>
      <c r="BZ79" s="60"/>
      <c r="CA79" s="60"/>
      <c r="CB79" s="60"/>
      <c r="CC79" s="60"/>
      <c r="CD79" s="60"/>
      <c r="CE79" s="60"/>
      <c r="CF79" s="60"/>
      <c r="CG79" s="60"/>
      <c r="CH79" s="60"/>
      <c r="CI79" s="60"/>
      <c r="CJ79" s="60"/>
      <c r="CK79" s="60"/>
      <c r="CL79" s="60"/>
      <c r="CM79" s="60"/>
      <c r="CN79" s="60"/>
      <c r="CO79" s="60"/>
      <c r="CP79" s="60"/>
      <c r="CQ79" s="60"/>
      <c r="CR79" s="60"/>
      <c r="CS79" s="60"/>
      <c r="CT79" s="60"/>
      <c r="CU79" s="60"/>
      <c r="CV79" s="60"/>
      <c r="CW79" s="60"/>
      <c r="CX79" s="60"/>
      <c r="CY79" s="60"/>
      <c r="CZ79" s="60"/>
      <c r="DA79" s="60"/>
      <c r="DB79" s="60"/>
      <c r="DC79" s="60"/>
      <c r="DD79" s="60"/>
      <c r="DE79" s="60"/>
      <c r="DF79" s="60"/>
      <c r="DG79" s="60"/>
      <c r="DH79" s="60"/>
      <c r="DI79" s="60"/>
      <c r="DJ79" s="60"/>
      <c r="DK79" s="60"/>
      <c r="DL79" s="60"/>
      <c r="DM79" s="60"/>
      <c r="DN79" s="60"/>
      <c r="DO79" s="60"/>
      <c r="DP79" s="60"/>
      <c r="DQ79" s="60"/>
      <c r="DR79" s="60"/>
      <c r="DS79" s="60"/>
      <c r="DT79" s="60"/>
      <c r="DU79" s="60"/>
      <c r="DV79" s="60"/>
      <c r="DW79" s="60"/>
      <c r="DX79" s="60"/>
      <c r="DY79" s="60"/>
      <c r="DZ79" s="60"/>
      <c r="EA79" s="60"/>
      <c r="EB79" s="60"/>
      <c r="EC79" s="60"/>
      <c r="ED79" s="60"/>
      <c r="EE79" s="60"/>
      <c r="EF79" s="60"/>
      <c r="EG79" s="60"/>
      <c r="EH79" s="60"/>
      <c r="EI79" s="60"/>
      <c r="EJ79" s="60"/>
      <c r="EK79" s="60"/>
      <c r="EL79" s="60"/>
      <c r="EM79" s="60"/>
      <c r="EN79" s="60"/>
      <c r="EO79" s="60"/>
      <c r="EP79" s="60"/>
      <c r="EQ79" s="60"/>
      <c r="ER79" s="60"/>
      <c r="ES79" s="60"/>
      <c r="ET79" s="60"/>
      <c r="EU79" s="60"/>
      <c r="EV79" s="60"/>
      <c r="EW79" s="60"/>
      <c r="EX79" s="60"/>
      <c r="EY79" s="60"/>
      <c r="EZ79" s="60"/>
      <c r="FA79" s="60"/>
      <c r="FB79" s="60"/>
      <c r="FC79" s="60"/>
      <c r="FD79" s="60"/>
      <c r="FE79" s="60"/>
      <c r="FF79" s="60"/>
      <c r="FG79" s="60"/>
      <c r="FH79" s="60"/>
      <c r="FI79" s="60"/>
      <c r="FJ79" s="60"/>
      <c r="FK79" s="60"/>
      <c r="FL79" s="60"/>
      <c r="FM79" s="60"/>
      <c r="FN79" s="60"/>
      <c r="FO79" s="60"/>
      <c r="FP79" s="60"/>
      <c r="FQ79" s="60"/>
      <c r="FR79" s="60"/>
      <c r="FS79" s="60"/>
      <c r="FT79" s="60"/>
      <c r="FU79" s="60"/>
      <c r="FV79" s="60"/>
      <c r="FW79" s="60"/>
      <c r="FX79" s="60"/>
      <c r="FY79" s="60"/>
      <c r="FZ79" s="60"/>
      <c r="GA79" s="60"/>
      <c r="GB79" s="60"/>
      <c r="GC79" s="60"/>
      <c r="GD79" s="60"/>
      <c r="GE79" s="60"/>
      <c r="GF79" s="60"/>
      <c r="GG79" s="60"/>
      <c r="GH79" s="60"/>
      <c r="GI79" s="60"/>
      <c r="GJ79" s="60"/>
      <c r="GK79" s="60"/>
      <c r="GL79" s="60"/>
      <c r="GM79" s="60"/>
      <c r="GN79" s="60"/>
      <c r="GO79" s="60"/>
      <c r="GP79" s="60"/>
      <c r="GQ79" s="60"/>
      <c r="GR79" s="60"/>
      <c r="GS79" s="60"/>
      <c r="GT79" s="60"/>
      <c r="GU79" s="60"/>
      <c r="GV79" s="60"/>
      <c r="GW79" s="60"/>
      <c r="GX79" s="60"/>
      <c r="GY79" s="60"/>
      <c r="GZ79" s="60"/>
      <c r="HA79" s="60"/>
      <c r="HB79" s="60"/>
      <c r="HC79" s="60"/>
      <c r="HD79" s="60"/>
      <c r="HE79" s="60"/>
      <c r="HF79" s="60"/>
      <c r="HG79" s="60"/>
      <c r="HH79" s="60"/>
      <c r="HI79" s="60"/>
      <c r="HJ79" s="60"/>
      <c r="HK79" s="60"/>
      <c r="HL79" s="60"/>
      <c r="HM79" s="60"/>
      <c r="HN79" s="60"/>
      <c r="HO79" s="60"/>
      <c r="HP79" s="60"/>
      <c r="HQ79" s="60"/>
      <c r="HR79" s="60"/>
      <c r="HS79" s="60"/>
      <c r="HT79" s="60"/>
      <c r="HU79" s="60"/>
      <c r="HV79" s="60"/>
      <c r="HW79" s="60"/>
      <c r="HX79" s="60"/>
      <c r="HY79" s="60"/>
      <c r="HZ79" s="60"/>
      <c r="IA79" s="60"/>
      <c r="IB79" s="60"/>
      <c r="IC79" s="60"/>
      <c r="ID79" s="60"/>
      <c r="IE79" s="60"/>
      <c r="IF79" s="60"/>
      <c r="IG79" s="60"/>
      <c r="IH79" s="60"/>
      <c r="II79" s="60"/>
      <c r="IJ79" s="60"/>
      <c r="IK79" s="60"/>
      <c r="IL79" s="60"/>
      <c r="IM79" s="60"/>
      <c r="IN79" s="60"/>
      <c r="IO79" s="60"/>
      <c r="IP79" s="60"/>
      <c r="IQ79" s="60"/>
      <c r="IR79" s="60"/>
      <c r="IS79" s="60"/>
      <c r="IT79" s="60"/>
      <c r="IU79" s="60"/>
      <c r="IV79" s="60"/>
      <c r="IW79" s="60"/>
      <c r="IX79" s="60"/>
      <c r="IY79" s="60"/>
      <c r="IZ79" s="60"/>
      <c r="JA79" s="60"/>
      <c r="JB79" s="60"/>
      <c r="JC79" s="60"/>
      <c r="JD79" s="60"/>
      <c r="JE79" s="60"/>
      <c r="JF79" s="60"/>
      <c r="JG79" s="60"/>
      <c r="JH79" s="60"/>
      <c r="JI79" s="60"/>
      <c r="JJ79" s="60"/>
      <c r="JK79" s="60"/>
      <c r="JL79" s="60"/>
      <c r="JM79" s="60"/>
      <c r="JN79" s="60"/>
      <c r="JO79" s="60"/>
      <c r="JP79" s="60"/>
      <c r="JQ79" s="60"/>
      <c r="JR79" s="60"/>
      <c r="JS79" s="60"/>
      <c r="JT79" s="60"/>
      <c r="JU79" s="60"/>
      <c r="JV79" s="60"/>
      <c r="JW79" s="60"/>
      <c r="JX79" s="60"/>
      <c r="JY79" s="60"/>
      <c r="JZ79" s="60"/>
      <c r="KA79" s="60"/>
      <c r="KB79" s="60"/>
      <c r="KC79" s="60"/>
      <c r="KD79" s="60"/>
      <c r="KE79" s="60"/>
      <c r="KF79" s="60"/>
      <c r="KG79" s="60"/>
      <c r="KH79" s="60"/>
      <c r="KI79" s="60"/>
      <c r="KJ79" s="60"/>
      <c r="KK79" s="60"/>
      <c r="KL79" s="60"/>
      <c r="KM79" s="60"/>
      <c r="KN79" s="60"/>
      <c r="KO79" s="60"/>
      <c r="KP79" s="60"/>
      <c r="KQ79" s="60"/>
      <c r="KR79" s="60"/>
      <c r="KS79" s="60"/>
      <c r="KT79" s="60"/>
      <c r="KU79" s="60"/>
      <c r="KV79" s="60"/>
      <c r="KW79" s="60"/>
      <c r="KX79" s="60"/>
      <c r="KY79" s="60"/>
      <c r="KZ79" s="60"/>
      <c r="LA79" s="60"/>
      <c r="LB79" s="60"/>
      <c r="LC79" s="60"/>
      <c r="LD79" s="60"/>
      <c r="LE79" s="60"/>
      <c r="LF79" s="60"/>
      <c r="LG79" s="60"/>
      <c r="LH79" s="60"/>
    </row>
    <row r="80" spans="1:320" s="17" customFormat="1" x14ac:dyDescent="0.25">
      <c r="A80" s="147"/>
      <c r="E80" s="156"/>
      <c r="F80" s="156"/>
      <c r="G80" s="156"/>
      <c r="H80" s="156"/>
      <c r="I80" s="156"/>
      <c r="J80" s="156"/>
      <c r="K80" s="156"/>
      <c r="L80" s="156"/>
      <c r="M80" s="156"/>
      <c r="N80" s="156"/>
      <c r="O80" s="156"/>
      <c r="P80" s="156"/>
      <c r="Q80" s="156"/>
      <c r="R80" s="156"/>
      <c r="S80" s="156"/>
      <c r="AC80" s="60"/>
      <c r="AD80" s="60"/>
      <c r="AE80" s="60"/>
      <c r="AF80" s="60"/>
      <c r="AG80" s="60"/>
      <c r="AH80" s="60"/>
      <c r="AI80" s="60"/>
      <c r="AJ80" s="60"/>
      <c r="AK80" s="60"/>
      <c r="AL80" s="60"/>
      <c r="AM80" s="60"/>
      <c r="AN80" s="60"/>
      <c r="AO80" s="60"/>
      <c r="AP80" s="60"/>
      <c r="AQ80" s="60"/>
      <c r="AR80" s="60"/>
      <c r="AS80" s="60"/>
      <c r="AT80" s="60"/>
      <c r="AU80" s="60"/>
      <c r="AV80" s="60"/>
      <c r="AW80" s="60"/>
      <c r="AX80" s="60"/>
      <c r="AY80" s="60"/>
      <c r="AZ80" s="60"/>
      <c r="BA80" s="60"/>
      <c r="BB80" s="60"/>
      <c r="BC80" s="60"/>
      <c r="BD80" s="60"/>
      <c r="BE80" s="60"/>
      <c r="BF80" s="60"/>
      <c r="BG80" s="60"/>
      <c r="BH80" s="60"/>
      <c r="BI80" s="60"/>
      <c r="BJ80" s="60"/>
      <c r="BK80" s="60"/>
      <c r="BL80" s="60"/>
      <c r="BM80" s="60"/>
      <c r="BN80" s="60"/>
      <c r="BO80" s="60"/>
      <c r="BP80" s="60"/>
      <c r="BQ80" s="60"/>
      <c r="BR80" s="60"/>
      <c r="BS80" s="60"/>
      <c r="BT80" s="60"/>
      <c r="BU80" s="60"/>
      <c r="BV80" s="60"/>
      <c r="BW80" s="60"/>
      <c r="BX80" s="60"/>
      <c r="BY80" s="60"/>
      <c r="BZ80" s="60"/>
      <c r="CA80" s="60"/>
      <c r="CB80" s="60"/>
      <c r="CC80" s="60"/>
      <c r="CD80" s="60"/>
      <c r="CE80" s="60"/>
      <c r="CF80" s="60"/>
      <c r="CG80" s="60"/>
      <c r="CH80" s="60"/>
      <c r="CI80" s="60"/>
      <c r="CJ80" s="60"/>
      <c r="CK80" s="60"/>
      <c r="CL80" s="60"/>
      <c r="CM80" s="60"/>
      <c r="CN80" s="60"/>
      <c r="CO80" s="60"/>
      <c r="CP80" s="60"/>
      <c r="CQ80" s="60"/>
      <c r="CR80" s="60"/>
      <c r="CS80" s="60"/>
      <c r="CT80" s="60"/>
      <c r="CU80" s="60"/>
      <c r="CV80" s="60"/>
      <c r="CW80" s="60"/>
      <c r="CX80" s="60"/>
      <c r="CY80" s="60"/>
      <c r="CZ80" s="60"/>
      <c r="DA80" s="60"/>
      <c r="DB80" s="60"/>
      <c r="DC80" s="60"/>
      <c r="DD80" s="60"/>
      <c r="DE80" s="60"/>
      <c r="DF80" s="60"/>
      <c r="DG80" s="60"/>
      <c r="DH80" s="60"/>
      <c r="DI80" s="60"/>
      <c r="DJ80" s="60"/>
      <c r="DK80" s="60"/>
      <c r="DL80" s="60"/>
      <c r="DM80" s="60"/>
      <c r="DN80" s="60"/>
      <c r="DO80" s="60"/>
      <c r="DP80" s="60"/>
      <c r="DQ80" s="60"/>
      <c r="DR80" s="60"/>
      <c r="DS80" s="60"/>
      <c r="DT80" s="60"/>
      <c r="DU80" s="60"/>
      <c r="DV80" s="60"/>
      <c r="DW80" s="60"/>
      <c r="DX80" s="60"/>
      <c r="DY80" s="60"/>
      <c r="DZ80" s="60"/>
      <c r="EA80" s="60"/>
      <c r="EB80" s="60"/>
      <c r="EC80" s="60"/>
      <c r="ED80" s="60"/>
      <c r="EE80" s="60"/>
      <c r="EF80" s="60"/>
      <c r="EG80" s="60"/>
      <c r="EH80" s="60"/>
      <c r="EI80" s="60"/>
      <c r="EJ80" s="60"/>
      <c r="EK80" s="60"/>
      <c r="EL80" s="60"/>
      <c r="EM80" s="60"/>
      <c r="EN80" s="60"/>
      <c r="EO80" s="60"/>
      <c r="EP80" s="60"/>
      <c r="EQ80" s="60"/>
      <c r="ER80" s="60"/>
      <c r="ES80" s="60"/>
      <c r="ET80" s="60"/>
      <c r="EU80" s="60"/>
      <c r="EV80" s="60"/>
      <c r="EW80" s="60"/>
      <c r="EX80" s="60"/>
      <c r="EY80" s="60"/>
      <c r="EZ80" s="60"/>
      <c r="FA80" s="60"/>
      <c r="FB80" s="60"/>
      <c r="FC80" s="60"/>
      <c r="FD80" s="60"/>
      <c r="FE80" s="60"/>
      <c r="FF80" s="60"/>
      <c r="FG80" s="60"/>
      <c r="FH80" s="60"/>
      <c r="FI80" s="60"/>
      <c r="FJ80" s="60"/>
      <c r="FK80" s="60"/>
      <c r="FL80" s="60"/>
      <c r="FM80" s="60"/>
      <c r="FN80" s="60"/>
      <c r="FO80" s="60"/>
      <c r="FP80" s="60"/>
      <c r="FQ80" s="60"/>
      <c r="FR80" s="60"/>
      <c r="FS80" s="60"/>
      <c r="FT80" s="60"/>
      <c r="FU80" s="60"/>
      <c r="FV80" s="60"/>
      <c r="FW80" s="60"/>
      <c r="FX80" s="60"/>
      <c r="FY80" s="60"/>
      <c r="FZ80" s="60"/>
      <c r="GA80" s="60"/>
      <c r="GB80" s="60"/>
      <c r="GC80" s="60"/>
      <c r="GD80" s="60"/>
      <c r="GE80" s="60"/>
      <c r="GF80" s="60"/>
      <c r="GG80" s="60"/>
      <c r="GH80" s="60"/>
      <c r="GI80" s="60"/>
      <c r="GJ80" s="60"/>
      <c r="GK80" s="60"/>
      <c r="GL80" s="60"/>
      <c r="GM80" s="60"/>
      <c r="GN80" s="60"/>
      <c r="GO80" s="60"/>
      <c r="GP80" s="60"/>
      <c r="GQ80" s="60"/>
      <c r="GR80" s="60"/>
      <c r="GS80" s="60"/>
      <c r="GT80" s="60"/>
      <c r="GU80" s="60"/>
      <c r="GV80" s="60"/>
      <c r="GW80" s="60"/>
      <c r="GX80" s="60"/>
      <c r="GY80" s="60"/>
      <c r="GZ80" s="60"/>
      <c r="HA80" s="60"/>
      <c r="HB80" s="60"/>
      <c r="HC80" s="60"/>
      <c r="HD80" s="60"/>
      <c r="HE80" s="60"/>
      <c r="HF80" s="60"/>
      <c r="HG80" s="60"/>
      <c r="HH80" s="60"/>
      <c r="HI80" s="60"/>
      <c r="HJ80" s="60"/>
      <c r="HK80" s="60"/>
      <c r="HL80" s="60"/>
      <c r="HM80" s="60"/>
      <c r="HN80" s="60"/>
      <c r="HO80" s="60"/>
      <c r="HP80" s="60"/>
      <c r="HQ80" s="60"/>
      <c r="HR80" s="60"/>
      <c r="HS80" s="60"/>
      <c r="HT80" s="60"/>
      <c r="HU80" s="60"/>
      <c r="HV80" s="60"/>
      <c r="HW80" s="60"/>
      <c r="HX80" s="60"/>
      <c r="HY80" s="60"/>
      <c r="HZ80" s="60"/>
      <c r="IA80" s="60"/>
      <c r="IB80" s="60"/>
      <c r="IC80" s="60"/>
      <c r="ID80" s="60"/>
      <c r="IE80" s="60"/>
      <c r="IF80" s="60"/>
      <c r="IG80" s="60"/>
      <c r="IH80" s="60"/>
      <c r="II80" s="60"/>
      <c r="IJ80" s="60"/>
      <c r="IK80" s="60"/>
      <c r="IL80" s="60"/>
      <c r="IM80" s="60"/>
      <c r="IN80" s="60"/>
      <c r="IO80" s="60"/>
      <c r="IP80" s="60"/>
      <c r="IQ80" s="60"/>
      <c r="IR80" s="60"/>
      <c r="IS80" s="60"/>
      <c r="IT80" s="60"/>
      <c r="IU80" s="60"/>
      <c r="IV80" s="60"/>
      <c r="IW80" s="60"/>
      <c r="IX80" s="60"/>
      <c r="IY80" s="60"/>
      <c r="IZ80" s="60"/>
      <c r="JA80" s="60"/>
      <c r="JB80" s="60"/>
      <c r="JC80" s="60"/>
      <c r="JD80" s="60"/>
      <c r="JE80" s="60"/>
      <c r="JF80" s="60"/>
      <c r="JG80" s="60"/>
      <c r="JH80" s="60"/>
      <c r="JI80" s="60"/>
      <c r="JJ80" s="60"/>
      <c r="JK80" s="60"/>
      <c r="JL80" s="60"/>
      <c r="JM80" s="60"/>
      <c r="JN80" s="60"/>
      <c r="JO80" s="60"/>
      <c r="JP80" s="60"/>
      <c r="JQ80" s="60"/>
      <c r="JR80" s="60"/>
      <c r="JS80" s="60"/>
      <c r="JT80" s="60"/>
      <c r="JU80" s="60"/>
      <c r="JV80" s="60"/>
      <c r="JW80" s="60"/>
      <c r="JX80" s="60"/>
      <c r="JY80" s="60"/>
      <c r="JZ80" s="60"/>
      <c r="KA80" s="60"/>
      <c r="KB80" s="60"/>
      <c r="KC80" s="60"/>
      <c r="KD80" s="60"/>
      <c r="KE80" s="60"/>
      <c r="KF80" s="60"/>
      <c r="KG80" s="60"/>
      <c r="KH80" s="60"/>
      <c r="KI80" s="60"/>
      <c r="KJ80" s="60"/>
      <c r="KK80" s="60"/>
      <c r="KL80" s="60"/>
      <c r="KM80" s="60"/>
      <c r="KN80" s="60"/>
      <c r="KO80" s="60"/>
      <c r="KP80" s="60"/>
      <c r="KQ80" s="60"/>
      <c r="KR80" s="60"/>
      <c r="KS80" s="60"/>
      <c r="KT80" s="60"/>
      <c r="KU80" s="60"/>
      <c r="KV80" s="60"/>
      <c r="KW80" s="60"/>
      <c r="KX80" s="60"/>
      <c r="KY80" s="60"/>
      <c r="KZ80" s="60"/>
      <c r="LA80" s="60"/>
      <c r="LB80" s="60"/>
      <c r="LC80" s="60"/>
      <c r="LD80" s="60"/>
      <c r="LE80" s="60"/>
      <c r="LF80" s="60"/>
      <c r="LG80" s="60"/>
      <c r="LH80" s="60"/>
    </row>
    <row r="81" spans="1:320" s="17" customFormat="1" x14ac:dyDescent="0.25">
      <c r="A81" s="147"/>
      <c r="E81" s="156"/>
      <c r="F81" s="156"/>
      <c r="G81" s="156"/>
      <c r="H81" s="156"/>
      <c r="I81" s="156"/>
      <c r="J81" s="156"/>
      <c r="K81" s="156"/>
      <c r="L81" s="156"/>
      <c r="M81" s="156"/>
      <c r="N81" s="156"/>
      <c r="O81" s="156"/>
      <c r="P81" s="156"/>
      <c r="Q81" s="156"/>
      <c r="R81" s="156"/>
      <c r="S81" s="156"/>
      <c r="AC81" s="60"/>
      <c r="AD81" s="60"/>
      <c r="AE81" s="60"/>
      <c r="AF81" s="60"/>
      <c r="AG81" s="60"/>
      <c r="AH81" s="60"/>
      <c r="AI81" s="60"/>
      <c r="AJ81" s="60"/>
      <c r="AK81" s="60"/>
      <c r="AL81" s="60"/>
      <c r="AM81" s="60"/>
      <c r="AN81" s="60"/>
      <c r="AO81" s="60"/>
      <c r="AP81" s="60"/>
      <c r="AQ81" s="60"/>
      <c r="AR81" s="60"/>
      <c r="AS81" s="60"/>
      <c r="AT81" s="60"/>
      <c r="AU81" s="60"/>
      <c r="AV81" s="60"/>
      <c r="AW81" s="60"/>
      <c r="AX81" s="60"/>
      <c r="AY81" s="60"/>
      <c r="AZ81" s="60"/>
      <c r="BA81" s="60"/>
      <c r="BB81" s="60"/>
      <c r="BC81" s="60"/>
      <c r="BD81" s="60"/>
      <c r="BE81" s="60"/>
      <c r="BF81" s="60"/>
      <c r="BG81" s="60"/>
      <c r="BH81" s="60"/>
      <c r="BI81" s="60"/>
      <c r="BJ81" s="60"/>
      <c r="BK81" s="60"/>
      <c r="BL81" s="60"/>
      <c r="BM81" s="60"/>
      <c r="BN81" s="60"/>
      <c r="BO81" s="60"/>
      <c r="BP81" s="60"/>
      <c r="BQ81" s="60"/>
      <c r="BR81" s="60"/>
      <c r="BS81" s="60"/>
      <c r="BT81" s="60"/>
      <c r="BU81" s="60"/>
      <c r="BV81" s="60"/>
      <c r="BW81" s="60"/>
      <c r="BX81" s="60"/>
      <c r="BY81" s="60"/>
      <c r="BZ81" s="60"/>
      <c r="CA81" s="60"/>
      <c r="CB81" s="60"/>
      <c r="CC81" s="60"/>
      <c r="CD81" s="60"/>
      <c r="CE81" s="60"/>
      <c r="CF81" s="60"/>
      <c r="CG81" s="60"/>
      <c r="CH81" s="60"/>
      <c r="CI81" s="60"/>
      <c r="CJ81" s="60"/>
      <c r="CK81" s="60"/>
      <c r="CL81" s="60"/>
      <c r="CM81" s="60"/>
      <c r="CN81" s="60"/>
      <c r="CO81" s="60"/>
      <c r="CP81" s="60"/>
      <c r="CQ81" s="60"/>
      <c r="CR81" s="60"/>
      <c r="CS81" s="60"/>
      <c r="CT81" s="60"/>
      <c r="CU81" s="60"/>
      <c r="CV81" s="60"/>
      <c r="CW81" s="60"/>
      <c r="CX81" s="60"/>
      <c r="CY81" s="60"/>
      <c r="CZ81" s="60"/>
      <c r="DA81" s="60"/>
      <c r="DB81" s="60"/>
      <c r="DC81" s="60"/>
      <c r="DD81" s="60"/>
      <c r="DE81" s="60"/>
      <c r="DF81" s="60"/>
      <c r="DG81" s="60"/>
      <c r="DH81" s="60"/>
      <c r="DI81" s="60"/>
      <c r="DJ81" s="60"/>
      <c r="DK81" s="60"/>
      <c r="DL81" s="60"/>
      <c r="DM81" s="60"/>
      <c r="DN81" s="60"/>
      <c r="DO81" s="60"/>
      <c r="DP81" s="60"/>
      <c r="DQ81" s="60"/>
      <c r="DR81" s="60"/>
      <c r="DS81" s="60"/>
      <c r="DT81" s="60"/>
      <c r="DU81" s="60"/>
      <c r="DV81" s="60"/>
      <c r="DW81" s="60"/>
      <c r="DX81" s="60"/>
      <c r="DY81" s="60"/>
      <c r="DZ81" s="60"/>
      <c r="EA81" s="60"/>
      <c r="EB81" s="60"/>
      <c r="EC81" s="60"/>
      <c r="ED81" s="60"/>
      <c r="EE81" s="60"/>
      <c r="EF81" s="60"/>
      <c r="EG81" s="60"/>
      <c r="EH81" s="60"/>
      <c r="EI81" s="60"/>
      <c r="EJ81" s="60"/>
      <c r="EK81" s="60"/>
      <c r="EL81" s="60"/>
      <c r="EM81" s="60"/>
      <c r="EN81" s="60"/>
      <c r="EO81" s="60"/>
      <c r="EP81" s="60"/>
      <c r="EQ81" s="60"/>
      <c r="ER81" s="60"/>
      <c r="ES81" s="60"/>
      <c r="ET81" s="60"/>
      <c r="EU81" s="60"/>
      <c r="EV81" s="60"/>
      <c r="EW81" s="60"/>
      <c r="EX81" s="60"/>
      <c r="EY81" s="60"/>
      <c r="EZ81" s="60"/>
      <c r="FA81" s="60"/>
      <c r="FB81" s="60"/>
      <c r="FC81" s="60"/>
      <c r="FD81" s="60"/>
      <c r="FE81" s="60"/>
      <c r="FF81" s="60"/>
      <c r="FG81" s="60"/>
      <c r="FH81" s="60"/>
      <c r="FI81" s="60"/>
      <c r="FJ81" s="60"/>
      <c r="FK81" s="60"/>
      <c r="FL81" s="60"/>
      <c r="FM81" s="60"/>
      <c r="FN81" s="60"/>
      <c r="FO81" s="60"/>
      <c r="FP81" s="60"/>
      <c r="FQ81" s="60"/>
      <c r="FR81" s="60"/>
      <c r="FS81" s="60"/>
      <c r="FT81" s="60"/>
      <c r="FU81" s="60"/>
      <c r="FV81" s="60"/>
      <c r="FW81" s="60"/>
      <c r="FX81" s="60"/>
      <c r="FY81" s="60"/>
      <c r="FZ81" s="60"/>
      <c r="GA81" s="60"/>
      <c r="GB81" s="60"/>
      <c r="GC81" s="60"/>
      <c r="GD81" s="60"/>
      <c r="GE81" s="60"/>
      <c r="GF81" s="60"/>
      <c r="GG81" s="60"/>
      <c r="GH81" s="60"/>
      <c r="GI81" s="60"/>
      <c r="GJ81" s="60"/>
      <c r="GK81" s="60"/>
      <c r="GL81" s="60"/>
      <c r="GM81" s="60"/>
      <c r="GN81" s="60"/>
      <c r="GO81" s="60"/>
      <c r="GP81" s="60"/>
      <c r="GQ81" s="60"/>
      <c r="GR81" s="60"/>
      <c r="GS81" s="60"/>
      <c r="GT81" s="60"/>
      <c r="GU81" s="60"/>
      <c r="GV81" s="60"/>
      <c r="GW81" s="60"/>
      <c r="GX81" s="60"/>
      <c r="GY81" s="60"/>
      <c r="GZ81" s="60"/>
      <c r="HA81" s="60"/>
      <c r="HB81" s="60"/>
      <c r="HC81" s="60"/>
      <c r="HD81" s="60"/>
      <c r="HE81" s="60"/>
      <c r="HF81" s="60"/>
      <c r="HG81" s="60"/>
      <c r="HH81" s="60"/>
      <c r="HI81" s="60"/>
      <c r="HJ81" s="60"/>
      <c r="HK81" s="60"/>
      <c r="HL81" s="60"/>
      <c r="HM81" s="60"/>
      <c r="HN81" s="60"/>
      <c r="HO81" s="60"/>
      <c r="HP81" s="60"/>
      <c r="HQ81" s="60"/>
      <c r="HR81" s="60"/>
      <c r="HS81" s="60"/>
      <c r="HT81" s="60"/>
      <c r="HU81" s="60"/>
      <c r="HV81" s="60"/>
      <c r="HW81" s="60"/>
      <c r="HX81" s="60"/>
      <c r="HY81" s="60"/>
      <c r="HZ81" s="60"/>
      <c r="IA81" s="60"/>
      <c r="IB81" s="60"/>
      <c r="IC81" s="60"/>
      <c r="ID81" s="60"/>
      <c r="IE81" s="60"/>
      <c r="IF81" s="60"/>
      <c r="IG81" s="60"/>
      <c r="IH81" s="60"/>
      <c r="II81" s="60"/>
      <c r="IJ81" s="60"/>
      <c r="IK81" s="60"/>
      <c r="IL81" s="60"/>
      <c r="IM81" s="60"/>
      <c r="IN81" s="60"/>
      <c r="IO81" s="60"/>
      <c r="IP81" s="60"/>
      <c r="IQ81" s="60"/>
      <c r="IR81" s="60"/>
      <c r="IS81" s="60"/>
      <c r="IT81" s="60"/>
      <c r="IU81" s="60"/>
      <c r="IV81" s="60"/>
      <c r="IW81" s="60"/>
      <c r="IX81" s="60"/>
      <c r="IY81" s="60"/>
      <c r="IZ81" s="60"/>
      <c r="JA81" s="60"/>
      <c r="JB81" s="60"/>
      <c r="JC81" s="60"/>
      <c r="JD81" s="60"/>
      <c r="JE81" s="60"/>
      <c r="JF81" s="60"/>
      <c r="JG81" s="60"/>
      <c r="JH81" s="60"/>
      <c r="JI81" s="60"/>
      <c r="JJ81" s="60"/>
      <c r="JK81" s="60"/>
      <c r="JL81" s="60"/>
      <c r="JM81" s="60"/>
      <c r="JN81" s="60"/>
      <c r="JO81" s="60"/>
      <c r="JP81" s="60"/>
      <c r="JQ81" s="60"/>
      <c r="JR81" s="60"/>
      <c r="JS81" s="60"/>
      <c r="JT81" s="60"/>
      <c r="JU81" s="60"/>
      <c r="JV81" s="60"/>
      <c r="JW81" s="60"/>
      <c r="JX81" s="60"/>
      <c r="JY81" s="60"/>
      <c r="JZ81" s="60"/>
      <c r="KA81" s="60"/>
      <c r="KB81" s="60"/>
      <c r="KC81" s="60"/>
      <c r="KD81" s="60"/>
      <c r="KE81" s="60"/>
      <c r="KF81" s="60"/>
      <c r="KG81" s="60"/>
      <c r="KH81" s="60"/>
      <c r="KI81" s="60"/>
      <c r="KJ81" s="60"/>
      <c r="KK81" s="60"/>
      <c r="KL81" s="60"/>
      <c r="KM81" s="60"/>
      <c r="KN81" s="60"/>
      <c r="KO81" s="60"/>
      <c r="KP81" s="60"/>
      <c r="KQ81" s="60"/>
      <c r="KR81" s="60"/>
      <c r="KS81" s="60"/>
      <c r="KT81" s="60"/>
      <c r="KU81" s="60"/>
      <c r="KV81" s="60"/>
      <c r="KW81" s="60"/>
      <c r="KX81" s="60"/>
      <c r="KY81" s="60"/>
      <c r="KZ81" s="60"/>
      <c r="LA81" s="60"/>
      <c r="LB81" s="60"/>
      <c r="LC81" s="60"/>
      <c r="LD81" s="60"/>
      <c r="LE81" s="60"/>
      <c r="LF81" s="60"/>
      <c r="LG81" s="60"/>
      <c r="LH81" s="60"/>
    </row>
    <row r="82" spans="1:320" s="17" customFormat="1" x14ac:dyDescent="0.25">
      <c r="A82" s="147"/>
      <c r="E82" s="156"/>
      <c r="F82" s="156"/>
      <c r="G82" s="156"/>
      <c r="H82" s="156"/>
      <c r="I82" s="156"/>
      <c r="J82" s="156"/>
      <c r="K82" s="156"/>
      <c r="L82" s="156"/>
      <c r="M82" s="156"/>
      <c r="N82" s="156"/>
      <c r="O82" s="156"/>
      <c r="P82" s="156"/>
      <c r="Q82" s="156"/>
      <c r="R82" s="156"/>
      <c r="S82" s="156"/>
      <c r="AC82" s="60"/>
      <c r="AD82" s="60"/>
      <c r="AE82" s="60"/>
      <c r="AF82" s="60"/>
      <c r="AG82" s="60"/>
      <c r="AH82" s="60"/>
      <c r="AI82" s="60"/>
      <c r="AJ82" s="60"/>
      <c r="AK82" s="60"/>
      <c r="AL82" s="60"/>
      <c r="AM82" s="60"/>
      <c r="AN82" s="60"/>
      <c r="AO82" s="60"/>
      <c r="AP82" s="60"/>
      <c r="AQ82" s="60"/>
      <c r="AR82" s="60"/>
      <c r="AS82" s="60"/>
      <c r="AT82" s="60"/>
      <c r="AU82" s="60"/>
      <c r="AV82" s="60"/>
      <c r="AW82" s="60"/>
      <c r="AX82" s="60"/>
      <c r="AY82" s="60"/>
      <c r="AZ82" s="60"/>
      <c r="BA82" s="60"/>
      <c r="BB82" s="60"/>
      <c r="BC82" s="60"/>
      <c r="BD82" s="60"/>
      <c r="BE82" s="60"/>
      <c r="BF82" s="60"/>
      <c r="BG82" s="60"/>
      <c r="BH82" s="60"/>
      <c r="BI82" s="60"/>
      <c r="BJ82" s="60"/>
      <c r="BK82" s="60"/>
      <c r="BL82" s="60"/>
      <c r="BM82" s="60"/>
      <c r="BN82" s="60"/>
      <c r="BO82" s="60"/>
      <c r="BP82" s="60"/>
      <c r="BQ82" s="60"/>
      <c r="BR82" s="60"/>
      <c r="BS82" s="60"/>
      <c r="BT82" s="60"/>
      <c r="BU82" s="60"/>
      <c r="BV82" s="60"/>
      <c r="BW82" s="60"/>
      <c r="BX82" s="60"/>
      <c r="BY82" s="60"/>
      <c r="BZ82" s="60"/>
      <c r="CA82" s="60"/>
      <c r="CB82" s="60"/>
      <c r="CC82" s="60"/>
      <c r="CD82" s="60"/>
      <c r="CE82" s="60"/>
      <c r="CF82" s="60"/>
      <c r="CG82" s="60"/>
      <c r="CH82" s="60"/>
      <c r="CI82" s="60"/>
      <c r="CJ82" s="60"/>
      <c r="CK82" s="60"/>
      <c r="CL82" s="60"/>
      <c r="CM82" s="60"/>
      <c r="CN82" s="60"/>
      <c r="CO82" s="60"/>
      <c r="CP82" s="60"/>
      <c r="CQ82" s="60"/>
      <c r="CR82" s="60"/>
      <c r="CS82" s="60"/>
      <c r="CT82" s="60"/>
      <c r="CU82" s="60"/>
      <c r="CV82" s="60"/>
      <c r="CW82" s="60"/>
      <c r="CX82" s="60"/>
      <c r="CY82" s="60"/>
      <c r="CZ82" s="60"/>
      <c r="DA82" s="60"/>
      <c r="DB82" s="60"/>
      <c r="DC82" s="60"/>
      <c r="DD82" s="60"/>
      <c r="DE82" s="60"/>
      <c r="DF82" s="60"/>
      <c r="DG82" s="60"/>
      <c r="DH82" s="60"/>
      <c r="DI82" s="60"/>
      <c r="DJ82" s="60"/>
      <c r="DK82" s="60"/>
      <c r="DL82" s="60"/>
      <c r="DM82" s="60"/>
      <c r="DN82" s="60"/>
      <c r="DO82" s="60"/>
      <c r="DP82" s="60"/>
      <c r="DQ82" s="60"/>
      <c r="DR82" s="60"/>
      <c r="DS82" s="60"/>
      <c r="DT82" s="60"/>
      <c r="DU82" s="60"/>
      <c r="DV82" s="60"/>
      <c r="DW82" s="60"/>
      <c r="DX82" s="60"/>
      <c r="DY82" s="60"/>
      <c r="DZ82" s="60"/>
      <c r="EA82" s="60"/>
      <c r="EB82" s="60"/>
      <c r="EC82" s="60"/>
      <c r="ED82" s="60"/>
      <c r="EE82" s="60"/>
      <c r="EF82" s="60"/>
      <c r="EG82" s="60"/>
      <c r="EH82" s="60"/>
      <c r="EI82" s="60"/>
      <c r="EJ82" s="60"/>
      <c r="EK82" s="60"/>
      <c r="EL82" s="60"/>
      <c r="EM82" s="60"/>
      <c r="EN82" s="60"/>
      <c r="EO82" s="60"/>
      <c r="EP82" s="60"/>
      <c r="EQ82" s="60"/>
      <c r="ER82" s="60"/>
      <c r="ES82" s="60"/>
      <c r="ET82" s="60"/>
      <c r="EU82" s="60"/>
      <c r="EV82" s="60"/>
      <c r="EW82" s="60"/>
      <c r="EX82" s="60"/>
      <c r="EY82" s="60"/>
      <c r="EZ82" s="60"/>
      <c r="FA82" s="60"/>
      <c r="FB82" s="60"/>
      <c r="FC82" s="60"/>
      <c r="FD82" s="60"/>
      <c r="FE82" s="60"/>
      <c r="FF82" s="60"/>
      <c r="FG82" s="60"/>
      <c r="FH82" s="60"/>
      <c r="FI82" s="60"/>
      <c r="FJ82" s="60"/>
      <c r="FK82" s="60"/>
      <c r="FL82" s="60"/>
      <c r="FM82" s="60"/>
      <c r="FN82" s="60"/>
      <c r="FO82" s="60"/>
      <c r="FP82" s="60"/>
      <c r="FQ82" s="60"/>
      <c r="FR82" s="60"/>
      <c r="FS82" s="60"/>
      <c r="FT82" s="60"/>
      <c r="FU82" s="60"/>
      <c r="FV82" s="60"/>
      <c r="FW82" s="60"/>
      <c r="FX82" s="60"/>
      <c r="FY82" s="60"/>
      <c r="FZ82" s="60"/>
      <c r="GA82" s="60"/>
      <c r="GB82" s="60"/>
      <c r="GC82" s="60"/>
      <c r="GD82" s="60"/>
      <c r="GE82" s="60"/>
      <c r="GF82" s="60"/>
      <c r="GG82" s="60"/>
      <c r="GH82" s="60"/>
      <c r="GI82" s="60"/>
      <c r="GJ82" s="60"/>
      <c r="GK82" s="60"/>
      <c r="GL82" s="60"/>
      <c r="GM82" s="60"/>
      <c r="GN82" s="60"/>
      <c r="GO82" s="60"/>
      <c r="GP82" s="60"/>
      <c r="GQ82" s="60"/>
      <c r="GR82" s="60"/>
      <c r="GS82" s="60"/>
      <c r="GT82" s="60"/>
      <c r="GU82" s="60"/>
      <c r="GV82" s="60"/>
      <c r="GW82" s="60"/>
      <c r="GX82" s="60"/>
      <c r="GY82" s="60"/>
      <c r="GZ82" s="60"/>
      <c r="HA82" s="60"/>
      <c r="HB82" s="60"/>
      <c r="HC82" s="60"/>
      <c r="HD82" s="60"/>
      <c r="HE82" s="60"/>
      <c r="HF82" s="60"/>
      <c r="HG82" s="60"/>
      <c r="HH82" s="60"/>
      <c r="HI82" s="60"/>
      <c r="HJ82" s="60"/>
      <c r="HK82" s="60"/>
      <c r="HL82" s="60"/>
      <c r="HM82" s="60"/>
      <c r="HN82" s="60"/>
      <c r="HO82" s="60"/>
      <c r="HP82" s="60"/>
      <c r="HQ82" s="60"/>
      <c r="HR82" s="60"/>
      <c r="HS82" s="60"/>
      <c r="HT82" s="60"/>
      <c r="HU82" s="60"/>
      <c r="HV82" s="60"/>
      <c r="HW82" s="60"/>
      <c r="HX82" s="60"/>
      <c r="HY82" s="60"/>
      <c r="HZ82" s="60"/>
      <c r="IA82" s="60"/>
      <c r="IB82" s="60"/>
      <c r="IC82" s="60"/>
      <c r="ID82" s="60"/>
      <c r="IE82" s="60"/>
      <c r="IF82" s="60"/>
      <c r="IG82" s="60"/>
      <c r="IH82" s="60"/>
      <c r="II82" s="60"/>
      <c r="IJ82" s="60"/>
      <c r="IK82" s="60"/>
      <c r="IL82" s="60"/>
      <c r="IM82" s="60"/>
      <c r="IN82" s="60"/>
      <c r="IO82" s="60"/>
      <c r="IP82" s="60"/>
      <c r="IQ82" s="60"/>
      <c r="IR82" s="60"/>
      <c r="IS82" s="60"/>
      <c r="IT82" s="60"/>
      <c r="IU82" s="60"/>
      <c r="IV82" s="60"/>
      <c r="IW82" s="60"/>
      <c r="IX82" s="60"/>
      <c r="IY82" s="60"/>
      <c r="IZ82" s="60"/>
      <c r="JA82" s="60"/>
      <c r="JB82" s="60"/>
      <c r="JC82" s="60"/>
      <c r="JD82" s="60"/>
      <c r="JE82" s="60"/>
      <c r="JF82" s="60"/>
      <c r="JG82" s="60"/>
      <c r="JH82" s="60"/>
      <c r="JI82" s="60"/>
      <c r="JJ82" s="60"/>
      <c r="JK82" s="60"/>
      <c r="JL82" s="60"/>
      <c r="JM82" s="60"/>
      <c r="JN82" s="60"/>
      <c r="JO82" s="60"/>
      <c r="JP82" s="60"/>
      <c r="JQ82" s="60"/>
      <c r="JR82" s="60"/>
      <c r="JS82" s="60"/>
      <c r="JT82" s="60"/>
      <c r="JU82" s="60"/>
      <c r="JV82" s="60"/>
      <c r="JW82" s="60"/>
      <c r="JX82" s="60"/>
      <c r="JY82" s="60"/>
      <c r="JZ82" s="60"/>
      <c r="KA82" s="60"/>
      <c r="KB82" s="60"/>
      <c r="KC82" s="60"/>
      <c r="KD82" s="60"/>
      <c r="KE82" s="60"/>
      <c r="KF82" s="60"/>
      <c r="KG82" s="60"/>
      <c r="KH82" s="60"/>
      <c r="KI82" s="60"/>
      <c r="KJ82" s="60"/>
      <c r="KK82" s="60"/>
      <c r="KL82" s="60"/>
      <c r="KM82" s="60"/>
      <c r="KN82" s="60"/>
      <c r="KO82" s="60"/>
      <c r="KP82" s="60"/>
      <c r="KQ82" s="60"/>
      <c r="KR82" s="60"/>
      <c r="KS82" s="60"/>
      <c r="KT82" s="60"/>
      <c r="KU82" s="60"/>
      <c r="KV82" s="60"/>
      <c r="KW82" s="60"/>
      <c r="KX82" s="60"/>
      <c r="KY82" s="60"/>
      <c r="KZ82" s="60"/>
      <c r="LA82" s="60"/>
      <c r="LB82" s="60"/>
      <c r="LC82" s="60"/>
      <c r="LD82" s="60"/>
      <c r="LE82" s="60"/>
      <c r="LF82" s="60"/>
      <c r="LG82" s="60"/>
      <c r="LH82" s="60"/>
    </row>
    <row r="83" spans="1:320" s="17" customFormat="1" x14ac:dyDescent="0.25">
      <c r="A83" s="147"/>
      <c r="E83" s="156"/>
      <c r="F83" s="156"/>
      <c r="G83" s="156"/>
      <c r="H83" s="156"/>
      <c r="I83" s="156"/>
      <c r="J83" s="156"/>
      <c r="K83" s="156"/>
      <c r="L83" s="156"/>
      <c r="M83" s="156"/>
      <c r="N83" s="156"/>
      <c r="O83" s="156"/>
      <c r="P83" s="156"/>
      <c r="Q83" s="156"/>
      <c r="R83" s="156"/>
      <c r="S83" s="156"/>
      <c r="AC83" s="60"/>
      <c r="AD83" s="60"/>
      <c r="AE83" s="60"/>
      <c r="AF83" s="60"/>
      <c r="AG83" s="60"/>
      <c r="AH83" s="60"/>
      <c r="AI83" s="60"/>
      <c r="AJ83" s="60"/>
      <c r="AK83" s="60"/>
      <c r="AL83" s="60"/>
      <c r="AM83" s="60"/>
      <c r="AN83" s="60"/>
      <c r="AO83" s="60"/>
      <c r="AP83" s="60"/>
      <c r="AQ83" s="60"/>
      <c r="AR83" s="60"/>
      <c r="AS83" s="60"/>
      <c r="AT83" s="60"/>
      <c r="AU83" s="60"/>
      <c r="AV83" s="60"/>
      <c r="AW83" s="60"/>
      <c r="AX83" s="60"/>
      <c r="AY83" s="60"/>
      <c r="AZ83" s="60"/>
      <c r="BA83" s="60"/>
      <c r="BB83" s="60"/>
      <c r="BC83" s="60"/>
      <c r="BD83" s="60"/>
      <c r="BE83" s="60"/>
      <c r="BF83" s="60"/>
      <c r="BG83" s="60"/>
      <c r="BH83" s="60"/>
      <c r="BI83" s="60"/>
      <c r="BJ83" s="60"/>
      <c r="BK83" s="60"/>
      <c r="BL83" s="60"/>
      <c r="BM83" s="60"/>
      <c r="BN83" s="60"/>
      <c r="BO83" s="60"/>
      <c r="BP83" s="60"/>
      <c r="BQ83" s="60"/>
      <c r="BR83" s="60"/>
      <c r="BS83" s="60"/>
      <c r="BT83" s="60"/>
      <c r="BU83" s="60"/>
      <c r="BV83" s="60"/>
      <c r="BW83" s="60"/>
      <c r="BX83" s="60"/>
      <c r="BY83" s="60"/>
      <c r="BZ83" s="60"/>
      <c r="CA83" s="60"/>
      <c r="CB83" s="60"/>
      <c r="CC83" s="60"/>
      <c r="CD83" s="60"/>
      <c r="CE83" s="60"/>
      <c r="CF83" s="60"/>
      <c r="CG83" s="60"/>
      <c r="CH83" s="60"/>
      <c r="CI83" s="60"/>
      <c r="CJ83" s="60"/>
      <c r="CK83" s="60"/>
      <c r="CL83" s="60"/>
      <c r="CM83" s="60"/>
      <c r="CN83" s="60"/>
      <c r="CO83" s="60"/>
      <c r="CP83" s="60"/>
      <c r="CQ83" s="60"/>
      <c r="CR83" s="60"/>
      <c r="CS83" s="60"/>
      <c r="CT83" s="60"/>
      <c r="CU83" s="60"/>
      <c r="CV83" s="60"/>
      <c r="CW83" s="60"/>
      <c r="CX83" s="60"/>
      <c r="CY83" s="60"/>
      <c r="CZ83" s="60"/>
      <c r="DA83" s="60"/>
      <c r="DB83" s="60"/>
      <c r="DC83" s="60"/>
      <c r="DD83" s="60"/>
      <c r="DE83" s="60"/>
      <c r="DF83" s="60"/>
      <c r="DG83" s="60"/>
      <c r="DH83" s="60"/>
      <c r="DI83" s="60"/>
      <c r="DJ83" s="60"/>
      <c r="DK83" s="60"/>
      <c r="DL83" s="60"/>
      <c r="DM83" s="60"/>
      <c r="DN83" s="60"/>
      <c r="DO83" s="60"/>
      <c r="DP83" s="60"/>
      <c r="DQ83" s="60"/>
      <c r="DR83" s="60"/>
      <c r="DS83" s="60"/>
      <c r="DT83" s="60"/>
      <c r="DU83" s="60"/>
      <c r="DV83" s="60"/>
      <c r="DW83" s="60"/>
      <c r="DX83" s="60"/>
      <c r="DY83" s="60"/>
      <c r="DZ83" s="60"/>
      <c r="EA83" s="60"/>
      <c r="EB83" s="60"/>
      <c r="EC83" s="60"/>
      <c r="ED83" s="60"/>
      <c r="EE83" s="60"/>
      <c r="EF83" s="60"/>
      <c r="EG83" s="60"/>
      <c r="EH83" s="60"/>
      <c r="EI83" s="60"/>
      <c r="EJ83" s="60"/>
      <c r="EK83" s="60"/>
      <c r="EL83" s="60"/>
      <c r="EM83" s="60"/>
      <c r="EN83" s="60"/>
      <c r="EO83" s="60"/>
      <c r="EP83" s="60"/>
      <c r="EQ83" s="60"/>
      <c r="ER83" s="60"/>
      <c r="ES83" s="60"/>
      <c r="ET83" s="60"/>
      <c r="EU83" s="60"/>
      <c r="EV83" s="60"/>
      <c r="EW83" s="60"/>
      <c r="EX83" s="60"/>
      <c r="EY83" s="60"/>
      <c r="EZ83" s="60"/>
      <c r="FA83" s="60"/>
      <c r="FB83" s="60"/>
      <c r="FC83" s="60"/>
      <c r="FD83" s="60"/>
      <c r="FE83" s="60"/>
      <c r="FF83" s="60"/>
      <c r="FG83" s="60"/>
      <c r="FH83" s="60"/>
      <c r="FI83" s="60"/>
      <c r="FJ83" s="60"/>
      <c r="FK83" s="60"/>
      <c r="FL83" s="60"/>
      <c r="FM83" s="60"/>
      <c r="FN83" s="60"/>
      <c r="FO83" s="60"/>
      <c r="FP83" s="60"/>
      <c r="FQ83" s="60"/>
      <c r="FR83" s="60"/>
      <c r="FS83" s="60"/>
      <c r="FT83" s="60"/>
      <c r="FU83" s="60"/>
      <c r="FV83" s="60"/>
      <c r="FW83" s="60"/>
      <c r="FX83" s="60"/>
      <c r="FY83" s="60"/>
      <c r="FZ83" s="60"/>
      <c r="GA83" s="60"/>
      <c r="GB83" s="60"/>
      <c r="GC83" s="60"/>
      <c r="GD83" s="60"/>
      <c r="GE83" s="60"/>
      <c r="GF83" s="60"/>
      <c r="GG83" s="60"/>
      <c r="GH83" s="60"/>
      <c r="GI83" s="60"/>
      <c r="GJ83" s="60"/>
      <c r="GK83" s="60"/>
      <c r="GL83" s="60"/>
      <c r="GM83" s="60"/>
      <c r="GN83" s="60"/>
      <c r="GO83" s="60"/>
      <c r="GP83" s="60"/>
      <c r="GQ83" s="60"/>
      <c r="GR83" s="60"/>
      <c r="GS83" s="60"/>
      <c r="GT83" s="60"/>
      <c r="GU83" s="60"/>
      <c r="GV83" s="60"/>
      <c r="GW83" s="60"/>
      <c r="GX83" s="60"/>
      <c r="GY83" s="60"/>
      <c r="GZ83" s="60"/>
      <c r="HA83" s="60"/>
      <c r="HB83" s="60"/>
      <c r="HC83" s="60"/>
      <c r="HD83" s="60"/>
      <c r="HE83" s="60"/>
      <c r="HF83" s="60"/>
      <c r="HG83" s="60"/>
      <c r="HH83" s="60"/>
      <c r="HI83" s="60"/>
      <c r="HJ83" s="60"/>
      <c r="HK83" s="60"/>
      <c r="HL83" s="60"/>
      <c r="HM83" s="60"/>
      <c r="HN83" s="60"/>
      <c r="HO83" s="60"/>
      <c r="HP83" s="60"/>
      <c r="HQ83" s="60"/>
      <c r="HR83" s="60"/>
      <c r="HS83" s="60"/>
      <c r="HT83" s="60"/>
      <c r="HU83" s="60"/>
      <c r="HV83" s="60"/>
      <c r="HW83" s="60"/>
      <c r="HX83" s="60"/>
      <c r="HY83" s="60"/>
      <c r="HZ83" s="60"/>
      <c r="IA83" s="60"/>
      <c r="IB83" s="60"/>
      <c r="IC83" s="60"/>
      <c r="ID83" s="60"/>
      <c r="IE83" s="60"/>
      <c r="IF83" s="60"/>
      <c r="IG83" s="60"/>
      <c r="IH83" s="60"/>
      <c r="II83" s="60"/>
      <c r="IJ83" s="60"/>
      <c r="IK83" s="60"/>
      <c r="IL83" s="60"/>
      <c r="IM83" s="60"/>
      <c r="IN83" s="60"/>
      <c r="IO83" s="60"/>
      <c r="IP83" s="60"/>
      <c r="IQ83" s="60"/>
      <c r="IR83" s="60"/>
      <c r="IS83" s="60"/>
      <c r="IT83" s="60"/>
      <c r="IU83" s="60"/>
      <c r="IV83" s="60"/>
      <c r="IW83" s="60"/>
      <c r="IX83" s="60"/>
      <c r="IY83" s="60"/>
      <c r="IZ83" s="60"/>
      <c r="JA83" s="60"/>
      <c r="JB83" s="60"/>
      <c r="JC83" s="60"/>
      <c r="JD83" s="60"/>
      <c r="JE83" s="60"/>
      <c r="JF83" s="60"/>
      <c r="JG83" s="60"/>
      <c r="JH83" s="60"/>
      <c r="JI83" s="60"/>
      <c r="JJ83" s="60"/>
      <c r="JK83" s="60"/>
      <c r="JL83" s="60"/>
      <c r="JM83" s="60"/>
      <c r="JN83" s="60"/>
      <c r="JO83" s="60"/>
      <c r="JP83" s="60"/>
      <c r="JQ83" s="60"/>
      <c r="JR83" s="60"/>
      <c r="JS83" s="60"/>
      <c r="JT83" s="60"/>
      <c r="JU83" s="60"/>
      <c r="JV83" s="60"/>
      <c r="JW83" s="60"/>
      <c r="JX83" s="60"/>
      <c r="JY83" s="60"/>
      <c r="JZ83" s="60"/>
      <c r="KA83" s="60"/>
      <c r="KB83" s="60"/>
      <c r="KC83" s="60"/>
      <c r="KD83" s="60"/>
      <c r="KE83" s="60"/>
      <c r="KF83" s="60"/>
      <c r="KG83" s="60"/>
      <c r="KH83" s="60"/>
      <c r="KI83" s="60"/>
      <c r="KJ83" s="60"/>
      <c r="KK83" s="60"/>
      <c r="KL83" s="60"/>
      <c r="KM83" s="60"/>
      <c r="KN83" s="60"/>
      <c r="KO83" s="60"/>
      <c r="KP83" s="60"/>
      <c r="KQ83" s="60"/>
      <c r="KR83" s="60"/>
      <c r="KS83" s="60"/>
      <c r="KT83" s="60"/>
      <c r="KU83" s="60"/>
      <c r="KV83" s="60"/>
      <c r="KW83" s="60"/>
      <c r="KX83" s="60"/>
      <c r="KY83" s="60"/>
      <c r="KZ83" s="60"/>
      <c r="LA83" s="60"/>
      <c r="LB83" s="60"/>
      <c r="LC83" s="60"/>
      <c r="LD83" s="60"/>
      <c r="LE83" s="60"/>
      <c r="LF83" s="60"/>
      <c r="LG83" s="60"/>
      <c r="LH83" s="60"/>
    </row>
    <row r="84" spans="1:320" s="17" customFormat="1" x14ac:dyDescent="0.25">
      <c r="A84" s="147"/>
      <c r="E84" s="156"/>
      <c r="F84" s="156"/>
      <c r="G84" s="156"/>
      <c r="H84" s="156"/>
      <c r="I84" s="156"/>
      <c r="J84" s="156"/>
      <c r="K84" s="156"/>
      <c r="L84" s="156"/>
      <c r="M84" s="156"/>
      <c r="N84" s="156"/>
      <c r="O84" s="156"/>
      <c r="P84" s="156"/>
      <c r="Q84" s="156"/>
      <c r="R84" s="156"/>
      <c r="S84" s="156"/>
      <c r="AC84" s="60"/>
      <c r="AD84" s="60"/>
      <c r="AE84" s="60"/>
      <c r="AF84" s="60"/>
      <c r="AG84" s="60"/>
      <c r="AH84" s="60"/>
      <c r="AI84" s="60"/>
      <c r="AJ84" s="60"/>
      <c r="AK84" s="60"/>
      <c r="AL84" s="60"/>
      <c r="AM84" s="60"/>
      <c r="AN84" s="60"/>
      <c r="AO84" s="60"/>
      <c r="AP84" s="60"/>
      <c r="AQ84" s="60"/>
      <c r="AR84" s="60"/>
      <c r="AS84" s="60"/>
      <c r="AT84" s="60"/>
      <c r="AU84" s="60"/>
      <c r="AV84" s="60"/>
      <c r="AW84" s="60"/>
      <c r="AX84" s="60"/>
      <c r="AY84" s="60"/>
      <c r="AZ84" s="60"/>
      <c r="BA84" s="60"/>
      <c r="BB84" s="60"/>
      <c r="BC84" s="60"/>
      <c r="BD84" s="60"/>
      <c r="BE84" s="60"/>
      <c r="BF84" s="60"/>
      <c r="BG84" s="60"/>
      <c r="BH84" s="60"/>
      <c r="BI84" s="60"/>
      <c r="BJ84" s="60"/>
      <c r="BK84" s="60"/>
      <c r="BL84" s="60"/>
      <c r="BM84" s="60"/>
      <c r="BN84" s="60"/>
      <c r="BO84" s="60"/>
      <c r="BP84" s="60"/>
      <c r="BQ84" s="60"/>
      <c r="BR84" s="60"/>
      <c r="BS84" s="60"/>
      <c r="BT84" s="60"/>
      <c r="BU84" s="60"/>
      <c r="BV84" s="60"/>
      <c r="BW84" s="60"/>
      <c r="BX84" s="60"/>
      <c r="BY84" s="60"/>
      <c r="BZ84" s="60"/>
      <c r="CA84" s="60"/>
      <c r="CB84" s="60"/>
      <c r="CC84" s="60"/>
      <c r="CD84" s="60"/>
      <c r="CE84" s="60"/>
      <c r="CF84" s="60"/>
      <c r="CG84" s="60"/>
      <c r="CH84" s="60"/>
      <c r="CI84" s="60"/>
      <c r="CJ84" s="60"/>
      <c r="CK84" s="60"/>
      <c r="CL84" s="60"/>
      <c r="CM84" s="60"/>
      <c r="CN84" s="60"/>
      <c r="CO84" s="60"/>
      <c r="CP84" s="60"/>
      <c r="CQ84" s="60"/>
      <c r="CR84" s="60"/>
      <c r="CS84" s="60"/>
      <c r="CT84" s="60"/>
      <c r="CU84" s="60"/>
      <c r="CV84" s="60"/>
      <c r="CW84" s="60"/>
      <c r="CX84" s="60"/>
      <c r="CY84" s="60"/>
      <c r="CZ84" s="60"/>
      <c r="DA84" s="60"/>
      <c r="DB84" s="60"/>
      <c r="DC84" s="60"/>
      <c r="DD84" s="60"/>
      <c r="DE84" s="60"/>
      <c r="DF84" s="60"/>
      <c r="DG84" s="60"/>
      <c r="DH84" s="60"/>
      <c r="DI84" s="60"/>
      <c r="DJ84" s="60"/>
      <c r="DK84" s="60"/>
      <c r="DL84" s="60"/>
      <c r="DM84" s="60"/>
      <c r="DN84" s="60"/>
      <c r="DO84" s="60"/>
      <c r="DP84" s="60"/>
      <c r="DQ84" s="60"/>
      <c r="DR84" s="60"/>
      <c r="DS84" s="60"/>
      <c r="DT84" s="60"/>
      <c r="DU84" s="60"/>
      <c r="DV84" s="60"/>
      <c r="DW84" s="60"/>
      <c r="DX84" s="60"/>
      <c r="DY84" s="60"/>
      <c r="DZ84" s="60"/>
      <c r="EA84" s="60"/>
      <c r="EB84" s="60"/>
      <c r="EC84" s="60"/>
      <c r="ED84" s="60"/>
      <c r="EE84" s="60"/>
      <c r="EF84" s="60"/>
      <c r="EG84" s="60"/>
      <c r="EH84" s="60"/>
      <c r="EI84" s="60"/>
      <c r="EJ84" s="60"/>
      <c r="EK84" s="60"/>
      <c r="EL84" s="60"/>
      <c r="EM84" s="60"/>
      <c r="EN84" s="60"/>
      <c r="EO84" s="60"/>
      <c r="EP84" s="60"/>
      <c r="EQ84" s="60"/>
      <c r="ER84" s="60"/>
      <c r="ES84" s="60"/>
      <c r="ET84" s="60"/>
      <c r="EU84" s="60"/>
      <c r="EV84" s="60"/>
      <c r="EW84" s="60"/>
      <c r="EX84" s="60"/>
      <c r="EY84" s="60"/>
      <c r="EZ84" s="60"/>
      <c r="FA84" s="60"/>
      <c r="FB84" s="60"/>
      <c r="FC84" s="60"/>
      <c r="FD84" s="60"/>
      <c r="FE84" s="60"/>
      <c r="FF84" s="60"/>
      <c r="FG84" s="60"/>
      <c r="FH84" s="60"/>
      <c r="FI84" s="60"/>
      <c r="FJ84" s="60"/>
      <c r="FK84" s="60"/>
      <c r="FL84" s="60"/>
      <c r="FM84" s="60"/>
      <c r="FN84" s="60"/>
      <c r="FO84" s="60"/>
      <c r="FP84" s="60"/>
      <c r="FQ84" s="60"/>
      <c r="FR84" s="60"/>
      <c r="FS84" s="60"/>
      <c r="FT84" s="60"/>
      <c r="FU84" s="60"/>
      <c r="FV84" s="60"/>
      <c r="FW84" s="60"/>
      <c r="FX84" s="60"/>
      <c r="FY84" s="60"/>
      <c r="FZ84" s="60"/>
      <c r="GA84" s="60"/>
      <c r="GB84" s="60"/>
      <c r="GC84" s="60"/>
      <c r="GD84" s="60"/>
      <c r="GE84" s="60"/>
      <c r="GF84" s="60"/>
      <c r="GG84" s="60"/>
      <c r="GH84" s="60"/>
      <c r="GI84" s="60"/>
      <c r="GJ84" s="60"/>
      <c r="GK84" s="60"/>
      <c r="GL84" s="60"/>
      <c r="GM84" s="60"/>
      <c r="GN84" s="60"/>
      <c r="GO84" s="60"/>
      <c r="GP84" s="60"/>
      <c r="GQ84" s="60"/>
      <c r="GR84" s="60"/>
      <c r="GS84" s="60"/>
      <c r="GT84" s="60"/>
      <c r="GU84" s="60"/>
      <c r="GV84" s="60"/>
      <c r="GW84" s="60"/>
      <c r="GX84" s="60"/>
      <c r="GY84" s="60"/>
      <c r="GZ84" s="60"/>
      <c r="HA84" s="60"/>
      <c r="HB84" s="60"/>
      <c r="HC84" s="60"/>
      <c r="HD84" s="60"/>
      <c r="HE84" s="60"/>
      <c r="HF84" s="60"/>
      <c r="HG84" s="60"/>
      <c r="HH84" s="60"/>
      <c r="HI84" s="60"/>
      <c r="HJ84" s="60"/>
      <c r="HK84" s="60"/>
      <c r="HL84" s="60"/>
      <c r="HM84" s="60"/>
      <c r="HN84" s="60"/>
      <c r="HO84" s="60"/>
      <c r="HP84" s="60"/>
      <c r="HQ84" s="60"/>
      <c r="HR84" s="60"/>
      <c r="HS84" s="60"/>
      <c r="HT84" s="60"/>
      <c r="HU84" s="60"/>
      <c r="HV84" s="60"/>
      <c r="HW84" s="60"/>
      <c r="HX84" s="60"/>
      <c r="HY84" s="60"/>
      <c r="HZ84" s="60"/>
      <c r="IA84" s="60"/>
      <c r="IB84" s="60"/>
      <c r="IC84" s="60"/>
      <c r="ID84" s="60"/>
      <c r="IE84" s="60"/>
      <c r="IF84" s="60"/>
      <c r="IG84" s="60"/>
      <c r="IH84" s="60"/>
      <c r="II84" s="60"/>
      <c r="IJ84" s="60"/>
      <c r="IK84" s="60"/>
      <c r="IL84" s="60"/>
      <c r="IM84" s="60"/>
      <c r="IN84" s="60"/>
      <c r="IO84" s="60"/>
      <c r="IP84" s="60"/>
      <c r="IQ84" s="60"/>
      <c r="IR84" s="60"/>
      <c r="IS84" s="60"/>
      <c r="IT84" s="60"/>
      <c r="IU84" s="60"/>
      <c r="IV84" s="60"/>
      <c r="IW84" s="60"/>
      <c r="IX84" s="60"/>
      <c r="IY84" s="60"/>
      <c r="IZ84" s="60"/>
      <c r="JA84" s="60"/>
      <c r="JB84" s="60"/>
      <c r="JC84" s="60"/>
      <c r="JD84" s="60"/>
      <c r="JE84" s="60"/>
      <c r="JF84" s="60"/>
      <c r="JG84" s="60"/>
      <c r="JH84" s="60"/>
      <c r="JI84" s="60"/>
      <c r="JJ84" s="60"/>
      <c r="JK84" s="60"/>
      <c r="JL84" s="60"/>
      <c r="JM84" s="60"/>
      <c r="JN84" s="60"/>
      <c r="JO84" s="60"/>
      <c r="JP84" s="60"/>
      <c r="JQ84" s="60"/>
      <c r="JR84" s="60"/>
      <c r="JS84" s="60"/>
      <c r="JT84" s="60"/>
      <c r="JU84" s="60"/>
      <c r="JV84" s="60"/>
      <c r="JW84" s="60"/>
      <c r="JX84" s="60"/>
      <c r="JY84" s="60"/>
      <c r="JZ84" s="60"/>
      <c r="KA84" s="60"/>
      <c r="KB84" s="60"/>
      <c r="KC84" s="60"/>
      <c r="KD84" s="60"/>
      <c r="KE84" s="60"/>
      <c r="KF84" s="60"/>
      <c r="KG84" s="60"/>
      <c r="KH84" s="60"/>
      <c r="KI84" s="60"/>
      <c r="KJ84" s="60"/>
      <c r="KK84" s="60"/>
      <c r="KL84" s="60"/>
      <c r="KM84" s="60"/>
      <c r="KN84" s="60"/>
      <c r="KO84" s="60"/>
      <c r="KP84" s="60"/>
      <c r="KQ84" s="60"/>
      <c r="KR84" s="60"/>
      <c r="KS84" s="60"/>
      <c r="KT84" s="60"/>
      <c r="KU84" s="60"/>
      <c r="KV84" s="60"/>
      <c r="KW84" s="60"/>
      <c r="KX84" s="60"/>
      <c r="KY84" s="60"/>
      <c r="KZ84" s="60"/>
      <c r="LA84" s="60"/>
      <c r="LB84" s="60"/>
      <c r="LC84" s="60"/>
      <c r="LD84" s="60"/>
      <c r="LE84" s="60"/>
      <c r="LF84" s="60"/>
      <c r="LG84" s="60"/>
      <c r="LH84" s="60"/>
    </row>
    <row r="85" spans="1:320" s="17" customFormat="1" x14ac:dyDescent="0.25">
      <c r="A85" s="147"/>
      <c r="E85" s="156"/>
      <c r="F85" s="156"/>
      <c r="G85" s="156"/>
      <c r="H85" s="156"/>
      <c r="I85" s="156"/>
      <c r="J85" s="156"/>
      <c r="K85" s="156"/>
      <c r="L85" s="156"/>
      <c r="M85" s="156"/>
      <c r="N85" s="156"/>
      <c r="O85" s="156"/>
      <c r="P85" s="156"/>
      <c r="Q85" s="156"/>
      <c r="R85" s="156"/>
      <c r="S85" s="156"/>
      <c r="AC85" s="60"/>
      <c r="AD85" s="60"/>
      <c r="AE85" s="60"/>
      <c r="AF85" s="60"/>
      <c r="AG85" s="60"/>
      <c r="AH85" s="60"/>
      <c r="AI85" s="60"/>
      <c r="AJ85" s="60"/>
      <c r="AK85" s="60"/>
      <c r="AL85" s="60"/>
      <c r="AM85" s="60"/>
      <c r="AN85" s="60"/>
      <c r="AO85" s="60"/>
      <c r="AP85" s="60"/>
      <c r="AQ85" s="60"/>
      <c r="AR85" s="60"/>
      <c r="AS85" s="60"/>
      <c r="AT85" s="60"/>
      <c r="AU85" s="60"/>
      <c r="AV85" s="60"/>
      <c r="AW85" s="60"/>
      <c r="AX85" s="60"/>
      <c r="AY85" s="60"/>
      <c r="AZ85" s="60"/>
      <c r="BA85" s="60"/>
      <c r="BB85" s="60"/>
      <c r="BC85" s="60"/>
      <c r="BD85" s="60"/>
      <c r="BE85" s="60"/>
      <c r="BF85" s="60"/>
      <c r="BG85" s="60"/>
      <c r="BH85" s="60"/>
      <c r="BI85" s="60"/>
      <c r="BJ85" s="60"/>
      <c r="BK85" s="60"/>
      <c r="BL85" s="60"/>
      <c r="BM85" s="60"/>
      <c r="BN85" s="60"/>
      <c r="BO85" s="60"/>
      <c r="BP85" s="60"/>
      <c r="BQ85" s="60"/>
      <c r="BR85" s="60"/>
      <c r="BS85" s="60"/>
      <c r="BT85" s="60"/>
      <c r="BU85" s="60"/>
      <c r="BV85" s="60"/>
      <c r="BW85" s="60"/>
      <c r="BX85" s="60"/>
      <c r="BY85" s="60"/>
      <c r="BZ85" s="60"/>
      <c r="CA85" s="60"/>
      <c r="CB85" s="60"/>
      <c r="CC85" s="60"/>
      <c r="CD85" s="60"/>
      <c r="CE85" s="60"/>
      <c r="CF85" s="60"/>
      <c r="CG85" s="60"/>
      <c r="CH85" s="60"/>
      <c r="CI85" s="60"/>
      <c r="CJ85" s="60"/>
      <c r="CK85" s="60"/>
      <c r="CL85" s="60"/>
      <c r="CM85" s="60"/>
      <c r="CN85" s="60"/>
      <c r="CO85" s="60"/>
      <c r="CP85" s="60"/>
      <c r="CQ85" s="60"/>
      <c r="CR85" s="60"/>
      <c r="CS85" s="60"/>
      <c r="CT85" s="60"/>
      <c r="CU85" s="60"/>
      <c r="CV85" s="60"/>
      <c r="CW85" s="60"/>
      <c r="CX85" s="60"/>
      <c r="CY85" s="60"/>
      <c r="CZ85" s="60"/>
      <c r="DA85" s="60"/>
      <c r="DB85" s="60"/>
      <c r="DC85" s="60"/>
      <c r="DD85" s="60"/>
      <c r="DE85" s="60"/>
      <c r="DF85" s="60"/>
      <c r="DG85" s="60"/>
      <c r="DH85" s="60"/>
      <c r="DI85" s="60"/>
      <c r="DJ85" s="60"/>
      <c r="DK85" s="60"/>
      <c r="DL85" s="60"/>
      <c r="DM85" s="60"/>
      <c r="DN85" s="60"/>
      <c r="DO85" s="60"/>
      <c r="DP85" s="60"/>
      <c r="DQ85" s="60"/>
      <c r="DR85" s="60"/>
      <c r="DS85" s="60"/>
      <c r="DT85" s="60"/>
      <c r="DU85" s="60"/>
      <c r="DV85" s="60"/>
      <c r="DW85" s="60"/>
      <c r="DX85" s="60"/>
      <c r="DY85" s="60"/>
      <c r="DZ85" s="60"/>
      <c r="EA85" s="60"/>
      <c r="EB85" s="60"/>
      <c r="EC85" s="60"/>
      <c r="ED85" s="60"/>
      <c r="EE85" s="60"/>
      <c r="EF85" s="60"/>
      <c r="EG85" s="60"/>
      <c r="EH85" s="60"/>
      <c r="EI85" s="60"/>
      <c r="EJ85" s="60"/>
      <c r="EK85" s="60"/>
      <c r="EL85" s="60"/>
      <c r="EM85" s="60"/>
      <c r="EN85" s="60"/>
      <c r="EO85" s="60"/>
      <c r="EP85" s="60"/>
      <c r="EQ85" s="60"/>
      <c r="ER85" s="60"/>
      <c r="ES85" s="60"/>
      <c r="ET85" s="60"/>
      <c r="EU85" s="60"/>
      <c r="EV85" s="60"/>
      <c r="EW85" s="60"/>
      <c r="EX85" s="60"/>
      <c r="EY85" s="60"/>
      <c r="EZ85" s="60"/>
      <c r="FA85" s="60"/>
      <c r="FB85" s="60"/>
      <c r="FC85" s="60"/>
      <c r="FD85" s="60"/>
      <c r="FE85" s="60"/>
      <c r="FF85" s="60"/>
      <c r="FG85" s="60"/>
      <c r="FH85" s="60"/>
      <c r="FI85" s="60"/>
      <c r="FJ85" s="60"/>
      <c r="FK85" s="60"/>
      <c r="FL85" s="60"/>
      <c r="FM85" s="60"/>
      <c r="FN85" s="60"/>
      <c r="FO85" s="60"/>
      <c r="FP85" s="60"/>
      <c r="FQ85" s="60"/>
      <c r="FR85" s="60"/>
      <c r="FS85" s="60"/>
      <c r="FT85" s="60"/>
      <c r="FU85" s="60"/>
      <c r="FV85" s="60"/>
      <c r="FW85" s="60"/>
      <c r="FX85" s="60"/>
      <c r="FY85" s="60"/>
      <c r="FZ85" s="60"/>
      <c r="GA85" s="60"/>
      <c r="GB85" s="60"/>
      <c r="GC85" s="60"/>
      <c r="GD85" s="60"/>
      <c r="GE85" s="60"/>
      <c r="GF85" s="60"/>
      <c r="GG85" s="60"/>
      <c r="GH85" s="60"/>
      <c r="GI85" s="60"/>
      <c r="GJ85" s="60"/>
      <c r="GK85" s="60"/>
      <c r="GL85" s="60"/>
      <c r="GM85" s="60"/>
      <c r="GN85" s="60"/>
      <c r="GO85" s="60"/>
      <c r="GP85" s="60"/>
      <c r="GQ85" s="60"/>
      <c r="GR85" s="60"/>
      <c r="GS85" s="60"/>
      <c r="GT85" s="60"/>
      <c r="GU85" s="60"/>
      <c r="GV85" s="60"/>
      <c r="GW85" s="60"/>
      <c r="GX85" s="60"/>
      <c r="GY85" s="60"/>
      <c r="GZ85" s="60"/>
      <c r="HA85" s="60"/>
      <c r="HB85" s="60"/>
      <c r="HC85" s="60"/>
      <c r="HD85" s="60"/>
      <c r="HE85" s="60"/>
      <c r="HF85" s="60"/>
      <c r="HG85" s="60"/>
      <c r="HH85" s="60"/>
      <c r="HI85" s="60"/>
      <c r="HJ85" s="60"/>
      <c r="HK85" s="60"/>
      <c r="HL85" s="60"/>
      <c r="HM85" s="60"/>
      <c r="HN85" s="60"/>
      <c r="HO85" s="60"/>
      <c r="HP85" s="60"/>
      <c r="HQ85" s="60"/>
      <c r="HR85" s="60"/>
      <c r="HS85" s="60"/>
      <c r="HT85" s="60"/>
      <c r="HU85" s="60"/>
      <c r="HV85" s="60"/>
      <c r="HW85" s="60"/>
      <c r="HX85" s="60"/>
      <c r="HY85" s="60"/>
      <c r="HZ85" s="60"/>
      <c r="IA85" s="60"/>
      <c r="IB85" s="60"/>
      <c r="IC85" s="60"/>
      <c r="ID85" s="60"/>
      <c r="IE85" s="60"/>
      <c r="IF85" s="60"/>
      <c r="IG85" s="60"/>
      <c r="IH85" s="60"/>
      <c r="II85" s="60"/>
      <c r="IJ85" s="60"/>
      <c r="IK85" s="60"/>
      <c r="IL85" s="60"/>
      <c r="IM85" s="60"/>
      <c r="IN85" s="60"/>
      <c r="IO85" s="60"/>
      <c r="IP85" s="60"/>
      <c r="IQ85" s="60"/>
      <c r="IR85" s="60"/>
      <c r="IS85" s="60"/>
      <c r="IT85" s="60"/>
      <c r="IU85" s="60"/>
      <c r="IV85" s="60"/>
      <c r="IW85" s="60"/>
      <c r="IX85" s="60"/>
      <c r="IY85" s="60"/>
      <c r="IZ85" s="60"/>
      <c r="JA85" s="60"/>
      <c r="JB85" s="60"/>
      <c r="JC85" s="60"/>
      <c r="JD85" s="60"/>
      <c r="JE85" s="60"/>
      <c r="JF85" s="60"/>
      <c r="JG85" s="60"/>
      <c r="JH85" s="60"/>
      <c r="JI85" s="60"/>
      <c r="JJ85" s="60"/>
      <c r="JK85" s="60"/>
      <c r="JL85" s="60"/>
      <c r="JM85" s="60"/>
      <c r="JN85" s="60"/>
      <c r="JO85" s="60"/>
      <c r="JP85" s="60"/>
      <c r="JQ85" s="60"/>
      <c r="JR85" s="60"/>
      <c r="JS85" s="60"/>
      <c r="JT85" s="60"/>
      <c r="JU85" s="60"/>
      <c r="JV85" s="60"/>
      <c r="JW85" s="60"/>
      <c r="JX85" s="60"/>
      <c r="JY85" s="60"/>
      <c r="JZ85" s="60"/>
      <c r="KA85" s="60"/>
      <c r="KB85" s="60"/>
      <c r="KC85" s="60"/>
      <c r="KD85" s="60"/>
      <c r="KE85" s="60"/>
      <c r="KF85" s="60"/>
      <c r="KG85" s="60"/>
      <c r="KH85" s="60"/>
      <c r="KI85" s="60"/>
      <c r="KJ85" s="60"/>
      <c r="KK85" s="60"/>
      <c r="KL85" s="60"/>
      <c r="KM85" s="60"/>
      <c r="KN85" s="60"/>
      <c r="KO85" s="60"/>
      <c r="KP85" s="60"/>
      <c r="KQ85" s="60"/>
      <c r="KR85" s="60"/>
      <c r="KS85" s="60"/>
      <c r="KT85" s="60"/>
      <c r="KU85" s="60"/>
      <c r="KV85" s="60"/>
      <c r="KW85" s="60"/>
      <c r="KX85" s="60"/>
      <c r="KY85" s="60"/>
      <c r="KZ85" s="60"/>
      <c r="LA85" s="60"/>
      <c r="LB85" s="60"/>
      <c r="LC85" s="60"/>
      <c r="LD85" s="60"/>
      <c r="LE85" s="60"/>
      <c r="LF85" s="60"/>
      <c r="LG85" s="60"/>
      <c r="LH85" s="60"/>
    </row>
    <row r="86" spans="1:320" s="17" customFormat="1" x14ac:dyDescent="0.25">
      <c r="A86" s="147"/>
      <c r="E86" s="156"/>
      <c r="F86" s="156"/>
      <c r="G86" s="156"/>
      <c r="H86" s="156"/>
      <c r="I86" s="156"/>
      <c r="J86" s="156"/>
      <c r="K86" s="156"/>
      <c r="L86" s="156"/>
      <c r="M86" s="156"/>
      <c r="N86" s="156"/>
      <c r="O86" s="156"/>
      <c r="P86" s="156"/>
      <c r="Q86" s="156"/>
      <c r="R86" s="156"/>
      <c r="S86" s="156"/>
      <c r="AC86" s="60"/>
      <c r="AD86" s="60"/>
      <c r="AE86" s="60"/>
      <c r="AF86" s="60"/>
      <c r="AG86" s="60"/>
      <c r="AH86" s="60"/>
      <c r="AI86" s="60"/>
      <c r="AJ86" s="60"/>
      <c r="AK86" s="60"/>
      <c r="AL86" s="60"/>
      <c r="AM86" s="60"/>
      <c r="AN86" s="60"/>
      <c r="AO86" s="60"/>
      <c r="AP86" s="60"/>
      <c r="AQ86" s="60"/>
      <c r="AR86" s="60"/>
      <c r="AS86" s="60"/>
      <c r="AT86" s="60"/>
      <c r="AU86" s="60"/>
      <c r="AV86" s="60"/>
      <c r="AW86" s="60"/>
      <c r="AX86" s="60"/>
      <c r="AY86" s="60"/>
      <c r="AZ86" s="60"/>
      <c r="BA86" s="60"/>
      <c r="BB86" s="60"/>
      <c r="BC86" s="60"/>
      <c r="BD86" s="60"/>
      <c r="BE86" s="60"/>
      <c r="BF86" s="60"/>
      <c r="BG86" s="60"/>
      <c r="BH86" s="60"/>
      <c r="BI86" s="60"/>
      <c r="BJ86" s="60"/>
      <c r="BK86" s="60"/>
      <c r="BL86" s="60"/>
      <c r="BM86" s="60"/>
      <c r="BN86" s="60"/>
      <c r="BO86" s="60"/>
      <c r="BP86" s="60"/>
      <c r="BQ86" s="60"/>
      <c r="BR86" s="60"/>
      <c r="BS86" s="60"/>
      <c r="BT86" s="60"/>
      <c r="BU86" s="60"/>
      <c r="BV86" s="60"/>
      <c r="BW86" s="60"/>
      <c r="BX86" s="60"/>
      <c r="BY86" s="60"/>
      <c r="BZ86" s="60"/>
      <c r="CA86" s="60"/>
      <c r="CB86" s="60"/>
      <c r="CC86" s="60"/>
      <c r="CD86" s="60"/>
      <c r="CE86" s="60"/>
      <c r="CF86" s="60"/>
      <c r="CG86" s="60"/>
      <c r="CH86" s="60"/>
      <c r="CI86" s="60"/>
      <c r="CJ86" s="60"/>
      <c r="CK86" s="60"/>
      <c r="CL86" s="60"/>
      <c r="CM86" s="60"/>
      <c r="CN86" s="60"/>
      <c r="CO86" s="60"/>
      <c r="CP86" s="60"/>
      <c r="CQ86" s="60"/>
      <c r="CR86" s="60"/>
      <c r="CS86" s="60"/>
      <c r="CT86" s="60"/>
      <c r="CU86" s="60"/>
      <c r="CV86" s="60"/>
      <c r="CW86" s="60"/>
      <c r="CX86" s="60"/>
      <c r="CY86" s="60"/>
      <c r="CZ86" s="60"/>
      <c r="DA86" s="60"/>
      <c r="DB86" s="60"/>
      <c r="DC86" s="60"/>
      <c r="DD86" s="60"/>
      <c r="DE86" s="60"/>
      <c r="DF86" s="60"/>
      <c r="DG86" s="60"/>
      <c r="DH86" s="60"/>
      <c r="DI86" s="60"/>
      <c r="DJ86" s="60"/>
      <c r="DK86" s="60"/>
      <c r="DL86" s="60"/>
      <c r="DM86" s="60"/>
      <c r="DN86" s="60"/>
      <c r="DO86" s="60"/>
      <c r="DP86" s="60"/>
      <c r="DQ86" s="60"/>
      <c r="DR86" s="60"/>
      <c r="DS86" s="60"/>
      <c r="DT86" s="60"/>
      <c r="DU86" s="60"/>
      <c r="DV86" s="60"/>
      <c r="DW86" s="60"/>
      <c r="DX86" s="60"/>
      <c r="DY86" s="60"/>
      <c r="DZ86" s="60"/>
      <c r="EA86" s="60"/>
      <c r="EB86" s="60"/>
      <c r="EC86" s="60"/>
      <c r="ED86" s="60"/>
      <c r="EE86" s="60"/>
      <c r="EF86" s="60"/>
      <c r="EG86" s="60"/>
      <c r="EH86" s="60"/>
      <c r="EI86" s="60"/>
      <c r="EJ86" s="60"/>
      <c r="EK86" s="60"/>
      <c r="EL86" s="60"/>
      <c r="EM86" s="60"/>
      <c r="EN86" s="60"/>
      <c r="EO86" s="60"/>
      <c r="EP86" s="60"/>
      <c r="EQ86" s="60"/>
      <c r="ER86" s="60"/>
      <c r="ES86" s="60"/>
      <c r="ET86" s="60"/>
      <c r="EU86" s="60"/>
      <c r="EV86" s="60"/>
      <c r="EW86" s="60"/>
      <c r="EX86" s="60"/>
      <c r="EY86" s="60"/>
      <c r="EZ86" s="60"/>
      <c r="FA86" s="60"/>
      <c r="FB86" s="60"/>
      <c r="FC86" s="60"/>
      <c r="FD86" s="60"/>
      <c r="FE86" s="60"/>
      <c r="FF86" s="60"/>
      <c r="FG86" s="60"/>
      <c r="FH86" s="60"/>
      <c r="FI86" s="60"/>
      <c r="FJ86" s="60"/>
      <c r="FK86" s="60"/>
      <c r="FL86" s="60"/>
      <c r="FM86" s="60"/>
      <c r="FN86" s="60"/>
      <c r="FO86" s="60"/>
      <c r="FP86" s="60"/>
      <c r="FQ86" s="60"/>
      <c r="FR86" s="60"/>
      <c r="FS86" s="60"/>
      <c r="FT86" s="60"/>
      <c r="FU86" s="60"/>
      <c r="FV86" s="60"/>
      <c r="FW86" s="60"/>
      <c r="FX86" s="60"/>
      <c r="FY86" s="60"/>
      <c r="FZ86" s="60"/>
      <c r="GA86" s="60"/>
      <c r="GB86" s="60"/>
      <c r="GC86" s="60"/>
      <c r="GD86" s="60"/>
      <c r="GE86" s="60"/>
      <c r="GF86" s="60"/>
      <c r="GG86" s="60"/>
      <c r="GH86" s="60"/>
      <c r="GI86" s="60"/>
      <c r="GJ86" s="60"/>
      <c r="GK86" s="60"/>
      <c r="GL86" s="60"/>
      <c r="GM86" s="60"/>
      <c r="GN86" s="60"/>
      <c r="GO86" s="60"/>
      <c r="GP86" s="60"/>
      <c r="GQ86" s="60"/>
      <c r="GR86" s="60"/>
      <c r="GS86" s="60"/>
      <c r="GT86" s="60"/>
      <c r="GU86" s="60"/>
      <c r="GV86" s="60"/>
      <c r="GW86" s="60"/>
      <c r="GX86" s="60"/>
      <c r="GY86" s="60"/>
      <c r="GZ86" s="60"/>
      <c r="HA86" s="60"/>
      <c r="HB86" s="60"/>
      <c r="HC86" s="60"/>
      <c r="HD86" s="60"/>
      <c r="HE86" s="60"/>
      <c r="HF86" s="60"/>
      <c r="HG86" s="60"/>
      <c r="HH86" s="60"/>
      <c r="HI86" s="60"/>
      <c r="HJ86" s="60"/>
      <c r="HK86" s="60"/>
      <c r="HL86" s="60"/>
      <c r="HM86" s="60"/>
      <c r="HN86" s="60"/>
      <c r="HO86" s="60"/>
      <c r="HP86" s="60"/>
      <c r="HQ86" s="60"/>
      <c r="HR86" s="60"/>
      <c r="HS86" s="60"/>
      <c r="HT86" s="60"/>
      <c r="HU86" s="60"/>
      <c r="HV86" s="60"/>
      <c r="HW86" s="60"/>
      <c r="HX86" s="60"/>
      <c r="HY86" s="60"/>
      <c r="HZ86" s="60"/>
      <c r="IA86" s="60"/>
      <c r="IB86" s="60"/>
      <c r="IC86" s="60"/>
      <c r="ID86" s="60"/>
      <c r="IE86" s="60"/>
      <c r="IF86" s="60"/>
      <c r="IG86" s="60"/>
      <c r="IH86" s="60"/>
      <c r="II86" s="60"/>
      <c r="IJ86" s="60"/>
      <c r="IK86" s="60"/>
      <c r="IL86" s="60"/>
      <c r="IM86" s="60"/>
      <c r="IN86" s="60"/>
      <c r="IO86" s="60"/>
      <c r="IP86" s="60"/>
      <c r="IQ86" s="60"/>
      <c r="IR86" s="60"/>
      <c r="IS86" s="60"/>
      <c r="IT86" s="60"/>
      <c r="IU86" s="60"/>
      <c r="IV86" s="60"/>
      <c r="IW86" s="60"/>
      <c r="IX86" s="60"/>
      <c r="IY86" s="60"/>
      <c r="IZ86" s="60"/>
      <c r="JA86" s="60"/>
      <c r="JB86" s="60"/>
      <c r="JC86" s="60"/>
      <c r="JD86" s="60"/>
      <c r="JE86" s="60"/>
      <c r="JF86" s="60"/>
      <c r="JG86" s="60"/>
      <c r="JH86" s="60"/>
      <c r="JI86" s="60"/>
      <c r="JJ86" s="60"/>
      <c r="JK86" s="60"/>
      <c r="JL86" s="60"/>
      <c r="JM86" s="60"/>
      <c r="JN86" s="60"/>
      <c r="JO86" s="60"/>
      <c r="JP86" s="60"/>
      <c r="JQ86" s="60"/>
      <c r="JR86" s="60"/>
      <c r="JS86" s="60"/>
      <c r="JT86" s="60"/>
      <c r="JU86" s="60"/>
      <c r="JV86" s="60"/>
      <c r="JW86" s="60"/>
      <c r="JX86" s="60"/>
      <c r="JY86" s="60"/>
      <c r="JZ86" s="60"/>
      <c r="KA86" s="60"/>
      <c r="KB86" s="60"/>
      <c r="KC86" s="60"/>
      <c r="KD86" s="60"/>
      <c r="KE86" s="60"/>
      <c r="KF86" s="60"/>
      <c r="KG86" s="60"/>
      <c r="KH86" s="60"/>
      <c r="KI86" s="60"/>
      <c r="KJ86" s="60"/>
      <c r="KK86" s="60"/>
      <c r="KL86" s="60"/>
      <c r="KM86" s="60"/>
      <c r="KN86" s="60"/>
      <c r="KO86" s="60"/>
      <c r="KP86" s="60"/>
      <c r="KQ86" s="60"/>
      <c r="KR86" s="60"/>
      <c r="KS86" s="60"/>
      <c r="KT86" s="60"/>
      <c r="KU86" s="60"/>
      <c r="KV86" s="60"/>
      <c r="KW86" s="60"/>
      <c r="KX86" s="60"/>
      <c r="KY86" s="60"/>
      <c r="KZ86" s="60"/>
      <c r="LA86" s="60"/>
      <c r="LB86" s="60"/>
      <c r="LC86" s="60"/>
      <c r="LD86" s="60"/>
      <c r="LE86" s="60"/>
      <c r="LF86" s="60"/>
      <c r="LG86" s="60"/>
      <c r="LH86" s="60"/>
    </row>
    <row r="87" spans="1:320" s="17" customFormat="1" x14ac:dyDescent="0.25">
      <c r="A87" s="147"/>
      <c r="E87" s="156"/>
      <c r="F87" s="156"/>
      <c r="G87" s="156"/>
      <c r="H87" s="156"/>
      <c r="I87" s="156"/>
      <c r="J87" s="156"/>
      <c r="K87" s="156"/>
      <c r="L87" s="156"/>
      <c r="M87" s="156"/>
      <c r="N87" s="156"/>
      <c r="O87" s="156"/>
      <c r="P87" s="156"/>
      <c r="Q87" s="156"/>
      <c r="R87" s="156"/>
      <c r="S87" s="156"/>
      <c r="AC87" s="60"/>
      <c r="AD87" s="60"/>
      <c r="AE87" s="60"/>
      <c r="AF87" s="60"/>
      <c r="AG87" s="60"/>
      <c r="AH87" s="60"/>
      <c r="AI87" s="60"/>
      <c r="AJ87" s="60"/>
      <c r="AK87" s="60"/>
      <c r="AL87" s="60"/>
      <c r="AM87" s="60"/>
      <c r="AN87" s="60"/>
      <c r="AO87" s="60"/>
      <c r="AP87" s="60"/>
      <c r="AQ87" s="60"/>
      <c r="AR87" s="60"/>
      <c r="AS87" s="60"/>
      <c r="AT87" s="60"/>
      <c r="AU87" s="60"/>
      <c r="AV87" s="60"/>
      <c r="AW87" s="60"/>
      <c r="AX87" s="60"/>
      <c r="AY87" s="60"/>
      <c r="AZ87" s="60"/>
      <c r="BA87" s="60"/>
      <c r="BB87" s="60"/>
      <c r="BC87" s="60"/>
      <c r="BD87" s="60"/>
      <c r="BE87" s="60"/>
      <c r="BF87" s="60"/>
      <c r="BG87" s="60"/>
      <c r="BH87" s="60"/>
      <c r="BI87" s="60"/>
      <c r="BJ87" s="60"/>
      <c r="BK87" s="60"/>
      <c r="BL87" s="60"/>
      <c r="BM87" s="60"/>
      <c r="BN87" s="60"/>
      <c r="BO87" s="60"/>
      <c r="BP87" s="60"/>
      <c r="BQ87" s="60"/>
      <c r="BR87" s="60"/>
      <c r="BS87" s="60"/>
      <c r="BT87" s="60"/>
      <c r="BU87" s="60"/>
      <c r="BV87" s="60"/>
      <c r="BW87" s="60"/>
      <c r="BX87" s="60"/>
      <c r="BY87" s="60"/>
      <c r="BZ87" s="60"/>
      <c r="CA87" s="60"/>
      <c r="CB87" s="60"/>
      <c r="CC87" s="60"/>
      <c r="CD87" s="60"/>
      <c r="CE87" s="60"/>
      <c r="CF87" s="60"/>
      <c r="CG87" s="60"/>
      <c r="CH87" s="60"/>
      <c r="CI87" s="60"/>
      <c r="CJ87" s="60"/>
      <c r="CK87" s="60"/>
      <c r="CL87" s="60"/>
      <c r="CM87" s="60"/>
      <c r="CN87" s="60"/>
      <c r="CO87" s="60"/>
      <c r="CP87" s="60"/>
      <c r="CQ87" s="60"/>
      <c r="CR87" s="60"/>
      <c r="CS87" s="60"/>
      <c r="CT87" s="60"/>
      <c r="CU87" s="60"/>
      <c r="CV87" s="60"/>
      <c r="CW87" s="60"/>
      <c r="CX87" s="60"/>
      <c r="CY87" s="60"/>
      <c r="CZ87" s="60"/>
      <c r="DA87" s="60"/>
      <c r="DB87" s="60"/>
      <c r="DC87" s="60"/>
      <c r="DD87" s="60"/>
      <c r="DE87" s="60"/>
      <c r="DF87" s="60"/>
      <c r="DG87" s="60"/>
      <c r="DH87" s="60"/>
      <c r="DI87" s="60"/>
      <c r="DJ87" s="60"/>
      <c r="DK87" s="60"/>
      <c r="DL87" s="60"/>
      <c r="DM87" s="60"/>
      <c r="DN87" s="60"/>
      <c r="DO87" s="60"/>
      <c r="DP87" s="60"/>
      <c r="DQ87" s="60"/>
      <c r="DR87" s="60"/>
      <c r="DS87" s="60"/>
      <c r="DT87" s="60"/>
      <c r="DU87" s="60"/>
      <c r="DV87" s="60"/>
      <c r="DW87" s="60"/>
      <c r="DX87" s="60"/>
      <c r="DY87" s="60"/>
      <c r="DZ87" s="60"/>
      <c r="EA87" s="60"/>
      <c r="EB87" s="60"/>
      <c r="EC87" s="60"/>
      <c r="ED87" s="60"/>
      <c r="EE87" s="60"/>
      <c r="EF87" s="60"/>
      <c r="EG87" s="60"/>
      <c r="EH87" s="60"/>
      <c r="EI87" s="60"/>
      <c r="EJ87" s="60"/>
      <c r="EK87" s="60"/>
      <c r="EL87" s="60"/>
      <c r="EM87" s="60"/>
      <c r="EN87" s="60"/>
      <c r="EO87" s="60"/>
      <c r="EP87" s="60"/>
      <c r="EQ87" s="60"/>
      <c r="ER87" s="60"/>
      <c r="ES87" s="60"/>
      <c r="ET87" s="60"/>
      <c r="EU87" s="60"/>
      <c r="EV87" s="60"/>
      <c r="EW87" s="60"/>
      <c r="EX87" s="60"/>
      <c r="EY87" s="60"/>
      <c r="EZ87" s="60"/>
      <c r="FA87" s="60"/>
      <c r="FB87" s="60"/>
      <c r="FC87" s="60"/>
      <c r="FD87" s="60"/>
      <c r="FE87" s="60"/>
      <c r="FF87" s="60"/>
      <c r="FG87" s="60"/>
      <c r="FH87" s="60"/>
      <c r="FI87" s="60"/>
      <c r="FJ87" s="60"/>
      <c r="FK87" s="60"/>
      <c r="FL87" s="60"/>
      <c r="FM87" s="60"/>
      <c r="FN87" s="60"/>
      <c r="FO87" s="60"/>
      <c r="FP87" s="60"/>
      <c r="FQ87" s="60"/>
      <c r="FR87" s="60"/>
      <c r="FS87" s="60"/>
      <c r="FT87" s="60"/>
      <c r="FU87" s="60"/>
      <c r="FV87" s="60"/>
      <c r="FW87" s="60"/>
      <c r="FX87" s="60"/>
      <c r="FY87" s="60"/>
      <c r="FZ87" s="60"/>
      <c r="GA87" s="60"/>
      <c r="GB87" s="60"/>
      <c r="GC87" s="60"/>
      <c r="GD87" s="60"/>
      <c r="GE87" s="60"/>
      <c r="GF87" s="60"/>
      <c r="GG87" s="60"/>
      <c r="GH87" s="60"/>
      <c r="GI87" s="60"/>
      <c r="GJ87" s="60"/>
      <c r="GK87" s="60"/>
      <c r="GL87" s="60"/>
      <c r="GM87" s="60"/>
      <c r="GN87" s="60"/>
      <c r="GO87" s="60"/>
      <c r="GP87" s="60"/>
      <c r="GQ87" s="60"/>
      <c r="GR87" s="60"/>
      <c r="GS87" s="60"/>
      <c r="GT87" s="60"/>
      <c r="GU87" s="60"/>
      <c r="GV87" s="60"/>
      <c r="GW87" s="60"/>
      <c r="GX87" s="60"/>
      <c r="GY87" s="60"/>
      <c r="GZ87" s="60"/>
      <c r="HA87" s="60"/>
      <c r="HB87" s="60"/>
      <c r="HC87" s="60"/>
      <c r="HD87" s="60"/>
      <c r="HE87" s="60"/>
      <c r="HF87" s="60"/>
      <c r="HG87" s="60"/>
      <c r="HH87" s="60"/>
      <c r="HI87" s="60"/>
      <c r="HJ87" s="60"/>
      <c r="HK87" s="60"/>
      <c r="HL87" s="60"/>
      <c r="HM87" s="60"/>
      <c r="HN87" s="60"/>
      <c r="HO87" s="60"/>
      <c r="HP87" s="60"/>
      <c r="HQ87" s="60"/>
      <c r="HR87" s="60"/>
      <c r="HS87" s="60"/>
      <c r="HT87" s="60"/>
      <c r="HU87" s="60"/>
      <c r="HV87" s="60"/>
      <c r="HW87" s="60"/>
      <c r="HX87" s="60"/>
      <c r="HY87" s="60"/>
      <c r="HZ87" s="60"/>
      <c r="IA87" s="60"/>
      <c r="IB87" s="60"/>
      <c r="IC87" s="60"/>
      <c r="ID87" s="60"/>
      <c r="IE87" s="60"/>
      <c r="IF87" s="60"/>
      <c r="IG87" s="60"/>
      <c r="IH87" s="60"/>
      <c r="II87" s="60"/>
      <c r="IJ87" s="60"/>
      <c r="IK87" s="60"/>
      <c r="IL87" s="60"/>
      <c r="IM87" s="60"/>
      <c r="IN87" s="60"/>
      <c r="IO87" s="60"/>
      <c r="IP87" s="60"/>
      <c r="IQ87" s="60"/>
      <c r="IR87" s="60"/>
      <c r="IS87" s="60"/>
      <c r="IT87" s="60"/>
      <c r="IU87" s="60"/>
      <c r="IV87" s="60"/>
      <c r="IW87" s="60"/>
      <c r="IX87" s="60"/>
      <c r="IY87" s="60"/>
      <c r="IZ87" s="60"/>
      <c r="JA87" s="60"/>
      <c r="JB87" s="60"/>
      <c r="JC87" s="60"/>
      <c r="JD87" s="60"/>
      <c r="JE87" s="60"/>
      <c r="JF87" s="60"/>
      <c r="JG87" s="60"/>
      <c r="JH87" s="60"/>
      <c r="JI87" s="60"/>
      <c r="JJ87" s="60"/>
      <c r="JK87" s="60"/>
      <c r="JL87" s="60"/>
      <c r="JM87" s="60"/>
      <c r="JN87" s="60"/>
      <c r="JO87" s="60"/>
      <c r="JP87" s="60"/>
      <c r="JQ87" s="60"/>
      <c r="JR87" s="60"/>
      <c r="JS87" s="60"/>
      <c r="JT87" s="60"/>
      <c r="JU87" s="60"/>
      <c r="JV87" s="60"/>
      <c r="JW87" s="60"/>
      <c r="JX87" s="60"/>
      <c r="JY87" s="60"/>
      <c r="JZ87" s="60"/>
      <c r="KA87" s="60"/>
      <c r="KB87" s="60"/>
      <c r="KC87" s="60"/>
      <c r="KD87" s="60"/>
      <c r="KE87" s="60"/>
      <c r="KF87" s="60"/>
      <c r="KG87" s="60"/>
      <c r="KH87" s="60"/>
      <c r="KI87" s="60"/>
      <c r="KJ87" s="60"/>
      <c r="KK87" s="60"/>
      <c r="KL87" s="60"/>
      <c r="KM87" s="60"/>
      <c r="KN87" s="60"/>
      <c r="KO87" s="60"/>
      <c r="KP87" s="60"/>
      <c r="KQ87" s="60"/>
      <c r="KR87" s="60"/>
      <c r="KS87" s="60"/>
      <c r="KT87" s="60"/>
      <c r="KU87" s="60"/>
      <c r="KV87" s="60"/>
      <c r="KW87" s="60"/>
      <c r="KX87" s="60"/>
      <c r="KY87" s="60"/>
      <c r="KZ87" s="60"/>
      <c r="LA87" s="60"/>
      <c r="LB87" s="60"/>
      <c r="LC87" s="60"/>
      <c r="LD87" s="60"/>
      <c r="LE87" s="60"/>
      <c r="LF87" s="60"/>
      <c r="LG87" s="60"/>
      <c r="LH87" s="60"/>
    </row>
    <row r="88" spans="1:320" s="17" customFormat="1" x14ac:dyDescent="0.25">
      <c r="A88" s="147"/>
      <c r="E88" s="156"/>
      <c r="F88" s="156"/>
      <c r="G88" s="156"/>
      <c r="H88" s="156"/>
      <c r="I88" s="156"/>
      <c r="J88" s="156"/>
      <c r="K88" s="156"/>
      <c r="L88" s="156"/>
      <c r="M88" s="156"/>
      <c r="N88" s="156"/>
      <c r="O88" s="156"/>
      <c r="P88" s="156"/>
      <c r="Q88" s="156"/>
      <c r="R88" s="156"/>
      <c r="S88" s="156"/>
      <c r="AC88" s="60"/>
      <c r="AD88" s="60"/>
      <c r="AE88" s="60"/>
      <c r="AF88" s="60"/>
      <c r="AG88" s="60"/>
      <c r="AH88" s="60"/>
      <c r="AI88" s="60"/>
      <c r="AJ88" s="60"/>
      <c r="AK88" s="60"/>
      <c r="AL88" s="60"/>
      <c r="AM88" s="60"/>
      <c r="AN88" s="60"/>
      <c r="AO88" s="60"/>
      <c r="AP88" s="60"/>
      <c r="AQ88" s="60"/>
      <c r="AR88" s="60"/>
      <c r="AS88" s="60"/>
      <c r="AT88" s="60"/>
      <c r="AU88" s="60"/>
      <c r="AV88" s="60"/>
      <c r="AW88" s="60"/>
      <c r="AX88" s="60"/>
      <c r="AY88" s="60"/>
      <c r="AZ88" s="60"/>
      <c r="BA88" s="60"/>
      <c r="BB88" s="60"/>
      <c r="BC88" s="60"/>
      <c r="BD88" s="60"/>
      <c r="BE88" s="60"/>
      <c r="BF88" s="60"/>
      <c r="BG88" s="60"/>
      <c r="BH88" s="60"/>
      <c r="BI88" s="60"/>
      <c r="BJ88" s="60"/>
      <c r="BK88" s="60"/>
      <c r="BL88" s="60"/>
      <c r="BM88" s="60"/>
      <c r="BN88" s="60"/>
      <c r="BO88" s="60"/>
      <c r="BP88" s="60"/>
      <c r="BQ88" s="60"/>
      <c r="BR88" s="60"/>
      <c r="BS88" s="60"/>
      <c r="BT88" s="60"/>
      <c r="BU88" s="60"/>
      <c r="BV88" s="60"/>
      <c r="BW88" s="60"/>
      <c r="BX88" s="60"/>
      <c r="BY88" s="60"/>
      <c r="BZ88" s="60"/>
      <c r="CA88" s="60"/>
      <c r="CB88" s="60"/>
      <c r="CC88" s="60"/>
      <c r="CD88" s="60"/>
      <c r="CE88" s="60"/>
      <c r="CF88" s="60"/>
      <c r="CG88" s="60"/>
      <c r="CH88" s="60"/>
      <c r="CI88" s="60"/>
      <c r="CJ88" s="60"/>
      <c r="CK88" s="60"/>
      <c r="CL88" s="60"/>
      <c r="CM88" s="60"/>
      <c r="CN88" s="60"/>
      <c r="CO88" s="60"/>
      <c r="CP88" s="60"/>
      <c r="CQ88" s="60"/>
      <c r="CR88" s="60"/>
      <c r="CS88" s="60"/>
      <c r="CT88" s="60"/>
      <c r="CU88" s="60"/>
      <c r="CV88" s="60"/>
      <c r="CW88" s="60"/>
      <c r="CX88" s="60"/>
      <c r="CY88" s="60"/>
      <c r="CZ88" s="60"/>
      <c r="DA88" s="60"/>
      <c r="DB88" s="60"/>
      <c r="DC88" s="60"/>
      <c r="DD88" s="60"/>
      <c r="DE88" s="60"/>
      <c r="DF88" s="60"/>
      <c r="DG88" s="60"/>
      <c r="DH88" s="60"/>
      <c r="DI88" s="60"/>
      <c r="DJ88" s="60"/>
      <c r="DK88" s="60"/>
      <c r="DL88" s="60"/>
      <c r="DM88" s="60"/>
      <c r="DN88" s="60"/>
      <c r="DO88" s="60"/>
      <c r="DP88" s="60"/>
      <c r="DQ88" s="60"/>
      <c r="DR88" s="60"/>
      <c r="DS88" s="60"/>
      <c r="DT88" s="60"/>
      <c r="DU88" s="60"/>
      <c r="DV88" s="60"/>
      <c r="DW88" s="60"/>
      <c r="DX88" s="60"/>
      <c r="DY88" s="60"/>
      <c r="DZ88" s="60"/>
      <c r="EA88" s="60"/>
      <c r="EB88" s="60"/>
      <c r="EC88" s="60"/>
      <c r="ED88" s="60"/>
      <c r="EE88" s="60"/>
      <c r="EF88" s="60"/>
      <c r="EG88" s="60"/>
      <c r="EH88" s="60"/>
      <c r="EI88" s="60"/>
      <c r="EJ88" s="60"/>
      <c r="EK88" s="60"/>
      <c r="EL88" s="60"/>
      <c r="EM88" s="60"/>
      <c r="EN88" s="60"/>
      <c r="EO88" s="60"/>
      <c r="EP88" s="60"/>
      <c r="EQ88" s="60"/>
      <c r="ER88" s="60"/>
      <c r="ES88" s="60"/>
      <c r="ET88" s="60"/>
      <c r="EU88" s="60"/>
      <c r="EV88" s="60"/>
      <c r="EW88" s="60"/>
      <c r="EX88" s="60"/>
      <c r="EY88" s="60"/>
      <c r="EZ88" s="60"/>
      <c r="FA88" s="60"/>
      <c r="FB88" s="60"/>
      <c r="FC88" s="60"/>
      <c r="FD88" s="60"/>
      <c r="FE88" s="60"/>
      <c r="FF88" s="60"/>
      <c r="FG88" s="60"/>
      <c r="FH88" s="60"/>
      <c r="FI88" s="60"/>
      <c r="FJ88" s="60"/>
      <c r="FK88" s="60"/>
      <c r="FL88" s="60"/>
      <c r="FM88" s="60"/>
      <c r="FN88" s="60"/>
      <c r="FO88" s="60"/>
      <c r="FP88" s="60"/>
      <c r="FQ88" s="60"/>
      <c r="FR88" s="60"/>
      <c r="FS88" s="60"/>
      <c r="FT88" s="60"/>
      <c r="FU88" s="60"/>
      <c r="FV88" s="60"/>
      <c r="FW88" s="60"/>
      <c r="FX88" s="60"/>
      <c r="FY88" s="60"/>
      <c r="FZ88" s="60"/>
      <c r="GA88" s="60"/>
      <c r="GB88" s="60"/>
      <c r="GC88" s="60"/>
      <c r="GD88" s="60"/>
      <c r="GE88" s="60"/>
      <c r="GF88" s="60"/>
      <c r="GG88" s="60"/>
      <c r="GH88" s="60"/>
      <c r="GI88" s="60"/>
      <c r="GJ88" s="60"/>
      <c r="GK88" s="60"/>
      <c r="GL88" s="60"/>
      <c r="GM88" s="60"/>
      <c r="GN88" s="60"/>
      <c r="GO88" s="60"/>
      <c r="GP88" s="60"/>
      <c r="GQ88" s="60"/>
      <c r="GR88" s="60"/>
      <c r="GS88" s="60"/>
      <c r="GT88" s="60"/>
      <c r="GU88" s="60"/>
      <c r="GV88" s="60"/>
      <c r="GW88" s="60"/>
      <c r="GX88" s="60"/>
      <c r="GY88" s="60"/>
      <c r="GZ88" s="60"/>
      <c r="HA88" s="60"/>
      <c r="HB88" s="60"/>
      <c r="HC88" s="60"/>
      <c r="HD88" s="60"/>
      <c r="HE88" s="60"/>
      <c r="HF88" s="60"/>
      <c r="HG88" s="60"/>
      <c r="HH88" s="60"/>
      <c r="HI88" s="60"/>
      <c r="HJ88" s="60"/>
      <c r="HK88" s="60"/>
      <c r="HL88" s="60"/>
      <c r="HM88" s="60"/>
      <c r="HN88" s="60"/>
      <c r="HO88" s="60"/>
      <c r="HP88" s="60"/>
      <c r="HQ88" s="60"/>
      <c r="HR88" s="60"/>
      <c r="HS88" s="60"/>
      <c r="HT88" s="60"/>
      <c r="HU88" s="60"/>
      <c r="HV88" s="60"/>
      <c r="HW88" s="60"/>
      <c r="HX88" s="60"/>
      <c r="HY88" s="60"/>
      <c r="HZ88" s="60"/>
      <c r="IA88" s="60"/>
      <c r="IB88" s="60"/>
      <c r="IC88" s="60"/>
      <c r="ID88" s="60"/>
      <c r="IE88" s="60"/>
      <c r="IF88" s="60"/>
      <c r="IG88" s="60"/>
      <c r="IH88" s="60"/>
      <c r="II88" s="60"/>
      <c r="IJ88" s="60"/>
      <c r="IK88" s="60"/>
      <c r="IL88" s="60"/>
      <c r="IM88" s="60"/>
      <c r="IN88" s="60"/>
      <c r="IO88" s="60"/>
      <c r="IP88" s="60"/>
      <c r="IQ88" s="60"/>
      <c r="IR88" s="60"/>
      <c r="IS88" s="60"/>
      <c r="IT88" s="60"/>
      <c r="IU88" s="60"/>
      <c r="IV88" s="60"/>
      <c r="IW88" s="60"/>
      <c r="IX88" s="60"/>
      <c r="IY88" s="60"/>
      <c r="IZ88" s="60"/>
      <c r="JA88" s="60"/>
      <c r="JB88" s="60"/>
      <c r="JC88" s="60"/>
      <c r="JD88" s="60"/>
      <c r="JE88" s="60"/>
      <c r="JF88" s="60"/>
      <c r="JG88" s="60"/>
      <c r="JH88" s="60"/>
      <c r="JI88" s="60"/>
      <c r="JJ88" s="60"/>
      <c r="JK88" s="60"/>
      <c r="JL88" s="60"/>
      <c r="JM88" s="60"/>
      <c r="JN88" s="60"/>
      <c r="JO88" s="60"/>
      <c r="JP88" s="60"/>
      <c r="JQ88" s="60"/>
      <c r="JR88" s="60"/>
      <c r="JS88" s="60"/>
      <c r="JT88" s="60"/>
      <c r="JU88" s="60"/>
      <c r="JV88" s="60"/>
      <c r="JW88" s="60"/>
      <c r="JX88" s="60"/>
      <c r="JY88" s="60"/>
      <c r="JZ88" s="60"/>
      <c r="KA88" s="60"/>
      <c r="KB88" s="60"/>
      <c r="KC88" s="60"/>
      <c r="KD88" s="60"/>
      <c r="KE88" s="60"/>
      <c r="KF88" s="60"/>
      <c r="KG88" s="60"/>
      <c r="KH88" s="60"/>
      <c r="KI88" s="60"/>
      <c r="KJ88" s="60"/>
      <c r="KK88" s="60"/>
      <c r="KL88" s="60"/>
      <c r="KM88" s="60"/>
      <c r="KN88" s="60"/>
      <c r="KO88" s="60"/>
      <c r="KP88" s="60"/>
      <c r="KQ88" s="60"/>
      <c r="KR88" s="60"/>
      <c r="KS88" s="60"/>
      <c r="KT88" s="60"/>
      <c r="KU88" s="60"/>
      <c r="KV88" s="60"/>
      <c r="KW88" s="60"/>
      <c r="KX88" s="60"/>
      <c r="KY88" s="60"/>
      <c r="KZ88" s="60"/>
      <c r="LA88" s="60"/>
      <c r="LB88" s="60"/>
      <c r="LC88" s="60"/>
      <c r="LD88" s="60"/>
      <c r="LE88" s="60"/>
      <c r="LF88" s="60"/>
      <c r="LG88" s="60"/>
      <c r="LH88" s="60"/>
    </row>
    <row r="89" spans="1:320" s="17" customFormat="1" x14ac:dyDescent="0.25">
      <c r="A89" s="147"/>
      <c r="E89" s="156"/>
      <c r="F89" s="156"/>
      <c r="G89" s="156"/>
      <c r="H89" s="156"/>
      <c r="I89" s="156"/>
      <c r="J89" s="156"/>
      <c r="K89" s="156"/>
      <c r="L89" s="156"/>
      <c r="M89" s="156"/>
      <c r="N89" s="156"/>
      <c r="O89" s="156"/>
      <c r="P89" s="156"/>
      <c r="Q89" s="156"/>
      <c r="R89" s="156"/>
      <c r="S89" s="156"/>
      <c r="AC89" s="60"/>
      <c r="AD89" s="60"/>
      <c r="AE89" s="60"/>
      <c r="AF89" s="60"/>
      <c r="AG89" s="60"/>
      <c r="AH89" s="60"/>
      <c r="AI89" s="60"/>
      <c r="AJ89" s="60"/>
      <c r="AK89" s="60"/>
      <c r="AL89" s="60"/>
      <c r="AM89" s="60"/>
      <c r="AN89" s="60"/>
      <c r="AO89" s="60"/>
      <c r="AP89" s="60"/>
      <c r="AQ89" s="60"/>
      <c r="AR89" s="60"/>
      <c r="AS89" s="60"/>
      <c r="AT89" s="60"/>
      <c r="AU89" s="60"/>
      <c r="AV89" s="60"/>
      <c r="AW89" s="60"/>
      <c r="AX89" s="60"/>
      <c r="AY89" s="60"/>
      <c r="AZ89" s="60"/>
      <c r="BA89" s="60"/>
      <c r="BB89" s="60"/>
      <c r="BC89" s="60"/>
      <c r="BD89" s="60"/>
      <c r="BE89" s="60"/>
      <c r="BF89" s="60"/>
      <c r="BG89" s="60"/>
      <c r="BH89" s="60"/>
      <c r="BI89" s="60"/>
      <c r="BJ89" s="60"/>
      <c r="BK89" s="60"/>
      <c r="BL89" s="60"/>
      <c r="BM89" s="60"/>
      <c r="BN89" s="60"/>
      <c r="BO89" s="60"/>
      <c r="BP89" s="60"/>
      <c r="BQ89" s="60"/>
      <c r="BR89" s="60"/>
      <c r="BS89" s="60"/>
      <c r="BT89" s="60"/>
      <c r="BU89" s="60"/>
      <c r="BV89" s="60"/>
      <c r="BW89" s="60"/>
      <c r="BX89" s="60"/>
      <c r="BY89" s="60"/>
      <c r="BZ89" s="60"/>
      <c r="CA89" s="60"/>
      <c r="CB89" s="60"/>
      <c r="CC89" s="60"/>
      <c r="CD89" s="60"/>
      <c r="CE89" s="60"/>
      <c r="CF89" s="60"/>
      <c r="CG89" s="60"/>
      <c r="CH89" s="60"/>
      <c r="CI89" s="60"/>
      <c r="CJ89" s="60"/>
      <c r="CK89" s="60"/>
      <c r="CL89" s="60"/>
      <c r="CM89" s="60"/>
      <c r="CN89" s="60"/>
      <c r="CO89" s="60"/>
      <c r="CP89" s="60"/>
      <c r="CQ89" s="60"/>
      <c r="CR89" s="60"/>
      <c r="CS89" s="60"/>
      <c r="CT89" s="60"/>
      <c r="CU89" s="60"/>
      <c r="CV89" s="60"/>
      <c r="CW89" s="60"/>
      <c r="CX89" s="60"/>
      <c r="CY89" s="60"/>
      <c r="CZ89" s="60"/>
      <c r="DA89" s="60"/>
      <c r="DB89" s="60"/>
      <c r="DC89" s="60"/>
      <c r="DD89" s="60"/>
      <c r="DE89" s="60"/>
      <c r="DF89" s="60"/>
      <c r="DG89" s="60"/>
      <c r="DH89" s="60"/>
      <c r="DI89" s="60"/>
      <c r="DJ89" s="60"/>
      <c r="DK89" s="60"/>
      <c r="DL89" s="60"/>
      <c r="DM89" s="60"/>
      <c r="DN89" s="60"/>
      <c r="DO89" s="60"/>
      <c r="DP89" s="60"/>
      <c r="DQ89" s="60"/>
      <c r="DR89" s="60"/>
      <c r="DS89" s="60"/>
      <c r="DT89" s="60"/>
      <c r="DU89" s="60"/>
      <c r="DV89" s="60"/>
      <c r="DW89" s="60"/>
      <c r="DX89" s="60"/>
      <c r="DY89" s="60"/>
      <c r="DZ89" s="60"/>
      <c r="EA89" s="60"/>
      <c r="EB89" s="60"/>
      <c r="EC89" s="60"/>
      <c r="ED89" s="60"/>
      <c r="EE89" s="60"/>
      <c r="EF89" s="60"/>
      <c r="EG89" s="60"/>
      <c r="EH89" s="60"/>
      <c r="EI89" s="60"/>
      <c r="EJ89" s="60"/>
      <c r="EK89" s="60"/>
      <c r="EL89" s="60"/>
      <c r="EM89" s="60"/>
      <c r="EN89" s="60"/>
      <c r="EO89" s="60"/>
      <c r="EP89" s="60"/>
      <c r="EQ89" s="60"/>
      <c r="ER89" s="60"/>
      <c r="ES89" s="60"/>
      <c r="ET89" s="60"/>
      <c r="EU89" s="60"/>
      <c r="EV89" s="60"/>
      <c r="EW89" s="60"/>
      <c r="EX89" s="60"/>
      <c r="EY89" s="60"/>
      <c r="EZ89" s="60"/>
      <c r="FA89" s="60"/>
      <c r="FB89" s="60"/>
      <c r="FC89" s="60"/>
      <c r="FD89" s="60"/>
      <c r="FE89" s="60"/>
      <c r="FF89" s="60"/>
      <c r="FG89" s="60"/>
      <c r="FH89" s="60"/>
      <c r="FI89" s="60"/>
      <c r="FJ89" s="60"/>
      <c r="FK89" s="60"/>
      <c r="FL89" s="60"/>
      <c r="FM89" s="60"/>
      <c r="FN89" s="60"/>
      <c r="FO89" s="60"/>
      <c r="FP89" s="60"/>
      <c r="FQ89" s="60"/>
      <c r="FR89" s="60"/>
      <c r="FS89" s="60"/>
      <c r="FT89" s="60"/>
      <c r="FU89" s="60"/>
      <c r="FV89" s="60"/>
      <c r="FW89" s="60"/>
      <c r="FX89" s="60"/>
      <c r="FY89" s="60"/>
      <c r="FZ89" s="60"/>
      <c r="GA89" s="60"/>
      <c r="GB89" s="60"/>
      <c r="GC89" s="60"/>
      <c r="GD89" s="60"/>
      <c r="GE89" s="60"/>
      <c r="GF89" s="60"/>
      <c r="GG89" s="60"/>
      <c r="GH89" s="60"/>
      <c r="GI89" s="60"/>
      <c r="GJ89" s="60"/>
      <c r="GK89" s="60"/>
      <c r="GL89" s="60"/>
      <c r="GM89" s="60"/>
      <c r="GN89" s="60"/>
      <c r="GO89" s="60"/>
      <c r="GP89" s="60"/>
      <c r="GQ89" s="60"/>
      <c r="GR89" s="60"/>
      <c r="GS89" s="60"/>
      <c r="GT89" s="60"/>
      <c r="GU89" s="60"/>
      <c r="GV89" s="60"/>
      <c r="GW89" s="60"/>
      <c r="GX89" s="60"/>
      <c r="GY89" s="60"/>
      <c r="GZ89" s="60"/>
      <c r="HA89" s="60"/>
      <c r="HB89" s="60"/>
      <c r="HC89" s="60"/>
      <c r="HD89" s="60"/>
      <c r="HE89" s="60"/>
      <c r="HF89" s="60"/>
      <c r="HG89" s="60"/>
      <c r="HH89" s="60"/>
      <c r="HI89" s="60"/>
      <c r="HJ89" s="60"/>
      <c r="HK89" s="60"/>
      <c r="HL89" s="60"/>
      <c r="HM89" s="60"/>
      <c r="HN89" s="60"/>
      <c r="HO89" s="60"/>
      <c r="HP89" s="60"/>
      <c r="HQ89" s="60"/>
      <c r="HR89" s="60"/>
      <c r="HS89" s="60"/>
      <c r="HT89" s="60"/>
      <c r="HU89" s="60"/>
      <c r="HV89" s="60"/>
      <c r="HW89" s="60"/>
      <c r="HX89" s="60"/>
      <c r="HY89" s="60"/>
      <c r="HZ89" s="60"/>
      <c r="IA89" s="60"/>
      <c r="IB89" s="60"/>
      <c r="IC89" s="60"/>
      <c r="ID89" s="60"/>
      <c r="IE89" s="60"/>
      <c r="IF89" s="60"/>
      <c r="IG89" s="60"/>
      <c r="IH89" s="60"/>
      <c r="II89" s="60"/>
      <c r="IJ89" s="60"/>
      <c r="IK89" s="60"/>
      <c r="IL89" s="60"/>
      <c r="IM89" s="60"/>
      <c r="IN89" s="60"/>
      <c r="IO89" s="60"/>
      <c r="IP89" s="60"/>
      <c r="IQ89" s="60"/>
      <c r="IR89" s="60"/>
      <c r="IS89" s="60"/>
      <c r="IT89" s="60"/>
      <c r="IU89" s="60"/>
      <c r="IV89" s="60"/>
      <c r="IW89" s="60"/>
      <c r="IX89" s="60"/>
      <c r="IY89" s="60"/>
      <c r="IZ89" s="60"/>
      <c r="JA89" s="60"/>
      <c r="JB89" s="60"/>
      <c r="JC89" s="60"/>
      <c r="JD89" s="60"/>
      <c r="JE89" s="60"/>
      <c r="JF89" s="60"/>
      <c r="JG89" s="60"/>
      <c r="JH89" s="60"/>
      <c r="JI89" s="60"/>
      <c r="JJ89" s="60"/>
      <c r="JK89" s="60"/>
      <c r="JL89" s="60"/>
      <c r="JM89" s="60"/>
      <c r="JN89" s="60"/>
      <c r="JO89" s="60"/>
      <c r="JP89" s="60"/>
      <c r="JQ89" s="60"/>
      <c r="JR89" s="60"/>
      <c r="JS89" s="60"/>
      <c r="JT89" s="60"/>
      <c r="JU89" s="60"/>
      <c r="JV89" s="60"/>
      <c r="JW89" s="60"/>
      <c r="JX89" s="60"/>
      <c r="JY89" s="60"/>
      <c r="JZ89" s="60"/>
      <c r="KA89" s="60"/>
      <c r="KB89" s="60"/>
      <c r="KC89" s="60"/>
      <c r="KD89" s="60"/>
      <c r="KE89" s="60"/>
      <c r="KF89" s="60"/>
      <c r="KG89" s="60"/>
      <c r="KH89" s="60"/>
      <c r="KI89" s="60"/>
      <c r="KJ89" s="60"/>
      <c r="KK89" s="60"/>
      <c r="KL89" s="60"/>
      <c r="KM89" s="60"/>
      <c r="KN89" s="60"/>
      <c r="KO89" s="60"/>
      <c r="KP89" s="60"/>
      <c r="KQ89" s="60"/>
      <c r="KR89" s="60"/>
      <c r="KS89" s="60"/>
      <c r="KT89" s="60"/>
      <c r="KU89" s="60"/>
      <c r="KV89" s="60"/>
      <c r="KW89" s="60"/>
      <c r="KX89" s="60"/>
      <c r="KY89" s="60"/>
      <c r="KZ89" s="60"/>
      <c r="LA89" s="60"/>
      <c r="LB89" s="60"/>
      <c r="LC89" s="60"/>
      <c r="LD89" s="60"/>
      <c r="LE89" s="60"/>
      <c r="LF89" s="60"/>
      <c r="LG89" s="60"/>
      <c r="LH89" s="60"/>
    </row>
    <row r="90" spans="1:320" s="17" customFormat="1" x14ac:dyDescent="0.25">
      <c r="A90" s="147"/>
      <c r="E90" s="156"/>
      <c r="F90" s="156"/>
      <c r="G90" s="156"/>
      <c r="H90" s="156"/>
      <c r="I90" s="156"/>
      <c r="J90" s="156"/>
      <c r="K90" s="156"/>
      <c r="L90" s="156"/>
      <c r="M90" s="156"/>
      <c r="N90" s="156"/>
      <c r="O90" s="156"/>
      <c r="P90" s="156"/>
      <c r="Q90" s="156"/>
      <c r="R90" s="156"/>
      <c r="S90" s="156"/>
      <c r="AC90" s="60"/>
      <c r="AD90" s="60"/>
      <c r="AE90" s="60"/>
      <c r="AF90" s="60"/>
      <c r="AG90" s="60"/>
      <c r="AH90" s="60"/>
      <c r="AI90" s="60"/>
      <c r="AJ90" s="60"/>
      <c r="AK90" s="60"/>
      <c r="AL90" s="60"/>
      <c r="AM90" s="60"/>
      <c r="AN90" s="60"/>
      <c r="AO90" s="60"/>
      <c r="AP90" s="60"/>
      <c r="AQ90" s="60"/>
      <c r="AR90" s="60"/>
      <c r="AS90" s="60"/>
      <c r="AT90" s="60"/>
      <c r="AU90" s="60"/>
      <c r="AV90" s="60"/>
      <c r="AW90" s="60"/>
      <c r="AX90" s="60"/>
      <c r="AY90" s="60"/>
      <c r="AZ90" s="60"/>
      <c r="BA90" s="60"/>
      <c r="BB90" s="60"/>
      <c r="BC90" s="60"/>
      <c r="BD90" s="60"/>
      <c r="BE90" s="60"/>
      <c r="BF90" s="60"/>
      <c r="BG90" s="60"/>
      <c r="BH90" s="60"/>
      <c r="BI90" s="60"/>
      <c r="BJ90" s="60"/>
      <c r="BK90" s="60"/>
      <c r="BL90" s="60"/>
      <c r="BM90" s="60"/>
      <c r="BN90" s="60"/>
      <c r="BO90" s="60"/>
      <c r="BP90" s="60"/>
      <c r="BQ90" s="60"/>
      <c r="BR90" s="60"/>
      <c r="BS90" s="60"/>
      <c r="BT90" s="60"/>
      <c r="BU90" s="60"/>
      <c r="BV90" s="60"/>
      <c r="BW90" s="60"/>
      <c r="BX90" s="60"/>
      <c r="BY90" s="60"/>
      <c r="BZ90" s="60"/>
      <c r="CA90" s="60"/>
      <c r="CB90" s="60"/>
      <c r="CC90" s="60"/>
      <c r="CD90" s="60"/>
      <c r="CE90" s="60"/>
      <c r="CF90" s="60"/>
      <c r="CG90" s="60"/>
      <c r="CH90" s="60"/>
      <c r="CI90" s="60"/>
      <c r="CJ90" s="60"/>
      <c r="CK90" s="60"/>
      <c r="CL90" s="60"/>
      <c r="CM90" s="60"/>
      <c r="CN90" s="60"/>
      <c r="CO90" s="60"/>
      <c r="CP90" s="60"/>
      <c r="CQ90" s="60"/>
      <c r="CR90" s="60"/>
      <c r="CS90" s="60"/>
      <c r="CT90" s="60"/>
      <c r="CU90" s="60"/>
      <c r="CV90" s="60"/>
      <c r="CW90" s="60"/>
      <c r="CX90" s="60"/>
      <c r="CY90" s="60"/>
      <c r="CZ90" s="60"/>
      <c r="DA90" s="60"/>
      <c r="DB90" s="60"/>
      <c r="DC90" s="60"/>
      <c r="DD90" s="60"/>
      <c r="DE90" s="60"/>
      <c r="DF90" s="60"/>
      <c r="DG90" s="60"/>
      <c r="DH90" s="60"/>
      <c r="DI90" s="60"/>
      <c r="DJ90" s="60"/>
      <c r="DK90" s="60"/>
      <c r="DL90" s="60"/>
      <c r="DM90" s="60"/>
      <c r="DN90" s="60"/>
      <c r="DO90" s="60"/>
      <c r="DP90" s="60"/>
      <c r="DQ90" s="60"/>
      <c r="DR90" s="60"/>
      <c r="DS90" s="60"/>
      <c r="DT90" s="60"/>
      <c r="DU90" s="60"/>
      <c r="DV90" s="60"/>
      <c r="DW90" s="60"/>
      <c r="DX90" s="60"/>
      <c r="DY90" s="60"/>
      <c r="DZ90" s="60"/>
      <c r="EA90" s="60"/>
      <c r="EB90" s="60"/>
      <c r="EC90" s="60"/>
      <c r="ED90" s="60"/>
      <c r="EE90" s="60"/>
      <c r="EF90" s="60"/>
      <c r="EG90" s="60"/>
      <c r="EH90" s="60"/>
      <c r="EI90" s="60"/>
      <c r="EJ90" s="60"/>
      <c r="EK90" s="60"/>
      <c r="EL90" s="60"/>
      <c r="EM90" s="60"/>
      <c r="EN90" s="60"/>
      <c r="EO90" s="60"/>
      <c r="EP90" s="60"/>
      <c r="EQ90" s="60"/>
      <c r="ER90" s="60"/>
      <c r="ES90" s="60"/>
      <c r="ET90" s="60"/>
      <c r="EU90" s="60"/>
      <c r="EV90" s="60"/>
      <c r="EW90" s="60"/>
      <c r="EX90" s="60"/>
      <c r="EY90" s="60"/>
      <c r="EZ90" s="60"/>
      <c r="FA90" s="60"/>
      <c r="FB90" s="60"/>
      <c r="FC90" s="60"/>
      <c r="FD90" s="60"/>
      <c r="FE90" s="60"/>
      <c r="FF90" s="60"/>
      <c r="FG90" s="60"/>
      <c r="FH90" s="60"/>
      <c r="FI90" s="60"/>
      <c r="FJ90" s="60"/>
      <c r="FK90" s="60"/>
      <c r="FL90" s="60"/>
      <c r="FM90" s="60"/>
      <c r="FN90" s="60"/>
      <c r="FO90" s="60"/>
      <c r="FP90" s="60"/>
      <c r="FQ90" s="60"/>
      <c r="FR90" s="60"/>
      <c r="FS90" s="60"/>
      <c r="FT90" s="60"/>
      <c r="FU90" s="60"/>
      <c r="FV90" s="60"/>
      <c r="FW90" s="60"/>
      <c r="FX90" s="60"/>
      <c r="FY90" s="60"/>
      <c r="FZ90" s="60"/>
      <c r="GA90" s="60"/>
      <c r="GB90" s="60"/>
      <c r="GC90" s="60"/>
      <c r="GD90" s="60"/>
      <c r="GE90" s="60"/>
      <c r="GF90" s="60"/>
      <c r="GG90" s="60"/>
      <c r="GH90" s="60"/>
      <c r="GI90" s="60"/>
      <c r="GJ90" s="60"/>
      <c r="GK90" s="60"/>
      <c r="GL90" s="60"/>
      <c r="GM90" s="60"/>
      <c r="GN90" s="60"/>
      <c r="GO90" s="60"/>
      <c r="GP90" s="60"/>
      <c r="GQ90" s="60"/>
      <c r="GR90" s="60"/>
      <c r="GS90" s="60"/>
      <c r="GT90" s="60"/>
      <c r="GU90" s="60"/>
      <c r="GV90" s="60"/>
      <c r="GW90" s="60"/>
      <c r="GX90" s="60"/>
      <c r="GY90" s="60"/>
      <c r="GZ90" s="60"/>
      <c r="HA90" s="60"/>
      <c r="HB90" s="60"/>
      <c r="HC90" s="60"/>
      <c r="HD90" s="60"/>
      <c r="HE90" s="60"/>
      <c r="HF90" s="60"/>
      <c r="HG90" s="60"/>
      <c r="HH90" s="60"/>
      <c r="HI90" s="60"/>
      <c r="HJ90" s="60"/>
      <c r="HK90" s="60"/>
      <c r="HL90" s="60"/>
      <c r="HM90" s="60"/>
      <c r="HN90" s="60"/>
      <c r="HO90" s="60"/>
      <c r="HP90" s="60"/>
      <c r="HQ90" s="60"/>
      <c r="HR90" s="60"/>
      <c r="HS90" s="60"/>
      <c r="HT90" s="60"/>
      <c r="HU90" s="60"/>
      <c r="HV90" s="60"/>
      <c r="HW90" s="60"/>
      <c r="HX90" s="60"/>
      <c r="HY90" s="60"/>
      <c r="HZ90" s="60"/>
      <c r="IA90" s="60"/>
      <c r="IB90" s="60"/>
      <c r="IC90" s="60"/>
      <c r="ID90" s="60"/>
      <c r="IE90" s="60"/>
      <c r="IF90" s="60"/>
      <c r="IG90" s="60"/>
      <c r="IH90" s="60"/>
      <c r="II90" s="60"/>
      <c r="IJ90" s="60"/>
      <c r="IK90" s="60"/>
      <c r="IL90" s="60"/>
      <c r="IM90" s="60"/>
      <c r="IN90" s="60"/>
      <c r="IO90" s="60"/>
      <c r="IP90" s="60"/>
      <c r="IQ90" s="60"/>
      <c r="IR90" s="60"/>
      <c r="IS90" s="60"/>
      <c r="IT90" s="60"/>
      <c r="IU90" s="60"/>
      <c r="IV90" s="60"/>
      <c r="IW90" s="60"/>
      <c r="IX90" s="60"/>
      <c r="IY90" s="60"/>
      <c r="IZ90" s="60"/>
      <c r="JA90" s="60"/>
      <c r="JB90" s="60"/>
      <c r="JC90" s="60"/>
      <c r="JD90" s="60"/>
      <c r="JE90" s="60"/>
      <c r="JF90" s="60"/>
      <c r="JG90" s="60"/>
      <c r="JH90" s="60"/>
      <c r="JI90" s="60"/>
      <c r="JJ90" s="60"/>
      <c r="JK90" s="60"/>
      <c r="JL90" s="60"/>
      <c r="JM90" s="60"/>
      <c r="JN90" s="60"/>
      <c r="JO90" s="60"/>
      <c r="JP90" s="60"/>
      <c r="JQ90" s="60"/>
      <c r="JR90" s="60"/>
      <c r="JS90" s="60"/>
      <c r="JT90" s="60"/>
      <c r="JU90" s="60"/>
      <c r="JV90" s="60"/>
      <c r="JW90" s="60"/>
      <c r="JX90" s="60"/>
      <c r="JY90" s="60"/>
      <c r="JZ90" s="60"/>
      <c r="KA90" s="60"/>
      <c r="KB90" s="60"/>
      <c r="KC90" s="60"/>
      <c r="KD90" s="60"/>
      <c r="KE90" s="60"/>
      <c r="KF90" s="60"/>
      <c r="KG90" s="60"/>
      <c r="KH90" s="60"/>
      <c r="KI90" s="60"/>
      <c r="KJ90" s="60"/>
      <c r="KK90" s="60"/>
      <c r="KL90" s="60"/>
      <c r="KM90" s="60"/>
      <c r="KN90" s="60"/>
      <c r="KO90" s="60"/>
      <c r="KP90" s="60"/>
      <c r="KQ90" s="60"/>
      <c r="KR90" s="60"/>
      <c r="KS90" s="60"/>
      <c r="KT90" s="60"/>
      <c r="KU90" s="60"/>
      <c r="KV90" s="60"/>
      <c r="KW90" s="60"/>
      <c r="KX90" s="60"/>
      <c r="KY90" s="60"/>
      <c r="KZ90" s="60"/>
      <c r="LA90" s="60"/>
      <c r="LB90" s="60"/>
      <c r="LC90" s="60"/>
      <c r="LD90" s="60"/>
      <c r="LE90" s="60"/>
      <c r="LF90" s="60"/>
      <c r="LG90" s="60"/>
      <c r="LH90" s="60"/>
    </row>
    <row r="91" spans="1:320" s="17" customFormat="1" x14ac:dyDescent="0.25">
      <c r="A91" s="147"/>
      <c r="E91" s="156"/>
      <c r="F91" s="156"/>
      <c r="G91" s="156"/>
      <c r="H91" s="156"/>
      <c r="I91" s="156"/>
      <c r="J91" s="156"/>
      <c r="K91" s="156"/>
      <c r="L91" s="156"/>
      <c r="M91" s="156"/>
      <c r="N91" s="156"/>
      <c r="O91" s="156"/>
      <c r="P91" s="156"/>
      <c r="Q91" s="156"/>
      <c r="R91" s="156"/>
      <c r="S91" s="156"/>
      <c r="AC91" s="60"/>
      <c r="AD91" s="60"/>
      <c r="AE91" s="60"/>
      <c r="AF91" s="60"/>
      <c r="AG91" s="60"/>
      <c r="AH91" s="60"/>
      <c r="AI91" s="60"/>
      <c r="AJ91" s="60"/>
      <c r="AK91" s="60"/>
      <c r="AL91" s="60"/>
      <c r="AM91" s="60"/>
      <c r="AN91" s="60"/>
      <c r="AO91" s="60"/>
      <c r="AP91" s="60"/>
      <c r="AQ91" s="60"/>
      <c r="AR91" s="60"/>
      <c r="AS91" s="60"/>
      <c r="AT91" s="60"/>
      <c r="AU91" s="60"/>
      <c r="AV91" s="60"/>
      <c r="AW91" s="60"/>
      <c r="AX91" s="60"/>
      <c r="AY91" s="60"/>
      <c r="AZ91" s="60"/>
      <c r="BA91" s="60"/>
      <c r="BB91" s="60"/>
      <c r="BC91" s="60"/>
      <c r="BD91" s="60"/>
      <c r="BE91" s="60"/>
      <c r="BF91" s="60"/>
      <c r="BG91" s="60"/>
      <c r="BH91" s="60"/>
      <c r="BI91" s="60"/>
      <c r="BJ91" s="60"/>
      <c r="BK91" s="60"/>
      <c r="BL91" s="60"/>
      <c r="BM91" s="60"/>
      <c r="BN91" s="60"/>
      <c r="BO91" s="60"/>
      <c r="BP91" s="60"/>
      <c r="BQ91" s="60"/>
      <c r="BR91" s="60"/>
      <c r="BS91" s="60"/>
      <c r="BT91" s="60"/>
      <c r="BU91" s="60"/>
      <c r="BV91" s="60"/>
      <c r="BW91" s="60"/>
      <c r="BX91" s="60"/>
      <c r="BY91" s="60"/>
      <c r="BZ91" s="60"/>
      <c r="CA91" s="60"/>
      <c r="CB91" s="60"/>
      <c r="CC91" s="60"/>
      <c r="CD91" s="60"/>
      <c r="CE91" s="60"/>
      <c r="CF91" s="60"/>
      <c r="CG91" s="60"/>
      <c r="CH91" s="60"/>
      <c r="CI91" s="60"/>
      <c r="CJ91" s="60"/>
      <c r="CK91" s="60"/>
      <c r="CL91" s="60"/>
      <c r="CM91" s="60"/>
      <c r="CN91" s="60"/>
      <c r="CO91" s="60"/>
      <c r="CP91" s="60"/>
      <c r="CQ91" s="60"/>
      <c r="CR91" s="60"/>
      <c r="CS91" s="60"/>
      <c r="CT91" s="60"/>
      <c r="CU91" s="60"/>
      <c r="CV91" s="60"/>
      <c r="CW91" s="60"/>
      <c r="CX91" s="60"/>
      <c r="CY91" s="60"/>
      <c r="CZ91" s="60"/>
      <c r="DA91" s="60"/>
      <c r="DB91" s="60"/>
      <c r="DC91" s="60"/>
      <c r="DD91" s="60"/>
      <c r="DE91" s="60"/>
      <c r="DF91" s="60"/>
      <c r="DG91" s="60"/>
      <c r="DH91" s="60"/>
      <c r="DI91" s="60"/>
      <c r="DJ91" s="60"/>
      <c r="DK91" s="60"/>
      <c r="DL91" s="60"/>
      <c r="DM91" s="60"/>
      <c r="DN91" s="60"/>
      <c r="DO91" s="60"/>
      <c r="DP91" s="60"/>
      <c r="DQ91" s="60"/>
      <c r="DR91" s="60"/>
      <c r="DS91" s="60"/>
      <c r="DT91" s="60"/>
      <c r="DU91" s="60"/>
      <c r="DV91" s="60"/>
      <c r="DW91" s="60"/>
      <c r="DX91" s="60"/>
      <c r="DY91" s="60"/>
      <c r="DZ91" s="60"/>
      <c r="EA91" s="60"/>
      <c r="EB91" s="60"/>
      <c r="EC91" s="60"/>
      <c r="ED91" s="60"/>
      <c r="EE91" s="60"/>
      <c r="EF91" s="60"/>
      <c r="EG91" s="60"/>
      <c r="EH91" s="60"/>
      <c r="EI91" s="60"/>
      <c r="EJ91" s="60"/>
      <c r="EK91" s="60"/>
      <c r="EL91" s="60"/>
      <c r="EM91" s="60"/>
      <c r="EN91" s="60"/>
      <c r="EO91" s="60"/>
      <c r="EP91" s="60"/>
      <c r="EQ91" s="60"/>
      <c r="ER91" s="60"/>
      <c r="ES91" s="60"/>
      <c r="ET91" s="60"/>
      <c r="EU91" s="60"/>
      <c r="EV91" s="60"/>
      <c r="EW91" s="60"/>
      <c r="EX91" s="60"/>
      <c r="EY91" s="60"/>
      <c r="EZ91" s="60"/>
      <c r="FA91" s="60"/>
      <c r="FB91" s="60"/>
      <c r="FC91" s="60"/>
      <c r="FD91" s="60"/>
      <c r="FE91" s="60"/>
      <c r="FF91" s="60"/>
      <c r="FG91" s="60"/>
      <c r="FH91" s="60"/>
      <c r="FI91" s="60"/>
      <c r="FJ91" s="60"/>
      <c r="FK91" s="60"/>
      <c r="FL91" s="60"/>
      <c r="FM91" s="60"/>
      <c r="FN91" s="60"/>
      <c r="FO91" s="60"/>
      <c r="FP91" s="60"/>
      <c r="FQ91" s="60"/>
      <c r="FR91" s="60"/>
      <c r="FS91" s="60"/>
      <c r="FT91" s="60"/>
      <c r="FU91" s="60"/>
      <c r="FV91" s="60"/>
      <c r="FW91" s="60"/>
      <c r="FX91" s="60"/>
      <c r="FY91" s="60"/>
      <c r="FZ91" s="60"/>
      <c r="GA91" s="60"/>
      <c r="GB91" s="60"/>
      <c r="GC91" s="60"/>
      <c r="GD91" s="60"/>
      <c r="GE91" s="60"/>
      <c r="GF91" s="60"/>
      <c r="GG91" s="60"/>
      <c r="GH91" s="60"/>
      <c r="GI91" s="60"/>
      <c r="GJ91" s="60"/>
      <c r="GK91" s="60"/>
      <c r="GL91" s="60"/>
      <c r="GM91" s="60"/>
      <c r="GN91" s="60"/>
      <c r="GO91" s="60"/>
      <c r="GP91" s="60"/>
      <c r="GQ91" s="60"/>
      <c r="GR91" s="60"/>
      <c r="GS91" s="60"/>
      <c r="GT91" s="60"/>
      <c r="GU91" s="60"/>
      <c r="GV91" s="60"/>
      <c r="GW91" s="60"/>
      <c r="GX91" s="60"/>
      <c r="GY91" s="60"/>
      <c r="GZ91" s="60"/>
      <c r="HA91" s="60"/>
      <c r="HB91" s="60"/>
      <c r="HC91" s="60"/>
      <c r="HD91" s="60"/>
      <c r="HE91" s="60"/>
      <c r="HF91" s="60"/>
      <c r="HG91" s="60"/>
      <c r="HH91" s="60"/>
      <c r="HI91" s="60"/>
      <c r="HJ91" s="60"/>
      <c r="HK91" s="60"/>
      <c r="HL91" s="60"/>
      <c r="HM91" s="60"/>
      <c r="HN91" s="60"/>
      <c r="HO91" s="60"/>
      <c r="HP91" s="60"/>
      <c r="HQ91" s="60"/>
      <c r="HR91" s="60"/>
      <c r="HS91" s="60"/>
      <c r="HT91" s="60"/>
      <c r="HU91" s="60"/>
      <c r="HV91" s="60"/>
      <c r="HW91" s="60"/>
      <c r="HX91" s="60"/>
      <c r="HY91" s="60"/>
      <c r="HZ91" s="60"/>
      <c r="IA91" s="60"/>
      <c r="IB91" s="60"/>
      <c r="IC91" s="60"/>
      <c r="ID91" s="60"/>
      <c r="IE91" s="60"/>
      <c r="IF91" s="60"/>
      <c r="IG91" s="60"/>
      <c r="IH91" s="60"/>
      <c r="II91" s="60"/>
      <c r="IJ91" s="60"/>
      <c r="IK91" s="60"/>
      <c r="IL91" s="60"/>
      <c r="IM91" s="60"/>
      <c r="IN91" s="60"/>
      <c r="IO91" s="60"/>
      <c r="IP91" s="60"/>
      <c r="IQ91" s="60"/>
      <c r="IR91" s="60"/>
      <c r="IS91" s="60"/>
      <c r="IT91" s="60"/>
      <c r="IU91" s="60"/>
      <c r="IV91" s="60"/>
      <c r="IW91" s="60"/>
      <c r="IX91" s="60"/>
      <c r="IY91" s="60"/>
      <c r="IZ91" s="60"/>
      <c r="JA91" s="60"/>
      <c r="JB91" s="60"/>
      <c r="JC91" s="60"/>
      <c r="JD91" s="60"/>
      <c r="JE91" s="60"/>
      <c r="JF91" s="60"/>
      <c r="JG91" s="60"/>
      <c r="JH91" s="60"/>
      <c r="JI91" s="60"/>
      <c r="JJ91" s="60"/>
      <c r="JK91" s="60"/>
      <c r="JL91" s="60"/>
      <c r="JM91" s="60"/>
      <c r="JN91" s="60"/>
      <c r="JO91" s="60"/>
      <c r="JP91" s="60"/>
      <c r="JQ91" s="60"/>
      <c r="JR91" s="60"/>
      <c r="JS91" s="60"/>
      <c r="JT91" s="60"/>
      <c r="JU91" s="60"/>
      <c r="JV91" s="60"/>
      <c r="JW91" s="60"/>
      <c r="JX91" s="60"/>
      <c r="JY91" s="60"/>
      <c r="JZ91" s="60"/>
      <c r="KA91" s="60"/>
      <c r="KB91" s="60"/>
      <c r="KC91" s="60"/>
      <c r="KD91" s="60"/>
      <c r="KE91" s="60"/>
      <c r="KF91" s="60"/>
      <c r="KG91" s="60"/>
      <c r="KH91" s="60"/>
      <c r="KI91" s="60"/>
      <c r="KJ91" s="60"/>
      <c r="KK91" s="60"/>
      <c r="KL91" s="60"/>
      <c r="KM91" s="60"/>
      <c r="KN91" s="60"/>
      <c r="KO91" s="60"/>
      <c r="KP91" s="60"/>
      <c r="KQ91" s="60"/>
      <c r="KR91" s="60"/>
      <c r="KS91" s="60"/>
      <c r="KT91" s="60"/>
      <c r="KU91" s="60"/>
      <c r="KV91" s="60"/>
      <c r="KW91" s="60"/>
      <c r="KX91" s="60"/>
      <c r="KY91" s="60"/>
      <c r="KZ91" s="60"/>
      <c r="LA91" s="60"/>
      <c r="LB91" s="60"/>
      <c r="LC91" s="60"/>
      <c r="LD91" s="60"/>
      <c r="LE91" s="60"/>
      <c r="LF91" s="60"/>
      <c r="LG91" s="60"/>
      <c r="LH91" s="60"/>
    </row>
    <row r="92" spans="1:320" s="17" customFormat="1" x14ac:dyDescent="0.25">
      <c r="A92" s="147"/>
      <c r="E92" s="156"/>
      <c r="F92" s="156"/>
      <c r="G92" s="156"/>
      <c r="H92" s="156"/>
      <c r="I92" s="156"/>
      <c r="J92" s="156"/>
      <c r="K92" s="156"/>
      <c r="L92" s="156"/>
      <c r="M92" s="156"/>
      <c r="N92" s="156"/>
      <c r="O92" s="156"/>
      <c r="P92" s="156"/>
      <c r="Q92" s="156"/>
      <c r="R92" s="156"/>
      <c r="S92" s="156"/>
      <c r="AC92" s="60"/>
      <c r="AD92" s="60"/>
      <c r="AE92" s="60"/>
      <c r="AF92" s="60"/>
      <c r="AG92" s="60"/>
      <c r="AH92" s="60"/>
      <c r="AI92" s="60"/>
      <c r="AJ92" s="60"/>
      <c r="AK92" s="60"/>
      <c r="AL92" s="60"/>
      <c r="AM92" s="60"/>
      <c r="AN92" s="60"/>
      <c r="AO92" s="60"/>
      <c r="AP92" s="60"/>
      <c r="AQ92" s="60"/>
      <c r="AR92" s="60"/>
      <c r="AS92" s="60"/>
      <c r="AT92" s="60"/>
      <c r="AU92" s="60"/>
      <c r="AV92" s="60"/>
      <c r="AW92" s="60"/>
      <c r="AX92" s="60"/>
      <c r="AY92" s="60"/>
      <c r="AZ92" s="60"/>
      <c r="BA92" s="60"/>
      <c r="BB92" s="60"/>
      <c r="BC92" s="60"/>
      <c r="BD92" s="60"/>
      <c r="BE92" s="60"/>
      <c r="BF92" s="60"/>
      <c r="BG92" s="60"/>
      <c r="BH92" s="60"/>
      <c r="BI92" s="60"/>
      <c r="BJ92" s="60"/>
      <c r="BK92" s="60"/>
      <c r="BL92" s="60"/>
      <c r="BM92" s="60"/>
      <c r="BN92" s="60"/>
      <c r="BO92" s="60"/>
      <c r="BP92" s="60"/>
      <c r="BQ92" s="60"/>
      <c r="BR92" s="60"/>
      <c r="BS92" s="60"/>
      <c r="BT92" s="60"/>
      <c r="BU92" s="60"/>
      <c r="BV92" s="60"/>
      <c r="BW92" s="60"/>
      <c r="BX92" s="60"/>
      <c r="BY92" s="60"/>
      <c r="BZ92" s="60"/>
      <c r="CA92" s="60"/>
      <c r="CB92" s="60"/>
      <c r="CC92" s="60"/>
      <c r="CD92" s="60"/>
      <c r="CE92" s="60"/>
      <c r="CF92" s="60"/>
      <c r="CG92" s="60"/>
      <c r="CH92" s="60"/>
      <c r="CI92" s="60"/>
      <c r="CJ92" s="60"/>
      <c r="CK92" s="60"/>
      <c r="CL92" s="60"/>
      <c r="CM92" s="60"/>
      <c r="CN92" s="60"/>
      <c r="CO92" s="60"/>
      <c r="CP92" s="60"/>
      <c r="CQ92" s="60"/>
      <c r="CR92" s="60"/>
      <c r="CS92" s="60"/>
      <c r="CT92" s="60"/>
      <c r="CU92" s="60"/>
      <c r="CV92" s="60"/>
      <c r="CW92" s="60"/>
      <c r="CX92" s="60"/>
      <c r="CY92" s="60"/>
      <c r="CZ92" s="60"/>
      <c r="DA92" s="60"/>
      <c r="DB92" s="60"/>
      <c r="DC92" s="60"/>
      <c r="DD92" s="60"/>
      <c r="DE92" s="60"/>
      <c r="DF92" s="60"/>
      <c r="DG92" s="60"/>
      <c r="DH92" s="60"/>
      <c r="DI92" s="60"/>
      <c r="DJ92" s="60"/>
      <c r="DK92" s="60"/>
      <c r="DL92" s="60"/>
      <c r="DM92" s="60"/>
      <c r="DN92" s="60"/>
      <c r="DO92" s="60"/>
      <c r="DP92" s="60"/>
      <c r="DQ92" s="60"/>
      <c r="DR92" s="60"/>
      <c r="DS92" s="60"/>
      <c r="DT92" s="60"/>
      <c r="DU92" s="60"/>
      <c r="DV92" s="60"/>
      <c r="DW92" s="60"/>
      <c r="DX92" s="60"/>
      <c r="DY92" s="60"/>
      <c r="DZ92" s="60"/>
      <c r="EA92" s="60"/>
      <c r="EB92" s="60"/>
      <c r="EC92" s="60"/>
      <c r="ED92" s="60"/>
      <c r="EE92" s="60"/>
      <c r="EF92" s="60"/>
      <c r="EG92" s="60"/>
      <c r="EH92" s="60"/>
      <c r="EI92" s="60"/>
      <c r="EJ92" s="60"/>
      <c r="EK92" s="60"/>
      <c r="EL92" s="60"/>
      <c r="EM92" s="60"/>
      <c r="EN92" s="60"/>
      <c r="EO92" s="60"/>
      <c r="EP92" s="60"/>
      <c r="EQ92" s="60"/>
      <c r="ER92" s="60"/>
      <c r="ES92" s="60"/>
      <c r="ET92" s="60"/>
      <c r="EU92" s="60"/>
      <c r="EV92" s="60"/>
      <c r="EW92" s="60"/>
      <c r="EX92" s="60"/>
      <c r="EY92" s="60"/>
      <c r="EZ92" s="60"/>
      <c r="FA92" s="60"/>
      <c r="FB92" s="60"/>
      <c r="FC92" s="60"/>
      <c r="FD92" s="60"/>
      <c r="FE92" s="60"/>
      <c r="FF92" s="60"/>
      <c r="FG92" s="60"/>
      <c r="FH92" s="60"/>
      <c r="FI92" s="60"/>
      <c r="FJ92" s="60"/>
      <c r="FK92" s="60"/>
      <c r="FL92" s="60"/>
      <c r="FM92" s="60"/>
      <c r="FN92" s="60"/>
      <c r="FO92" s="60"/>
      <c r="FP92" s="60"/>
      <c r="FQ92" s="60"/>
      <c r="FR92" s="60"/>
      <c r="FS92" s="60"/>
      <c r="FT92" s="60"/>
      <c r="FU92" s="60"/>
      <c r="FV92" s="60"/>
      <c r="FW92" s="60"/>
      <c r="FX92" s="60"/>
      <c r="FY92" s="60"/>
      <c r="FZ92" s="60"/>
      <c r="GA92" s="60"/>
      <c r="GB92" s="60"/>
      <c r="GC92" s="60"/>
      <c r="GD92" s="60"/>
      <c r="GE92" s="60"/>
      <c r="GF92" s="60"/>
      <c r="GG92" s="60"/>
      <c r="GH92" s="60"/>
      <c r="GI92" s="60"/>
      <c r="GJ92" s="60"/>
      <c r="GK92" s="60"/>
      <c r="GL92" s="60"/>
      <c r="GM92" s="60"/>
      <c r="GN92" s="60"/>
      <c r="GO92" s="60"/>
      <c r="GP92" s="60"/>
      <c r="GQ92" s="60"/>
      <c r="GR92" s="60"/>
      <c r="GS92" s="60"/>
      <c r="GT92" s="60"/>
      <c r="GU92" s="60"/>
      <c r="GV92" s="60"/>
      <c r="GW92" s="60"/>
      <c r="GX92" s="60"/>
      <c r="GY92" s="60"/>
      <c r="GZ92" s="60"/>
      <c r="HA92" s="60"/>
      <c r="HB92" s="60"/>
      <c r="HC92" s="60"/>
      <c r="HD92" s="60"/>
      <c r="HE92" s="60"/>
      <c r="HF92" s="60"/>
      <c r="HG92" s="60"/>
      <c r="HH92" s="60"/>
      <c r="HI92" s="60"/>
      <c r="HJ92" s="60"/>
      <c r="HK92" s="60"/>
      <c r="HL92" s="60"/>
      <c r="HM92" s="60"/>
      <c r="HN92" s="60"/>
      <c r="HO92" s="60"/>
      <c r="HP92" s="60"/>
      <c r="HQ92" s="60"/>
      <c r="HR92" s="60"/>
      <c r="HS92" s="60"/>
      <c r="HT92" s="60"/>
      <c r="HU92" s="60"/>
      <c r="HV92" s="60"/>
      <c r="HW92" s="60"/>
      <c r="HX92" s="60"/>
      <c r="HY92" s="60"/>
      <c r="HZ92" s="60"/>
      <c r="IA92" s="60"/>
      <c r="IB92" s="60"/>
      <c r="IC92" s="60"/>
      <c r="ID92" s="60"/>
      <c r="IE92" s="60"/>
      <c r="IF92" s="60"/>
      <c r="IG92" s="60"/>
      <c r="IH92" s="60"/>
      <c r="II92" s="60"/>
      <c r="IJ92" s="60"/>
      <c r="IK92" s="60"/>
      <c r="IL92" s="60"/>
      <c r="IM92" s="60"/>
      <c r="IN92" s="60"/>
      <c r="IO92" s="60"/>
      <c r="IP92" s="60"/>
      <c r="IQ92" s="60"/>
      <c r="IR92" s="60"/>
      <c r="IS92" s="60"/>
      <c r="IT92" s="60"/>
      <c r="IU92" s="60"/>
      <c r="IV92" s="60"/>
      <c r="IW92" s="60"/>
      <c r="IX92" s="60"/>
      <c r="IY92" s="60"/>
      <c r="IZ92" s="60"/>
      <c r="JA92" s="60"/>
      <c r="JB92" s="60"/>
      <c r="JC92" s="60"/>
      <c r="JD92" s="60"/>
      <c r="JE92" s="60"/>
      <c r="JF92" s="60"/>
      <c r="JG92" s="60"/>
      <c r="JH92" s="60"/>
      <c r="JI92" s="60"/>
      <c r="JJ92" s="60"/>
      <c r="JK92" s="60"/>
      <c r="JL92" s="60"/>
      <c r="JM92" s="60"/>
      <c r="JN92" s="60"/>
      <c r="JO92" s="60"/>
      <c r="JP92" s="60"/>
      <c r="JQ92" s="60"/>
      <c r="JR92" s="60"/>
      <c r="JS92" s="60"/>
      <c r="JT92" s="60"/>
      <c r="JU92" s="60"/>
      <c r="JV92" s="60"/>
      <c r="JW92" s="60"/>
      <c r="JX92" s="60"/>
      <c r="JY92" s="60"/>
      <c r="JZ92" s="60"/>
      <c r="KA92" s="60"/>
      <c r="KB92" s="60"/>
      <c r="KC92" s="60"/>
      <c r="KD92" s="60"/>
      <c r="KE92" s="60"/>
      <c r="KF92" s="60"/>
      <c r="KG92" s="60"/>
      <c r="KH92" s="60"/>
      <c r="KI92" s="60"/>
      <c r="KJ92" s="60"/>
      <c r="KK92" s="60"/>
      <c r="KL92" s="60"/>
      <c r="KM92" s="60"/>
      <c r="KN92" s="60"/>
      <c r="KO92" s="60"/>
      <c r="KP92" s="60"/>
      <c r="KQ92" s="60"/>
      <c r="KR92" s="60"/>
      <c r="KS92" s="60"/>
      <c r="KT92" s="60"/>
      <c r="KU92" s="60"/>
      <c r="KV92" s="60"/>
      <c r="KW92" s="60"/>
      <c r="KX92" s="60"/>
      <c r="KY92" s="60"/>
      <c r="KZ92" s="60"/>
      <c r="LA92" s="60"/>
      <c r="LB92" s="60"/>
      <c r="LC92" s="60"/>
      <c r="LD92" s="60"/>
      <c r="LE92" s="60"/>
      <c r="LF92" s="60"/>
      <c r="LG92" s="60"/>
      <c r="LH92" s="60"/>
    </row>
    <row r="93" spans="1:320" s="17" customFormat="1" x14ac:dyDescent="0.25">
      <c r="A93" s="147"/>
      <c r="E93" s="156"/>
      <c r="F93" s="156"/>
      <c r="G93" s="156"/>
      <c r="H93" s="156"/>
      <c r="I93" s="156"/>
      <c r="J93" s="156"/>
      <c r="K93" s="156"/>
      <c r="L93" s="156"/>
      <c r="M93" s="156"/>
      <c r="N93" s="156"/>
      <c r="O93" s="156"/>
      <c r="P93" s="156"/>
      <c r="Q93" s="156"/>
      <c r="R93" s="156"/>
      <c r="S93" s="156"/>
      <c r="AC93" s="60"/>
      <c r="AD93" s="60"/>
      <c r="AE93" s="60"/>
      <c r="AF93" s="60"/>
      <c r="AG93" s="60"/>
      <c r="AH93" s="60"/>
      <c r="AI93" s="60"/>
      <c r="AJ93" s="60"/>
      <c r="AK93" s="60"/>
      <c r="AL93" s="60"/>
      <c r="AM93" s="60"/>
      <c r="AN93" s="60"/>
      <c r="AO93" s="60"/>
      <c r="AP93" s="60"/>
      <c r="AQ93" s="60"/>
      <c r="AR93" s="60"/>
      <c r="AS93" s="60"/>
      <c r="AT93" s="60"/>
      <c r="AU93" s="60"/>
      <c r="AV93" s="60"/>
      <c r="AW93" s="60"/>
      <c r="AX93" s="60"/>
      <c r="AY93" s="60"/>
      <c r="AZ93" s="60"/>
      <c r="BA93" s="60"/>
      <c r="BB93" s="60"/>
      <c r="BC93" s="60"/>
      <c r="BD93" s="60"/>
      <c r="BE93" s="60"/>
      <c r="BF93" s="60"/>
      <c r="BG93" s="60"/>
      <c r="BH93" s="60"/>
      <c r="BI93" s="60"/>
      <c r="BJ93" s="60"/>
      <c r="BK93" s="60"/>
      <c r="BL93" s="60"/>
      <c r="BM93" s="60"/>
      <c r="BN93" s="60"/>
      <c r="BO93" s="60"/>
      <c r="BP93" s="60"/>
      <c r="BQ93" s="60"/>
      <c r="BR93" s="60"/>
      <c r="BS93" s="60"/>
      <c r="BT93" s="60"/>
      <c r="BU93" s="60"/>
      <c r="BV93" s="60"/>
      <c r="BW93" s="60"/>
      <c r="BX93" s="60"/>
      <c r="BY93" s="60"/>
      <c r="BZ93" s="60"/>
      <c r="CA93" s="60"/>
      <c r="CB93" s="60"/>
      <c r="CC93" s="60"/>
      <c r="CD93" s="60"/>
      <c r="CE93" s="60"/>
      <c r="CF93" s="60"/>
      <c r="CG93" s="60"/>
      <c r="CH93" s="60"/>
      <c r="CI93" s="60"/>
      <c r="CJ93" s="60"/>
      <c r="CK93" s="60"/>
      <c r="CL93" s="60"/>
      <c r="CM93" s="60"/>
      <c r="CN93" s="60"/>
      <c r="CO93" s="60"/>
      <c r="CP93" s="60"/>
      <c r="CQ93" s="60"/>
      <c r="CR93" s="60"/>
      <c r="CS93" s="60"/>
      <c r="CT93" s="60"/>
      <c r="CU93" s="60"/>
      <c r="CV93" s="60"/>
      <c r="CW93" s="60"/>
      <c r="CX93" s="60"/>
      <c r="CY93" s="60"/>
      <c r="CZ93" s="60"/>
      <c r="DA93" s="60"/>
      <c r="DB93" s="60"/>
      <c r="DC93" s="60"/>
      <c r="DD93" s="60"/>
      <c r="DE93" s="60"/>
      <c r="DF93" s="60"/>
      <c r="DG93" s="60"/>
      <c r="DH93" s="60"/>
      <c r="DI93" s="60"/>
      <c r="DJ93" s="60"/>
      <c r="DK93" s="60"/>
      <c r="DL93" s="60"/>
      <c r="DM93" s="60"/>
      <c r="DN93" s="60"/>
      <c r="DO93" s="60"/>
      <c r="DP93" s="60"/>
      <c r="DQ93" s="60"/>
      <c r="DR93" s="60"/>
      <c r="DS93" s="60"/>
      <c r="DT93" s="60"/>
      <c r="DU93" s="60"/>
      <c r="DV93" s="60"/>
      <c r="DW93" s="60"/>
      <c r="DX93" s="60"/>
      <c r="DY93" s="60"/>
      <c r="DZ93" s="60"/>
      <c r="EA93" s="60"/>
      <c r="EB93" s="60"/>
      <c r="EC93" s="60"/>
      <c r="ED93" s="60"/>
      <c r="EE93" s="60"/>
      <c r="EF93" s="60"/>
      <c r="EG93" s="60"/>
      <c r="EH93" s="60"/>
      <c r="EI93" s="60"/>
      <c r="EJ93" s="60"/>
      <c r="EK93" s="60"/>
      <c r="EL93" s="60"/>
      <c r="EM93" s="60"/>
      <c r="EN93" s="60"/>
      <c r="EO93" s="60"/>
      <c r="EP93" s="60"/>
      <c r="EQ93" s="60"/>
      <c r="ER93" s="60"/>
      <c r="ES93" s="60"/>
      <c r="ET93" s="60"/>
      <c r="EU93" s="60"/>
      <c r="EV93" s="60"/>
      <c r="EW93" s="60"/>
      <c r="EX93" s="60"/>
      <c r="EY93" s="60"/>
      <c r="EZ93" s="60"/>
      <c r="FA93" s="60"/>
      <c r="FB93" s="60"/>
      <c r="FC93" s="60"/>
      <c r="FD93" s="60"/>
      <c r="FE93" s="60"/>
      <c r="FF93" s="60"/>
      <c r="FG93" s="60"/>
      <c r="FH93" s="60"/>
      <c r="FI93" s="60"/>
      <c r="FJ93" s="60"/>
      <c r="FK93" s="60"/>
      <c r="FL93" s="60"/>
      <c r="FM93" s="60"/>
      <c r="FN93" s="60"/>
      <c r="FO93" s="60"/>
      <c r="FP93" s="60"/>
      <c r="FQ93" s="60"/>
      <c r="FR93" s="60"/>
      <c r="FS93" s="60"/>
      <c r="FT93" s="60"/>
      <c r="FU93" s="60"/>
      <c r="FV93" s="60"/>
      <c r="FW93" s="60"/>
      <c r="FX93" s="60"/>
      <c r="FY93" s="60"/>
      <c r="FZ93" s="60"/>
      <c r="GA93" s="60"/>
      <c r="GB93" s="60"/>
      <c r="GC93" s="60"/>
      <c r="GD93" s="60"/>
      <c r="GE93" s="60"/>
      <c r="GF93" s="60"/>
      <c r="GG93" s="60"/>
      <c r="GH93" s="60"/>
      <c r="GI93" s="60"/>
      <c r="GJ93" s="60"/>
      <c r="GK93" s="60"/>
      <c r="GL93" s="60"/>
      <c r="GM93" s="60"/>
      <c r="GN93" s="60"/>
      <c r="GO93" s="60"/>
      <c r="GP93" s="60"/>
      <c r="GQ93" s="60"/>
      <c r="GR93" s="60"/>
      <c r="GS93" s="60"/>
      <c r="GT93" s="60"/>
      <c r="GU93" s="60"/>
      <c r="GV93" s="60"/>
      <c r="GW93" s="60"/>
      <c r="GX93" s="60"/>
      <c r="GY93" s="60"/>
      <c r="GZ93" s="60"/>
      <c r="HA93" s="60"/>
      <c r="HB93" s="60"/>
      <c r="HC93" s="60"/>
      <c r="HD93" s="60"/>
      <c r="HE93" s="60"/>
      <c r="HF93" s="60"/>
      <c r="HG93" s="60"/>
      <c r="HH93" s="60"/>
      <c r="HI93" s="60"/>
      <c r="HJ93" s="60"/>
      <c r="HK93" s="60"/>
      <c r="HL93" s="60"/>
      <c r="HM93" s="60"/>
      <c r="HN93" s="60"/>
      <c r="HO93" s="60"/>
      <c r="HP93" s="60"/>
      <c r="HQ93" s="60"/>
      <c r="HR93" s="60"/>
      <c r="HS93" s="60"/>
      <c r="HT93" s="60"/>
      <c r="HU93" s="60"/>
      <c r="HV93" s="60"/>
      <c r="HW93" s="60"/>
      <c r="HX93" s="60"/>
      <c r="HY93" s="60"/>
      <c r="HZ93" s="60"/>
      <c r="IA93" s="60"/>
      <c r="IB93" s="60"/>
      <c r="IC93" s="60"/>
      <c r="ID93" s="60"/>
      <c r="IE93" s="60"/>
      <c r="IF93" s="60"/>
      <c r="IG93" s="60"/>
      <c r="IH93" s="60"/>
      <c r="II93" s="60"/>
      <c r="IJ93" s="60"/>
      <c r="IK93" s="60"/>
      <c r="IL93" s="60"/>
      <c r="IM93" s="60"/>
      <c r="IN93" s="60"/>
      <c r="IO93" s="60"/>
      <c r="IP93" s="60"/>
      <c r="IQ93" s="60"/>
      <c r="IR93" s="60"/>
      <c r="IS93" s="60"/>
      <c r="IT93" s="60"/>
      <c r="IU93" s="60"/>
      <c r="IV93" s="60"/>
      <c r="IW93" s="60"/>
      <c r="IX93" s="60"/>
      <c r="IY93" s="60"/>
      <c r="IZ93" s="60"/>
      <c r="JA93" s="60"/>
      <c r="JB93" s="60"/>
      <c r="JC93" s="60"/>
      <c r="JD93" s="60"/>
      <c r="JE93" s="60"/>
      <c r="JF93" s="60"/>
      <c r="JG93" s="60"/>
      <c r="JH93" s="60"/>
      <c r="JI93" s="60"/>
      <c r="JJ93" s="60"/>
      <c r="JK93" s="60"/>
      <c r="JL93" s="60"/>
      <c r="JM93" s="60"/>
      <c r="JN93" s="60"/>
      <c r="JO93" s="60"/>
      <c r="JP93" s="60"/>
      <c r="JQ93" s="60"/>
      <c r="JR93" s="60"/>
      <c r="JS93" s="60"/>
      <c r="JT93" s="60"/>
      <c r="JU93" s="60"/>
      <c r="JV93" s="60"/>
      <c r="JW93" s="60"/>
      <c r="JX93" s="60"/>
      <c r="JY93" s="60"/>
      <c r="JZ93" s="60"/>
      <c r="KA93" s="60"/>
      <c r="KB93" s="60"/>
      <c r="KC93" s="60"/>
      <c r="KD93" s="60"/>
      <c r="KE93" s="60"/>
      <c r="KF93" s="60"/>
      <c r="KG93" s="60"/>
      <c r="KH93" s="60"/>
      <c r="KI93" s="60"/>
      <c r="KJ93" s="60"/>
      <c r="KK93" s="60"/>
      <c r="KL93" s="60"/>
      <c r="KM93" s="60"/>
      <c r="KN93" s="60"/>
      <c r="KO93" s="60"/>
      <c r="KP93" s="60"/>
      <c r="KQ93" s="60"/>
      <c r="KR93" s="60"/>
      <c r="KS93" s="60"/>
      <c r="KT93" s="60"/>
      <c r="KU93" s="60"/>
      <c r="KV93" s="60"/>
      <c r="KW93" s="60"/>
      <c r="KX93" s="60"/>
      <c r="KY93" s="60"/>
      <c r="KZ93" s="60"/>
      <c r="LA93" s="60"/>
      <c r="LB93" s="60"/>
      <c r="LC93" s="60"/>
      <c r="LD93" s="60"/>
      <c r="LE93" s="60"/>
      <c r="LF93" s="60"/>
      <c r="LG93" s="60"/>
      <c r="LH93" s="60"/>
    </row>
    <row r="94" spans="1:320" s="17" customFormat="1" x14ac:dyDescent="0.25">
      <c r="A94" s="147"/>
      <c r="E94" s="156"/>
      <c r="F94" s="156"/>
      <c r="G94" s="156"/>
      <c r="H94" s="156"/>
      <c r="I94" s="156"/>
      <c r="J94" s="156"/>
      <c r="K94" s="156"/>
      <c r="L94" s="156"/>
      <c r="M94" s="156"/>
      <c r="N94" s="156"/>
      <c r="O94" s="156"/>
      <c r="P94" s="156"/>
      <c r="Q94" s="156"/>
      <c r="R94" s="156"/>
      <c r="S94" s="156"/>
      <c r="AC94" s="60"/>
      <c r="AD94" s="60"/>
      <c r="AE94" s="60"/>
      <c r="AF94" s="60"/>
      <c r="AG94" s="60"/>
      <c r="AH94" s="60"/>
      <c r="AI94" s="60"/>
      <c r="AJ94" s="60"/>
      <c r="AK94" s="60"/>
      <c r="AL94" s="60"/>
      <c r="AM94" s="60"/>
      <c r="AN94" s="60"/>
      <c r="AO94" s="60"/>
      <c r="AP94" s="60"/>
      <c r="AQ94" s="60"/>
      <c r="AR94" s="60"/>
      <c r="AS94" s="60"/>
      <c r="AT94" s="60"/>
      <c r="AU94" s="60"/>
      <c r="AV94" s="60"/>
      <c r="AW94" s="60"/>
      <c r="AX94" s="60"/>
      <c r="AY94" s="60"/>
      <c r="AZ94" s="60"/>
      <c r="BA94" s="60"/>
      <c r="BB94" s="60"/>
      <c r="BC94" s="60"/>
      <c r="BD94" s="60"/>
      <c r="BE94" s="60"/>
      <c r="BF94" s="60"/>
      <c r="BG94" s="60"/>
      <c r="BH94" s="60"/>
      <c r="BI94" s="60"/>
      <c r="BJ94" s="60"/>
      <c r="BK94" s="60"/>
      <c r="BL94" s="60"/>
      <c r="BM94" s="60"/>
      <c r="BN94" s="60"/>
      <c r="BO94" s="60"/>
      <c r="BP94" s="60"/>
      <c r="BQ94" s="60"/>
      <c r="BR94" s="60"/>
      <c r="BS94" s="60"/>
      <c r="BT94" s="60"/>
      <c r="BU94" s="60"/>
      <c r="BV94" s="60"/>
      <c r="BW94" s="60"/>
      <c r="BX94" s="60"/>
      <c r="BY94" s="60"/>
      <c r="BZ94" s="60"/>
      <c r="CA94" s="60"/>
      <c r="CB94" s="60"/>
      <c r="CC94" s="60"/>
      <c r="CD94" s="60"/>
      <c r="CE94" s="60"/>
      <c r="CF94" s="60"/>
      <c r="CG94" s="60"/>
      <c r="CH94" s="60"/>
      <c r="CI94" s="60"/>
      <c r="CJ94" s="60"/>
      <c r="CK94" s="60"/>
      <c r="CL94" s="60"/>
      <c r="CM94" s="60"/>
      <c r="CN94" s="60"/>
      <c r="CO94" s="60"/>
      <c r="CP94" s="60"/>
      <c r="CQ94" s="60"/>
      <c r="CR94" s="60"/>
      <c r="CS94" s="60"/>
      <c r="CT94" s="60"/>
      <c r="CU94" s="60"/>
      <c r="CV94" s="60"/>
      <c r="CW94" s="60"/>
      <c r="CX94" s="60"/>
      <c r="CY94" s="60"/>
      <c r="CZ94" s="60"/>
      <c r="DA94" s="60"/>
      <c r="DB94" s="60"/>
      <c r="DC94" s="60"/>
      <c r="DD94" s="60"/>
      <c r="DE94" s="60"/>
      <c r="DF94" s="60"/>
      <c r="DG94" s="60"/>
      <c r="DH94" s="60"/>
      <c r="DI94" s="60"/>
      <c r="DJ94" s="60"/>
      <c r="DK94" s="60"/>
      <c r="DL94" s="60"/>
      <c r="DM94" s="60"/>
      <c r="DN94" s="60"/>
      <c r="DO94" s="60"/>
      <c r="DP94" s="60"/>
      <c r="DQ94" s="60"/>
      <c r="DR94" s="60"/>
      <c r="DS94" s="60"/>
      <c r="DT94" s="60"/>
      <c r="DU94" s="60"/>
      <c r="DV94" s="60"/>
      <c r="DW94" s="60"/>
      <c r="DX94" s="60"/>
      <c r="DY94" s="60"/>
      <c r="DZ94" s="60"/>
      <c r="EA94" s="60"/>
      <c r="EB94" s="60"/>
      <c r="EC94" s="60"/>
      <c r="ED94" s="60"/>
      <c r="EE94" s="60"/>
      <c r="EF94" s="60"/>
      <c r="EG94" s="60"/>
      <c r="EH94" s="60"/>
      <c r="EI94" s="60"/>
      <c r="EJ94" s="60"/>
      <c r="EK94" s="60"/>
      <c r="EL94" s="60"/>
      <c r="EM94" s="60"/>
      <c r="EN94" s="60"/>
      <c r="EO94" s="60"/>
      <c r="EP94" s="60"/>
      <c r="EQ94" s="60"/>
      <c r="ER94" s="60"/>
      <c r="ES94" s="60"/>
      <c r="ET94" s="60"/>
      <c r="EU94" s="60"/>
      <c r="EV94" s="60"/>
      <c r="EW94" s="60"/>
      <c r="EX94" s="60"/>
      <c r="EY94" s="60"/>
      <c r="EZ94" s="60"/>
      <c r="FA94" s="60"/>
      <c r="FB94" s="60"/>
      <c r="FC94" s="60"/>
      <c r="FD94" s="60"/>
      <c r="FE94" s="60"/>
      <c r="FF94" s="60"/>
      <c r="FG94" s="60"/>
      <c r="FH94" s="60"/>
      <c r="FI94" s="60"/>
      <c r="FJ94" s="60"/>
      <c r="FK94" s="60"/>
      <c r="FL94" s="60"/>
      <c r="FM94" s="60"/>
      <c r="FN94" s="60"/>
      <c r="FO94" s="60"/>
      <c r="FP94" s="60"/>
      <c r="FQ94" s="60"/>
      <c r="FR94" s="60"/>
      <c r="FS94" s="60"/>
      <c r="FT94" s="60"/>
      <c r="FU94" s="60"/>
      <c r="FV94" s="60"/>
      <c r="FW94" s="60"/>
      <c r="FX94" s="60"/>
      <c r="FY94" s="60"/>
      <c r="FZ94" s="60"/>
      <c r="GA94" s="60"/>
      <c r="GB94" s="60"/>
      <c r="GC94" s="60"/>
      <c r="GD94" s="60"/>
      <c r="GE94" s="60"/>
      <c r="GF94" s="60"/>
      <c r="GG94" s="60"/>
      <c r="GH94" s="60"/>
      <c r="GI94" s="60"/>
      <c r="GJ94" s="60"/>
      <c r="GK94" s="60"/>
      <c r="GL94" s="60"/>
      <c r="GM94" s="60"/>
      <c r="GN94" s="60"/>
      <c r="GO94" s="60"/>
      <c r="GP94" s="60"/>
      <c r="GQ94" s="60"/>
      <c r="GR94" s="60"/>
      <c r="GS94" s="60"/>
      <c r="GT94" s="60"/>
      <c r="GU94" s="60"/>
      <c r="GV94" s="60"/>
      <c r="GW94" s="60"/>
      <c r="GX94" s="60"/>
      <c r="GY94" s="60"/>
      <c r="GZ94" s="60"/>
      <c r="HA94" s="60"/>
      <c r="HB94" s="60"/>
      <c r="HC94" s="60"/>
      <c r="HD94" s="60"/>
      <c r="HE94" s="60"/>
      <c r="HF94" s="60"/>
      <c r="HG94" s="60"/>
      <c r="HH94" s="60"/>
      <c r="HI94" s="60"/>
      <c r="HJ94" s="60"/>
      <c r="HK94" s="60"/>
      <c r="HL94" s="60"/>
      <c r="HM94" s="60"/>
      <c r="HN94" s="60"/>
      <c r="HO94" s="60"/>
      <c r="HP94" s="60"/>
      <c r="HQ94" s="60"/>
      <c r="HR94" s="60"/>
      <c r="HS94" s="60"/>
      <c r="HT94" s="60"/>
      <c r="HU94" s="60"/>
      <c r="HV94" s="60"/>
      <c r="HW94" s="60"/>
      <c r="HX94" s="60"/>
      <c r="HY94" s="60"/>
      <c r="HZ94" s="60"/>
      <c r="IA94" s="60"/>
      <c r="IB94" s="60"/>
      <c r="IC94" s="60"/>
      <c r="ID94" s="60"/>
      <c r="IE94" s="60"/>
      <c r="IF94" s="60"/>
      <c r="IG94" s="60"/>
      <c r="IH94" s="60"/>
      <c r="II94" s="60"/>
      <c r="IJ94" s="60"/>
      <c r="IK94" s="60"/>
      <c r="IL94" s="60"/>
      <c r="IM94" s="60"/>
      <c r="IN94" s="60"/>
      <c r="IO94" s="60"/>
      <c r="IP94" s="60"/>
      <c r="IQ94" s="60"/>
      <c r="IR94" s="60"/>
      <c r="IS94" s="60"/>
      <c r="IT94" s="60"/>
      <c r="IU94" s="60"/>
      <c r="IV94" s="60"/>
      <c r="IW94" s="60"/>
      <c r="IX94" s="60"/>
      <c r="IY94" s="60"/>
      <c r="IZ94" s="60"/>
      <c r="JA94" s="60"/>
      <c r="JB94" s="60"/>
      <c r="JC94" s="60"/>
      <c r="JD94" s="60"/>
      <c r="JE94" s="60"/>
      <c r="JF94" s="60"/>
      <c r="JG94" s="60"/>
      <c r="JH94" s="60"/>
      <c r="JI94" s="60"/>
      <c r="JJ94" s="60"/>
      <c r="JK94" s="60"/>
      <c r="JL94" s="60"/>
      <c r="JM94" s="60"/>
      <c r="JN94" s="60"/>
      <c r="JO94" s="60"/>
      <c r="JP94" s="60"/>
      <c r="JQ94" s="60"/>
      <c r="JR94" s="60"/>
      <c r="JS94" s="60"/>
      <c r="JT94" s="60"/>
      <c r="JU94" s="60"/>
      <c r="JV94" s="60"/>
      <c r="JW94" s="60"/>
      <c r="JX94" s="60"/>
      <c r="JY94" s="60"/>
      <c r="JZ94" s="60"/>
      <c r="KA94" s="60"/>
      <c r="KB94" s="60"/>
      <c r="KC94" s="60"/>
      <c r="KD94" s="60"/>
      <c r="KE94" s="60"/>
      <c r="KF94" s="60"/>
      <c r="KG94" s="60"/>
      <c r="KH94" s="60"/>
      <c r="KI94" s="60"/>
      <c r="KJ94" s="60"/>
      <c r="KK94" s="60"/>
      <c r="KL94" s="60"/>
      <c r="KM94" s="60"/>
      <c r="KN94" s="60"/>
      <c r="KO94" s="60"/>
      <c r="KP94" s="60"/>
      <c r="KQ94" s="60"/>
      <c r="KR94" s="60"/>
      <c r="KS94" s="60"/>
      <c r="KT94" s="60"/>
      <c r="KU94" s="60"/>
      <c r="KV94" s="60"/>
      <c r="KW94" s="60"/>
      <c r="KX94" s="60"/>
      <c r="KY94" s="60"/>
      <c r="KZ94" s="60"/>
      <c r="LA94" s="60"/>
      <c r="LB94" s="60"/>
      <c r="LC94" s="60"/>
      <c r="LD94" s="60"/>
      <c r="LE94" s="60"/>
      <c r="LF94" s="60"/>
      <c r="LG94" s="60"/>
      <c r="LH94" s="60"/>
    </row>
    <row r="95" spans="1:320" s="17" customFormat="1" x14ac:dyDescent="0.25">
      <c r="A95" s="147"/>
      <c r="E95" s="156"/>
      <c r="F95" s="156"/>
      <c r="G95" s="156"/>
      <c r="H95" s="156"/>
      <c r="I95" s="156"/>
      <c r="J95" s="156"/>
      <c r="K95" s="156"/>
      <c r="L95" s="156"/>
      <c r="M95" s="156"/>
      <c r="N95" s="156"/>
      <c r="O95" s="156"/>
      <c r="P95" s="156"/>
      <c r="Q95" s="156"/>
      <c r="R95" s="156"/>
      <c r="S95" s="156"/>
      <c r="AC95" s="60"/>
      <c r="AD95" s="60"/>
      <c r="AE95" s="60"/>
      <c r="AF95" s="60"/>
      <c r="AG95" s="60"/>
      <c r="AH95" s="60"/>
      <c r="AI95" s="60"/>
      <c r="AJ95" s="60"/>
      <c r="AK95" s="60"/>
      <c r="AL95" s="60"/>
      <c r="AM95" s="60"/>
      <c r="AN95" s="60"/>
      <c r="AO95" s="60"/>
      <c r="AP95" s="60"/>
      <c r="AQ95" s="60"/>
      <c r="AR95" s="60"/>
      <c r="AS95" s="60"/>
      <c r="AT95" s="60"/>
      <c r="AU95" s="60"/>
      <c r="AV95" s="60"/>
      <c r="AW95" s="60"/>
      <c r="AX95" s="60"/>
      <c r="AY95" s="60"/>
      <c r="AZ95" s="60"/>
      <c r="BA95" s="60"/>
      <c r="BB95" s="60"/>
      <c r="BC95" s="60"/>
      <c r="BD95" s="60"/>
      <c r="BE95" s="60"/>
      <c r="BF95" s="60"/>
      <c r="BG95" s="60"/>
      <c r="BH95" s="60"/>
      <c r="BI95" s="60"/>
      <c r="BJ95" s="60"/>
      <c r="BK95" s="60"/>
      <c r="BL95" s="60"/>
      <c r="BM95" s="60"/>
      <c r="BN95" s="60"/>
      <c r="BO95" s="60"/>
      <c r="BP95" s="60"/>
      <c r="BQ95" s="60"/>
      <c r="BR95" s="60"/>
      <c r="BS95" s="60"/>
      <c r="BT95" s="60"/>
      <c r="BU95" s="60"/>
      <c r="BV95" s="60"/>
      <c r="BW95" s="60"/>
      <c r="BX95" s="60"/>
      <c r="BY95" s="60"/>
      <c r="BZ95" s="60"/>
      <c r="CA95" s="60"/>
      <c r="CB95" s="60"/>
      <c r="CC95" s="60"/>
      <c r="CD95" s="60"/>
      <c r="CE95" s="60"/>
      <c r="CF95" s="60"/>
      <c r="CG95" s="60"/>
      <c r="CH95" s="60"/>
      <c r="CI95" s="60"/>
      <c r="CJ95" s="60"/>
      <c r="CK95" s="60"/>
      <c r="CL95" s="60"/>
      <c r="CM95" s="60"/>
      <c r="CN95" s="60"/>
      <c r="CO95" s="60"/>
      <c r="CP95" s="60"/>
      <c r="CQ95" s="60"/>
      <c r="CR95" s="60"/>
      <c r="CS95" s="60"/>
      <c r="CT95" s="60"/>
      <c r="CU95" s="60"/>
      <c r="CV95" s="60"/>
      <c r="CW95" s="60"/>
      <c r="CX95" s="60"/>
      <c r="CY95" s="60"/>
      <c r="CZ95" s="60"/>
      <c r="DA95" s="60"/>
      <c r="DB95" s="60"/>
      <c r="DC95" s="60"/>
      <c r="DD95" s="60"/>
      <c r="DE95" s="60"/>
      <c r="DF95" s="60"/>
      <c r="DG95" s="60"/>
      <c r="DH95" s="60"/>
      <c r="DI95" s="60"/>
      <c r="DJ95" s="60"/>
      <c r="DK95" s="60"/>
      <c r="DL95" s="60"/>
      <c r="DM95" s="60"/>
      <c r="DN95" s="60"/>
      <c r="DO95" s="60"/>
      <c r="DP95" s="60"/>
      <c r="DQ95" s="60"/>
      <c r="DR95" s="60"/>
      <c r="DS95" s="60"/>
      <c r="DT95" s="60"/>
      <c r="DU95" s="60"/>
      <c r="DV95" s="60"/>
      <c r="DW95" s="60"/>
      <c r="DX95" s="60"/>
      <c r="DY95" s="60"/>
      <c r="DZ95" s="60"/>
      <c r="EA95" s="60"/>
      <c r="EB95" s="60"/>
      <c r="EC95" s="60"/>
      <c r="ED95" s="60"/>
      <c r="EE95" s="60"/>
      <c r="EF95" s="60"/>
      <c r="EG95" s="60"/>
      <c r="EH95" s="60"/>
      <c r="EI95" s="60"/>
      <c r="EJ95" s="60"/>
      <c r="EK95" s="60"/>
      <c r="EL95" s="60"/>
      <c r="EM95" s="60"/>
      <c r="EN95" s="60"/>
      <c r="EO95" s="60"/>
      <c r="EP95" s="60"/>
      <c r="EQ95" s="60"/>
      <c r="ER95" s="60"/>
      <c r="ES95" s="60"/>
      <c r="ET95" s="60"/>
      <c r="EU95" s="60"/>
      <c r="EV95" s="60"/>
      <c r="EW95" s="60"/>
      <c r="EX95" s="60"/>
      <c r="EY95" s="60"/>
      <c r="EZ95" s="60"/>
      <c r="FA95" s="60"/>
      <c r="FB95" s="60"/>
      <c r="FC95" s="60"/>
      <c r="FD95" s="60"/>
      <c r="FE95" s="60"/>
      <c r="FF95" s="60"/>
      <c r="FG95" s="60"/>
      <c r="FH95" s="60"/>
      <c r="FI95" s="60"/>
      <c r="FJ95" s="60"/>
      <c r="FK95" s="60"/>
      <c r="FL95" s="60"/>
      <c r="FM95" s="60"/>
      <c r="FN95" s="60"/>
      <c r="FO95" s="60"/>
      <c r="FP95" s="60"/>
      <c r="FQ95" s="60"/>
      <c r="FR95" s="60"/>
      <c r="FS95" s="60"/>
      <c r="FT95" s="60"/>
      <c r="FU95" s="60"/>
      <c r="FV95" s="60"/>
      <c r="FW95" s="60"/>
      <c r="FX95" s="60"/>
      <c r="FY95" s="60"/>
      <c r="FZ95" s="60"/>
      <c r="GA95" s="60"/>
      <c r="GB95" s="60"/>
      <c r="GC95" s="60"/>
      <c r="GD95" s="60"/>
      <c r="GE95" s="60"/>
      <c r="GF95" s="60"/>
      <c r="GG95" s="60"/>
      <c r="GH95" s="60"/>
      <c r="GI95" s="60"/>
      <c r="GJ95" s="60"/>
      <c r="GK95" s="60"/>
      <c r="GL95" s="60"/>
      <c r="GM95" s="60"/>
      <c r="GN95" s="60"/>
      <c r="GO95" s="60"/>
      <c r="GP95" s="60"/>
      <c r="GQ95" s="60"/>
      <c r="GR95" s="60"/>
      <c r="GS95" s="60"/>
      <c r="GT95" s="60"/>
      <c r="GU95" s="60"/>
      <c r="GV95" s="60"/>
      <c r="GW95" s="60"/>
      <c r="GX95" s="60"/>
      <c r="GY95" s="60"/>
      <c r="GZ95" s="60"/>
      <c r="HA95" s="60"/>
      <c r="HB95" s="60"/>
      <c r="HC95" s="60"/>
      <c r="HD95" s="60"/>
      <c r="HE95" s="60"/>
      <c r="HF95" s="60"/>
      <c r="HG95" s="60"/>
      <c r="HH95" s="60"/>
      <c r="HI95" s="60"/>
      <c r="HJ95" s="60"/>
      <c r="HK95" s="60"/>
      <c r="HL95" s="60"/>
      <c r="HM95" s="60"/>
      <c r="HN95" s="60"/>
      <c r="HO95" s="60"/>
      <c r="HP95" s="60"/>
      <c r="HQ95" s="60"/>
      <c r="HR95" s="60"/>
      <c r="HS95" s="60"/>
      <c r="HT95" s="60"/>
      <c r="HU95" s="60"/>
      <c r="HV95" s="60"/>
      <c r="HW95" s="60"/>
      <c r="HX95" s="60"/>
      <c r="HY95" s="60"/>
      <c r="HZ95" s="60"/>
      <c r="IA95" s="60"/>
      <c r="IB95" s="60"/>
      <c r="IC95" s="60"/>
      <c r="ID95" s="60"/>
      <c r="IE95" s="60"/>
      <c r="IF95" s="60"/>
      <c r="IG95" s="60"/>
      <c r="IH95" s="60"/>
      <c r="II95" s="60"/>
      <c r="IJ95" s="60"/>
      <c r="IK95" s="60"/>
      <c r="IL95" s="60"/>
      <c r="IM95" s="60"/>
      <c r="IN95" s="60"/>
      <c r="IO95" s="60"/>
      <c r="IP95" s="60"/>
      <c r="IQ95" s="60"/>
      <c r="IR95" s="60"/>
      <c r="IS95" s="60"/>
      <c r="IT95" s="60"/>
      <c r="IU95" s="60"/>
      <c r="IV95" s="60"/>
      <c r="IW95" s="60"/>
      <c r="IX95" s="60"/>
      <c r="IY95" s="60"/>
      <c r="IZ95" s="60"/>
      <c r="JA95" s="60"/>
      <c r="JB95" s="60"/>
      <c r="JC95" s="60"/>
      <c r="JD95" s="60"/>
      <c r="JE95" s="60"/>
      <c r="JF95" s="60"/>
      <c r="JG95" s="60"/>
      <c r="JH95" s="60"/>
      <c r="JI95" s="60"/>
      <c r="JJ95" s="60"/>
      <c r="JK95" s="60"/>
      <c r="JL95" s="60"/>
      <c r="JM95" s="60"/>
      <c r="JN95" s="60"/>
      <c r="JO95" s="60"/>
      <c r="JP95" s="60"/>
      <c r="JQ95" s="60"/>
      <c r="JR95" s="60"/>
      <c r="JS95" s="60"/>
      <c r="JT95" s="60"/>
      <c r="JU95" s="60"/>
      <c r="JV95" s="60"/>
      <c r="JW95" s="60"/>
      <c r="JX95" s="60"/>
      <c r="JY95" s="60"/>
      <c r="JZ95" s="60"/>
      <c r="KA95" s="60"/>
      <c r="KB95" s="60"/>
      <c r="KC95" s="60"/>
      <c r="KD95" s="60"/>
      <c r="KE95" s="60"/>
      <c r="KF95" s="60"/>
      <c r="KG95" s="60"/>
      <c r="KH95" s="60"/>
      <c r="KI95" s="60"/>
      <c r="KJ95" s="60"/>
      <c r="KK95" s="60"/>
      <c r="KL95" s="60"/>
      <c r="KM95" s="60"/>
      <c r="KN95" s="60"/>
      <c r="KO95" s="60"/>
      <c r="KP95" s="60"/>
      <c r="KQ95" s="60"/>
      <c r="KR95" s="60"/>
      <c r="KS95" s="60"/>
      <c r="KT95" s="60"/>
      <c r="KU95" s="60"/>
      <c r="KV95" s="60"/>
      <c r="KW95" s="60"/>
      <c r="KX95" s="60"/>
      <c r="KY95" s="60"/>
      <c r="KZ95" s="60"/>
      <c r="LA95" s="60"/>
      <c r="LB95" s="60"/>
      <c r="LC95" s="60"/>
      <c r="LD95" s="60"/>
      <c r="LE95" s="60"/>
      <c r="LF95" s="60"/>
      <c r="LG95" s="60"/>
      <c r="LH95" s="60"/>
    </row>
    <row r="96" spans="1:320" s="17" customFormat="1" x14ac:dyDescent="0.25">
      <c r="A96" s="147"/>
      <c r="E96" s="156"/>
      <c r="F96" s="156"/>
      <c r="G96" s="156"/>
      <c r="H96" s="156"/>
      <c r="I96" s="156"/>
      <c r="J96" s="156"/>
      <c r="K96" s="156"/>
      <c r="L96" s="156"/>
      <c r="M96" s="156"/>
      <c r="N96" s="156"/>
      <c r="O96" s="156"/>
      <c r="P96" s="156"/>
      <c r="Q96" s="156"/>
      <c r="R96" s="156"/>
      <c r="S96" s="156"/>
      <c r="AC96" s="60"/>
      <c r="AD96" s="60"/>
      <c r="AE96" s="60"/>
      <c r="AF96" s="60"/>
      <c r="AG96" s="60"/>
      <c r="AH96" s="60"/>
      <c r="AI96" s="60"/>
      <c r="AJ96" s="60"/>
      <c r="AK96" s="60"/>
      <c r="AL96" s="60"/>
      <c r="AM96" s="60"/>
      <c r="AN96" s="60"/>
      <c r="AO96" s="60"/>
      <c r="AP96" s="60"/>
      <c r="AQ96" s="60"/>
      <c r="AR96" s="60"/>
      <c r="AS96" s="60"/>
      <c r="AT96" s="60"/>
      <c r="AU96" s="60"/>
      <c r="AV96" s="60"/>
      <c r="AW96" s="60"/>
      <c r="AX96" s="60"/>
      <c r="AY96" s="60"/>
      <c r="AZ96" s="60"/>
      <c r="BA96" s="60"/>
      <c r="BB96" s="60"/>
      <c r="BC96" s="60"/>
      <c r="BD96" s="60"/>
      <c r="BE96" s="60"/>
      <c r="BF96" s="60"/>
      <c r="BG96" s="60"/>
      <c r="BH96" s="60"/>
      <c r="BI96" s="60"/>
      <c r="BJ96" s="60"/>
      <c r="BK96" s="60"/>
      <c r="BL96" s="60"/>
      <c r="BM96" s="60"/>
      <c r="BN96" s="60"/>
      <c r="BO96" s="60"/>
      <c r="BP96" s="60"/>
      <c r="BQ96" s="60"/>
      <c r="BR96" s="60"/>
      <c r="BS96" s="60"/>
      <c r="BT96" s="60"/>
      <c r="BU96" s="60"/>
      <c r="BV96" s="60"/>
      <c r="BW96" s="60"/>
      <c r="BX96" s="60"/>
      <c r="BY96" s="60"/>
      <c r="BZ96" s="60"/>
      <c r="CA96" s="60"/>
      <c r="CB96" s="60"/>
      <c r="CC96" s="60"/>
      <c r="CD96" s="60"/>
      <c r="CE96" s="60"/>
      <c r="CF96" s="60"/>
      <c r="CG96" s="60"/>
      <c r="CH96" s="60"/>
      <c r="CI96" s="60"/>
      <c r="CJ96" s="60"/>
      <c r="CK96" s="60"/>
      <c r="CL96" s="60"/>
      <c r="CM96" s="60"/>
      <c r="CN96" s="60"/>
      <c r="CO96" s="60"/>
      <c r="CP96" s="60"/>
      <c r="CQ96" s="60"/>
      <c r="CR96" s="60"/>
      <c r="CS96" s="60"/>
      <c r="CT96" s="60"/>
      <c r="CU96" s="60"/>
      <c r="CV96" s="60"/>
      <c r="CW96" s="60"/>
      <c r="CX96" s="60"/>
      <c r="CY96" s="60"/>
      <c r="CZ96" s="60"/>
      <c r="DA96" s="60"/>
      <c r="DB96" s="60"/>
      <c r="DC96" s="60"/>
      <c r="DD96" s="60"/>
      <c r="DE96" s="60"/>
      <c r="DF96" s="60"/>
      <c r="DG96" s="60"/>
      <c r="DH96" s="60"/>
      <c r="DI96" s="60"/>
      <c r="DJ96" s="60"/>
      <c r="DK96" s="60"/>
      <c r="DL96" s="60"/>
      <c r="DM96" s="60"/>
      <c r="DN96" s="60"/>
      <c r="DO96" s="60"/>
      <c r="DP96" s="60"/>
      <c r="DQ96" s="60"/>
      <c r="DR96" s="60"/>
      <c r="DS96" s="60"/>
      <c r="DT96" s="60"/>
      <c r="DU96" s="60"/>
      <c r="DV96" s="60"/>
      <c r="DW96" s="60"/>
      <c r="DX96" s="60"/>
      <c r="DY96" s="60"/>
      <c r="DZ96" s="60"/>
      <c r="EA96" s="60"/>
      <c r="EB96" s="60"/>
      <c r="EC96" s="60"/>
      <c r="ED96" s="60"/>
      <c r="EE96" s="60"/>
      <c r="EF96" s="60"/>
      <c r="EG96" s="60"/>
      <c r="EH96" s="60"/>
      <c r="EI96" s="60"/>
      <c r="EJ96" s="60"/>
      <c r="EK96" s="60"/>
      <c r="EL96" s="60"/>
      <c r="EM96" s="60"/>
      <c r="EN96" s="60"/>
      <c r="EO96" s="60"/>
      <c r="EP96" s="60"/>
      <c r="EQ96" s="60"/>
      <c r="ER96" s="60"/>
      <c r="ES96" s="60"/>
      <c r="ET96" s="60"/>
      <c r="EU96" s="60"/>
      <c r="EV96" s="60"/>
      <c r="EW96" s="60"/>
      <c r="EX96" s="60"/>
      <c r="EY96" s="60"/>
      <c r="EZ96" s="60"/>
      <c r="FA96" s="60"/>
      <c r="FB96" s="60"/>
      <c r="FC96" s="60"/>
      <c r="FD96" s="60"/>
      <c r="FE96" s="60"/>
      <c r="FF96" s="60"/>
      <c r="FG96" s="60"/>
      <c r="FH96" s="60"/>
      <c r="FI96" s="60"/>
      <c r="FJ96" s="60"/>
      <c r="FK96" s="60"/>
      <c r="FL96" s="60"/>
      <c r="FM96" s="60"/>
      <c r="FN96" s="60"/>
      <c r="FO96" s="60"/>
      <c r="FP96" s="60"/>
      <c r="FQ96" s="60"/>
      <c r="FR96" s="60"/>
      <c r="FS96" s="60"/>
      <c r="FT96" s="60"/>
      <c r="FU96" s="60"/>
      <c r="FV96" s="60"/>
      <c r="FW96" s="60"/>
      <c r="FX96" s="60"/>
      <c r="FY96" s="60"/>
      <c r="FZ96" s="60"/>
      <c r="GA96" s="60"/>
      <c r="GB96" s="60"/>
      <c r="GC96" s="60"/>
      <c r="GD96" s="60"/>
      <c r="GE96" s="60"/>
      <c r="GF96" s="60"/>
      <c r="GG96" s="60"/>
      <c r="GH96" s="60"/>
      <c r="GI96" s="60"/>
      <c r="GJ96" s="60"/>
      <c r="GK96" s="60"/>
      <c r="GL96" s="60"/>
      <c r="GM96" s="60"/>
      <c r="GN96" s="60"/>
      <c r="GO96" s="60"/>
      <c r="GP96" s="60"/>
      <c r="GQ96" s="60"/>
      <c r="GR96" s="60"/>
      <c r="GS96" s="60"/>
      <c r="GT96" s="60"/>
      <c r="GU96" s="60"/>
      <c r="GV96" s="60"/>
      <c r="GW96" s="60"/>
      <c r="GX96" s="60"/>
      <c r="GY96" s="60"/>
      <c r="GZ96" s="60"/>
      <c r="HA96" s="60"/>
      <c r="HB96" s="60"/>
      <c r="HC96" s="60"/>
      <c r="HD96" s="60"/>
      <c r="HE96" s="60"/>
      <c r="HF96" s="60"/>
      <c r="HG96" s="60"/>
      <c r="HH96" s="60"/>
      <c r="HI96" s="60"/>
      <c r="HJ96" s="60"/>
      <c r="HK96" s="60"/>
      <c r="HL96" s="60"/>
      <c r="HM96" s="60"/>
      <c r="HN96" s="60"/>
      <c r="HO96" s="60"/>
      <c r="HP96" s="60"/>
      <c r="HQ96" s="60"/>
      <c r="HR96" s="60"/>
      <c r="HS96" s="60"/>
      <c r="HT96" s="60"/>
      <c r="HU96" s="60"/>
      <c r="HV96" s="60"/>
      <c r="HW96" s="60"/>
      <c r="HX96" s="60"/>
      <c r="HY96" s="60"/>
      <c r="HZ96" s="60"/>
      <c r="IA96" s="60"/>
      <c r="IB96" s="60"/>
      <c r="IC96" s="60"/>
      <c r="ID96" s="60"/>
      <c r="IE96" s="60"/>
      <c r="IF96" s="60"/>
      <c r="IG96" s="60"/>
      <c r="IH96" s="60"/>
      <c r="II96" s="60"/>
      <c r="IJ96" s="60"/>
      <c r="IK96" s="60"/>
      <c r="IL96" s="60"/>
      <c r="IM96" s="60"/>
      <c r="IN96" s="60"/>
      <c r="IO96" s="60"/>
      <c r="IP96" s="60"/>
      <c r="IQ96" s="60"/>
      <c r="IR96" s="60"/>
      <c r="IS96" s="60"/>
      <c r="IT96" s="60"/>
      <c r="IU96" s="60"/>
      <c r="IV96" s="60"/>
      <c r="IW96" s="60"/>
      <c r="IX96" s="60"/>
      <c r="IY96" s="60"/>
      <c r="IZ96" s="60"/>
      <c r="JA96" s="60"/>
      <c r="JB96" s="60"/>
      <c r="JC96" s="60"/>
      <c r="JD96" s="60"/>
      <c r="JE96" s="60"/>
      <c r="JF96" s="60"/>
      <c r="JG96" s="60"/>
      <c r="JH96" s="60"/>
      <c r="JI96" s="60"/>
      <c r="JJ96" s="60"/>
      <c r="JK96" s="60"/>
      <c r="JL96" s="60"/>
      <c r="JM96" s="60"/>
      <c r="JN96" s="60"/>
      <c r="JO96" s="60"/>
      <c r="JP96" s="60"/>
      <c r="JQ96" s="60"/>
      <c r="JR96" s="60"/>
      <c r="JS96" s="60"/>
      <c r="JT96" s="60"/>
      <c r="JU96" s="60"/>
      <c r="JV96" s="60"/>
      <c r="JW96" s="60"/>
      <c r="JX96" s="60"/>
      <c r="JY96" s="60"/>
      <c r="JZ96" s="60"/>
      <c r="KA96" s="60"/>
      <c r="KB96" s="60"/>
      <c r="KC96" s="60"/>
      <c r="KD96" s="60"/>
      <c r="KE96" s="60"/>
      <c r="KF96" s="60"/>
      <c r="KG96" s="60"/>
      <c r="KH96" s="60"/>
      <c r="KI96" s="60"/>
      <c r="KJ96" s="60"/>
      <c r="KK96" s="60"/>
      <c r="KL96" s="60"/>
      <c r="KM96" s="60"/>
      <c r="KN96" s="60"/>
      <c r="KO96" s="60"/>
      <c r="KP96" s="60"/>
      <c r="KQ96" s="60"/>
      <c r="KR96" s="60"/>
      <c r="KS96" s="60"/>
      <c r="KT96" s="60"/>
      <c r="KU96" s="60"/>
      <c r="KV96" s="60"/>
      <c r="KW96" s="60"/>
      <c r="KX96" s="60"/>
      <c r="KY96" s="60"/>
      <c r="KZ96" s="60"/>
      <c r="LA96" s="60"/>
      <c r="LB96" s="60"/>
      <c r="LC96" s="60"/>
      <c r="LD96" s="60"/>
      <c r="LE96" s="60"/>
      <c r="LF96" s="60"/>
      <c r="LG96" s="60"/>
      <c r="LH96" s="60"/>
    </row>
    <row r="97" spans="1:320" s="17" customFormat="1" x14ac:dyDescent="0.25">
      <c r="A97" s="147"/>
      <c r="E97" s="156"/>
      <c r="F97" s="156"/>
      <c r="G97" s="156"/>
      <c r="H97" s="156"/>
      <c r="I97" s="156"/>
      <c r="J97" s="156"/>
      <c r="K97" s="156"/>
      <c r="L97" s="156"/>
      <c r="M97" s="156"/>
      <c r="N97" s="156"/>
      <c r="O97" s="156"/>
      <c r="P97" s="156"/>
      <c r="Q97" s="156"/>
      <c r="R97" s="156"/>
      <c r="S97" s="156"/>
      <c r="AC97" s="60"/>
      <c r="AD97" s="60"/>
      <c r="AE97" s="60"/>
      <c r="AF97" s="60"/>
      <c r="AG97" s="60"/>
      <c r="AH97" s="60"/>
      <c r="AI97" s="60"/>
      <c r="AJ97" s="60"/>
      <c r="AK97" s="60"/>
      <c r="AL97" s="60"/>
      <c r="AM97" s="60"/>
      <c r="AN97" s="60"/>
      <c r="AO97" s="60"/>
      <c r="AP97" s="60"/>
      <c r="AQ97" s="60"/>
      <c r="AR97" s="60"/>
      <c r="AS97" s="60"/>
      <c r="AT97" s="60"/>
      <c r="AU97" s="60"/>
      <c r="AV97" s="60"/>
      <c r="AW97" s="60"/>
      <c r="AX97" s="60"/>
      <c r="AY97" s="60"/>
      <c r="AZ97" s="60"/>
      <c r="BA97" s="60"/>
      <c r="BB97" s="60"/>
      <c r="BC97" s="60"/>
      <c r="BD97" s="60"/>
      <c r="BE97" s="60"/>
      <c r="BF97" s="60"/>
      <c r="BG97" s="60"/>
      <c r="BH97" s="60"/>
      <c r="BI97" s="60"/>
      <c r="BJ97" s="60"/>
      <c r="BK97" s="60"/>
      <c r="BL97" s="60"/>
      <c r="BM97" s="60"/>
      <c r="BN97" s="60"/>
      <c r="BO97" s="60"/>
      <c r="BP97" s="60"/>
      <c r="BQ97" s="60"/>
      <c r="BR97" s="60"/>
      <c r="BS97" s="60"/>
      <c r="BT97" s="60"/>
      <c r="BU97" s="60"/>
      <c r="BV97" s="60"/>
      <c r="BW97" s="60"/>
      <c r="BX97" s="60"/>
      <c r="BY97" s="60"/>
      <c r="BZ97" s="60"/>
      <c r="CA97" s="60"/>
      <c r="CB97" s="60"/>
      <c r="CC97" s="60"/>
      <c r="CD97" s="60"/>
      <c r="CE97" s="60"/>
      <c r="CF97" s="60"/>
      <c r="CG97" s="60"/>
      <c r="CH97" s="60"/>
      <c r="CI97" s="60"/>
      <c r="CJ97" s="60"/>
      <c r="CK97" s="60"/>
      <c r="CL97" s="60"/>
      <c r="CM97" s="60"/>
      <c r="CN97" s="60"/>
      <c r="CO97" s="60"/>
      <c r="CP97" s="60"/>
      <c r="CQ97" s="60"/>
      <c r="CR97" s="60"/>
      <c r="CS97" s="60"/>
      <c r="CT97" s="60"/>
      <c r="CU97" s="60"/>
      <c r="CV97" s="60"/>
      <c r="CW97" s="60"/>
      <c r="CX97" s="60"/>
      <c r="CY97" s="60"/>
      <c r="CZ97" s="60"/>
      <c r="DA97" s="60"/>
      <c r="DB97" s="60"/>
      <c r="DC97" s="60"/>
      <c r="DD97" s="60"/>
      <c r="DE97" s="60"/>
      <c r="DF97" s="60"/>
      <c r="DG97" s="60"/>
      <c r="DH97" s="60"/>
      <c r="DI97" s="60"/>
      <c r="DJ97" s="60"/>
      <c r="DK97" s="60"/>
      <c r="DL97" s="60"/>
      <c r="DM97" s="60"/>
      <c r="DN97" s="60"/>
      <c r="DO97" s="60"/>
      <c r="DP97" s="60"/>
      <c r="DQ97" s="60"/>
      <c r="DR97" s="60"/>
      <c r="DS97" s="60"/>
      <c r="DT97" s="60"/>
      <c r="DU97" s="60"/>
      <c r="DV97" s="60"/>
      <c r="DW97" s="60"/>
      <c r="DX97" s="60"/>
      <c r="DY97" s="60"/>
      <c r="DZ97" s="60"/>
      <c r="EA97" s="60"/>
      <c r="EB97" s="60"/>
      <c r="EC97" s="60"/>
      <c r="ED97" s="60"/>
      <c r="EE97" s="60"/>
      <c r="EF97" s="60"/>
      <c r="EG97" s="60"/>
      <c r="EH97" s="60"/>
      <c r="EI97" s="60"/>
      <c r="EJ97" s="60"/>
      <c r="EK97" s="60"/>
      <c r="EL97" s="60"/>
      <c r="EM97" s="60"/>
      <c r="EN97" s="60"/>
      <c r="EO97" s="60"/>
      <c r="EP97" s="60"/>
      <c r="EQ97" s="60"/>
      <c r="ER97" s="60"/>
      <c r="ES97" s="60"/>
      <c r="ET97" s="60"/>
      <c r="EU97" s="60"/>
      <c r="EV97" s="60"/>
      <c r="EW97" s="60"/>
      <c r="EX97" s="60"/>
      <c r="EY97" s="60"/>
      <c r="EZ97" s="60"/>
      <c r="FA97" s="60"/>
      <c r="FB97" s="60"/>
      <c r="FC97" s="60"/>
      <c r="FD97" s="60"/>
      <c r="FE97" s="60"/>
      <c r="FF97" s="60"/>
      <c r="FG97" s="60"/>
      <c r="FH97" s="60"/>
      <c r="FI97" s="60"/>
      <c r="FJ97" s="60"/>
      <c r="FK97" s="60"/>
      <c r="FL97" s="60"/>
      <c r="FM97" s="60"/>
      <c r="FN97" s="60"/>
      <c r="FO97" s="60"/>
      <c r="FP97" s="60"/>
      <c r="FQ97" s="60"/>
      <c r="FR97" s="60"/>
      <c r="FS97" s="60"/>
      <c r="FT97" s="60"/>
      <c r="FU97" s="60"/>
      <c r="FV97" s="60"/>
      <c r="FW97" s="60"/>
      <c r="FX97" s="60"/>
      <c r="FY97" s="60"/>
      <c r="FZ97" s="60"/>
      <c r="GA97" s="60"/>
      <c r="GB97" s="60"/>
      <c r="GC97" s="60"/>
      <c r="GD97" s="60"/>
      <c r="GE97" s="60"/>
      <c r="GF97" s="60"/>
      <c r="GG97" s="60"/>
      <c r="GH97" s="60"/>
      <c r="GI97" s="60"/>
      <c r="GJ97" s="60"/>
      <c r="GK97" s="60"/>
      <c r="GL97" s="60"/>
      <c r="GM97" s="60"/>
      <c r="GN97" s="60"/>
      <c r="GO97" s="60"/>
      <c r="GP97" s="60"/>
      <c r="GQ97" s="60"/>
      <c r="GR97" s="60"/>
      <c r="GS97" s="60"/>
      <c r="GT97" s="60"/>
      <c r="GU97" s="60"/>
      <c r="GV97" s="60"/>
      <c r="GW97" s="60"/>
      <c r="GX97" s="60"/>
      <c r="GY97" s="60"/>
      <c r="GZ97" s="60"/>
      <c r="HA97" s="60"/>
      <c r="HB97" s="60"/>
      <c r="HC97" s="60"/>
      <c r="HD97" s="60"/>
      <c r="HE97" s="60"/>
      <c r="HF97" s="60"/>
      <c r="HG97" s="60"/>
      <c r="HH97" s="60"/>
      <c r="HI97" s="60"/>
      <c r="HJ97" s="60"/>
      <c r="HK97" s="60"/>
      <c r="HL97" s="60"/>
      <c r="HM97" s="60"/>
      <c r="HN97" s="60"/>
      <c r="HO97" s="60"/>
      <c r="HP97" s="60"/>
      <c r="HQ97" s="60"/>
      <c r="HR97" s="60"/>
      <c r="HS97" s="60"/>
      <c r="HT97" s="60"/>
      <c r="HU97" s="60"/>
      <c r="HV97" s="60"/>
      <c r="HW97" s="60"/>
      <c r="HX97" s="60"/>
      <c r="HY97" s="60"/>
      <c r="HZ97" s="60"/>
      <c r="IA97" s="60"/>
      <c r="IB97" s="60"/>
      <c r="IC97" s="60"/>
      <c r="ID97" s="60"/>
      <c r="IE97" s="60"/>
      <c r="IF97" s="60"/>
      <c r="IG97" s="60"/>
      <c r="IH97" s="60"/>
      <c r="II97" s="60"/>
      <c r="IJ97" s="60"/>
      <c r="IK97" s="60"/>
      <c r="IL97" s="60"/>
      <c r="IM97" s="60"/>
      <c r="IN97" s="60"/>
      <c r="IO97" s="60"/>
      <c r="IP97" s="60"/>
      <c r="IQ97" s="60"/>
      <c r="IR97" s="60"/>
      <c r="IS97" s="60"/>
      <c r="IT97" s="60"/>
      <c r="IU97" s="60"/>
      <c r="IV97" s="60"/>
      <c r="IW97" s="60"/>
      <c r="IX97" s="60"/>
      <c r="IY97" s="60"/>
      <c r="IZ97" s="60"/>
      <c r="JA97" s="60"/>
      <c r="JB97" s="60"/>
      <c r="JC97" s="60"/>
      <c r="JD97" s="60"/>
      <c r="JE97" s="60"/>
      <c r="JF97" s="60"/>
      <c r="JG97" s="60"/>
      <c r="JH97" s="60"/>
      <c r="JI97" s="60"/>
      <c r="JJ97" s="60"/>
      <c r="JK97" s="60"/>
      <c r="JL97" s="60"/>
      <c r="JM97" s="60"/>
      <c r="JN97" s="60"/>
      <c r="JO97" s="60"/>
      <c r="JP97" s="60"/>
      <c r="JQ97" s="60"/>
      <c r="JR97" s="60"/>
      <c r="JS97" s="60"/>
      <c r="JT97" s="60"/>
      <c r="JU97" s="60"/>
      <c r="JV97" s="60"/>
      <c r="JW97" s="60"/>
      <c r="JX97" s="60"/>
      <c r="JY97" s="60"/>
      <c r="JZ97" s="60"/>
      <c r="KA97" s="60"/>
      <c r="KB97" s="60"/>
      <c r="KC97" s="60"/>
      <c r="KD97" s="60"/>
      <c r="KE97" s="60"/>
      <c r="KF97" s="60"/>
      <c r="KG97" s="60"/>
      <c r="KH97" s="60"/>
      <c r="KI97" s="60"/>
      <c r="KJ97" s="60"/>
      <c r="KK97" s="60"/>
      <c r="KL97" s="60"/>
      <c r="KM97" s="60"/>
      <c r="KN97" s="60"/>
      <c r="KO97" s="60"/>
      <c r="KP97" s="60"/>
      <c r="KQ97" s="60"/>
      <c r="KR97" s="60"/>
      <c r="KS97" s="60"/>
      <c r="KT97" s="60"/>
      <c r="KU97" s="60"/>
      <c r="KV97" s="60"/>
      <c r="KW97" s="60"/>
      <c r="KX97" s="60"/>
      <c r="KY97" s="60"/>
      <c r="KZ97" s="60"/>
      <c r="LA97" s="60"/>
      <c r="LB97" s="60"/>
      <c r="LC97" s="60"/>
      <c r="LD97" s="60"/>
      <c r="LE97" s="60"/>
      <c r="LF97" s="60"/>
      <c r="LG97" s="60"/>
      <c r="LH97" s="60"/>
    </row>
    <row r="98" spans="1:320" s="17" customFormat="1" x14ac:dyDescent="0.25">
      <c r="A98" s="147"/>
      <c r="E98" s="156"/>
      <c r="F98" s="156"/>
      <c r="G98" s="156"/>
      <c r="H98" s="156"/>
      <c r="I98" s="156"/>
      <c r="J98" s="156"/>
      <c r="K98" s="156"/>
      <c r="L98" s="156"/>
      <c r="M98" s="156"/>
      <c r="N98" s="156"/>
      <c r="O98" s="156"/>
      <c r="P98" s="156"/>
      <c r="Q98" s="156"/>
      <c r="R98" s="156"/>
      <c r="S98" s="156"/>
      <c r="AC98" s="60"/>
      <c r="AD98" s="60"/>
      <c r="AE98" s="60"/>
      <c r="AF98" s="60"/>
      <c r="AG98" s="60"/>
      <c r="AH98" s="60"/>
      <c r="AI98" s="60"/>
      <c r="AJ98" s="60"/>
      <c r="AK98" s="60"/>
      <c r="AL98" s="60"/>
      <c r="AM98" s="60"/>
      <c r="AN98" s="60"/>
      <c r="AO98" s="60"/>
      <c r="AP98" s="60"/>
      <c r="AQ98" s="60"/>
      <c r="AR98" s="60"/>
      <c r="AS98" s="60"/>
      <c r="AT98" s="60"/>
      <c r="AU98" s="60"/>
      <c r="AV98" s="60"/>
      <c r="AW98" s="60"/>
      <c r="AX98" s="60"/>
      <c r="AY98" s="60"/>
      <c r="AZ98" s="60"/>
      <c r="BA98" s="60"/>
      <c r="BB98" s="60"/>
      <c r="BC98" s="60"/>
      <c r="BD98" s="60"/>
      <c r="BE98" s="60"/>
      <c r="BF98" s="60"/>
      <c r="BG98" s="60"/>
      <c r="BH98" s="60"/>
      <c r="BI98" s="60"/>
      <c r="BJ98" s="60"/>
      <c r="BK98" s="60"/>
      <c r="BL98" s="60"/>
      <c r="BM98" s="60"/>
      <c r="BN98" s="60"/>
      <c r="BO98" s="60"/>
      <c r="BP98" s="60"/>
      <c r="BQ98" s="60"/>
      <c r="BR98" s="60"/>
      <c r="BS98" s="60"/>
      <c r="BT98" s="60"/>
      <c r="BU98" s="60"/>
      <c r="BV98" s="60"/>
      <c r="BW98" s="60"/>
      <c r="BX98" s="60"/>
      <c r="BY98" s="60"/>
      <c r="BZ98" s="60"/>
      <c r="CA98" s="60"/>
      <c r="CB98" s="60"/>
      <c r="CC98" s="60"/>
      <c r="CD98" s="60"/>
      <c r="CE98" s="60"/>
      <c r="CF98" s="60"/>
      <c r="CG98" s="60"/>
      <c r="CH98" s="60"/>
      <c r="CI98" s="60"/>
      <c r="CJ98" s="60"/>
      <c r="CK98" s="60"/>
      <c r="CL98" s="60"/>
      <c r="CM98" s="60"/>
      <c r="CN98" s="60"/>
      <c r="CO98" s="60"/>
      <c r="CP98" s="60"/>
      <c r="CQ98" s="60"/>
      <c r="CR98" s="60"/>
      <c r="CS98" s="60"/>
      <c r="CT98" s="60"/>
      <c r="CU98" s="60"/>
      <c r="CV98" s="60"/>
      <c r="CW98" s="60"/>
      <c r="CX98" s="60"/>
      <c r="CY98" s="60"/>
      <c r="CZ98" s="60"/>
      <c r="DA98" s="60"/>
      <c r="DB98" s="60"/>
      <c r="DC98" s="60"/>
      <c r="DD98" s="60"/>
      <c r="DE98" s="60"/>
      <c r="DF98" s="60"/>
      <c r="DG98" s="60"/>
      <c r="DH98" s="60"/>
      <c r="DI98" s="60"/>
      <c r="DJ98" s="60"/>
      <c r="DK98" s="60"/>
      <c r="DL98" s="60"/>
      <c r="DM98" s="60"/>
      <c r="DN98" s="60"/>
      <c r="DO98" s="60"/>
      <c r="DP98" s="60"/>
      <c r="DQ98" s="60"/>
      <c r="DR98" s="60"/>
      <c r="DS98" s="60"/>
      <c r="DT98" s="60"/>
      <c r="DU98" s="60"/>
      <c r="DV98" s="60"/>
      <c r="DW98" s="60"/>
      <c r="DX98" s="60"/>
      <c r="DY98" s="60"/>
      <c r="DZ98" s="60"/>
      <c r="EA98" s="60"/>
      <c r="EB98" s="60"/>
      <c r="EC98" s="60"/>
      <c r="ED98" s="60"/>
      <c r="EE98" s="60"/>
      <c r="EF98" s="60"/>
      <c r="EG98" s="60"/>
      <c r="EH98" s="60"/>
      <c r="EI98" s="60"/>
      <c r="EJ98" s="60"/>
      <c r="EK98" s="60"/>
      <c r="EL98" s="60"/>
      <c r="EM98" s="60"/>
      <c r="EN98" s="60"/>
      <c r="EO98" s="60"/>
      <c r="EP98" s="60"/>
      <c r="EQ98" s="60"/>
      <c r="ER98" s="60"/>
      <c r="ES98" s="60"/>
      <c r="ET98" s="60"/>
      <c r="EU98" s="60"/>
      <c r="EV98" s="60"/>
      <c r="EW98" s="60"/>
      <c r="EX98" s="60"/>
      <c r="EY98" s="60"/>
      <c r="EZ98" s="60"/>
      <c r="FA98" s="60"/>
      <c r="FB98" s="60"/>
      <c r="FC98" s="60"/>
      <c r="FD98" s="60"/>
      <c r="FE98" s="60"/>
      <c r="FF98" s="60"/>
      <c r="FG98" s="60"/>
      <c r="FH98" s="60"/>
      <c r="FI98" s="60"/>
      <c r="FJ98" s="60"/>
      <c r="FK98" s="60"/>
      <c r="FL98" s="60"/>
      <c r="FM98" s="60"/>
      <c r="FN98" s="60"/>
      <c r="FO98" s="60"/>
      <c r="FP98" s="60"/>
      <c r="FQ98" s="60"/>
      <c r="FR98" s="60"/>
      <c r="FS98" s="60"/>
      <c r="FT98" s="60"/>
      <c r="FU98" s="60"/>
      <c r="FV98" s="60"/>
      <c r="FW98" s="60"/>
      <c r="FX98" s="60"/>
      <c r="FY98" s="60"/>
      <c r="FZ98" s="60"/>
      <c r="GA98" s="60"/>
      <c r="GB98" s="60"/>
      <c r="GC98" s="60"/>
      <c r="GD98" s="60"/>
      <c r="GE98" s="60"/>
      <c r="GF98" s="60"/>
      <c r="GG98" s="60"/>
      <c r="GH98" s="60"/>
      <c r="GI98" s="60"/>
      <c r="GJ98" s="60"/>
      <c r="GK98" s="60"/>
      <c r="GL98" s="60"/>
      <c r="GM98" s="60"/>
      <c r="GN98" s="60"/>
      <c r="GO98" s="60"/>
      <c r="GP98" s="60"/>
      <c r="GQ98" s="60"/>
      <c r="GR98" s="60"/>
      <c r="GS98" s="60"/>
      <c r="GT98" s="60"/>
      <c r="GU98" s="60"/>
      <c r="GV98" s="60"/>
      <c r="GW98" s="60"/>
      <c r="GX98" s="60"/>
      <c r="GY98" s="60"/>
      <c r="GZ98" s="60"/>
      <c r="HA98" s="60"/>
      <c r="HB98" s="60"/>
      <c r="HC98" s="60"/>
      <c r="HD98" s="60"/>
      <c r="HE98" s="60"/>
      <c r="HF98" s="60"/>
      <c r="HG98" s="60"/>
      <c r="HH98" s="60"/>
      <c r="HI98" s="60"/>
      <c r="HJ98" s="60"/>
      <c r="HK98" s="60"/>
      <c r="HL98" s="60"/>
      <c r="HM98" s="60"/>
      <c r="HN98" s="60"/>
      <c r="HO98" s="60"/>
      <c r="HP98" s="60"/>
      <c r="HQ98" s="60"/>
      <c r="HR98" s="60"/>
      <c r="HS98" s="60"/>
      <c r="HT98" s="60"/>
      <c r="HU98" s="60"/>
      <c r="HV98" s="60"/>
      <c r="HW98" s="60"/>
      <c r="HX98" s="60"/>
      <c r="HY98" s="60"/>
      <c r="HZ98" s="60"/>
      <c r="IA98" s="60"/>
      <c r="IB98" s="60"/>
      <c r="IC98" s="60"/>
      <c r="ID98" s="60"/>
      <c r="IE98" s="60"/>
      <c r="IF98" s="60"/>
      <c r="IG98" s="60"/>
      <c r="IH98" s="60"/>
      <c r="II98" s="60"/>
      <c r="IJ98" s="60"/>
      <c r="IK98" s="60"/>
      <c r="IL98" s="60"/>
      <c r="IM98" s="60"/>
      <c r="IN98" s="60"/>
      <c r="IO98" s="60"/>
      <c r="IP98" s="60"/>
      <c r="IQ98" s="60"/>
      <c r="IR98" s="60"/>
      <c r="IS98" s="60"/>
      <c r="IT98" s="60"/>
      <c r="IU98" s="60"/>
      <c r="IV98" s="60"/>
      <c r="IW98" s="60"/>
      <c r="IX98" s="60"/>
      <c r="IY98" s="60"/>
      <c r="IZ98" s="60"/>
      <c r="JA98" s="60"/>
      <c r="JB98" s="60"/>
      <c r="JC98" s="60"/>
      <c r="JD98" s="60"/>
      <c r="JE98" s="60"/>
      <c r="JF98" s="60"/>
      <c r="JG98" s="60"/>
      <c r="JH98" s="60"/>
      <c r="JI98" s="60"/>
      <c r="JJ98" s="60"/>
      <c r="JK98" s="60"/>
      <c r="JL98" s="60"/>
      <c r="JM98" s="60"/>
      <c r="JN98" s="60"/>
      <c r="JO98" s="60"/>
      <c r="JP98" s="60"/>
      <c r="JQ98" s="60"/>
      <c r="JR98" s="60"/>
      <c r="JS98" s="60"/>
      <c r="JT98" s="60"/>
      <c r="JU98" s="60"/>
      <c r="JV98" s="60"/>
      <c r="JW98" s="60"/>
      <c r="JX98" s="60"/>
      <c r="JY98" s="60"/>
      <c r="JZ98" s="60"/>
      <c r="KA98" s="60"/>
      <c r="KB98" s="60"/>
      <c r="KC98" s="60"/>
      <c r="KD98" s="60"/>
      <c r="KE98" s="60"/>
      <c r="KF98" s="60"/>
      <c r="KG98" s="60"/>
      <c r="KH98" s="60"/>
      <c r="KI98" s="60"/>
      <c r="KJ98" s="60"/>
      <c r="KK98" s="60"/>
      <c r="KL98" s="60"/>
      <c r="KM98" s="60"/>
      <c r="KN98" s="60"/>
      <c r="KO98" s="60"/>
      <c r="KP98" s="60"/>
      <c r="KQ98" s="60"/>
      <c r="KR98" s="60"/>
      <c r="KS98" s="60"/>
      <c r="KT98" s="60"/>
      <c r="KU98" s="60"/>
      <c r="KV98" s="60"/>
      <c r="KW98" s="60"/>
      <c r="KX98" s="60"/>
      <c r="KY98" s="60"/>
      <c r="KZ98" s="60"/>
      <c r="LA98" s="60"/>
      <c r="LB98" s="60"/>
      <c r="LC98" s="60"/>
      <c r="LD98" s="60"/>
      <c r="LE98" s="60"/>
      <c r="LF98" s="60"/>
      <c r="LG98" s="60"/>
      <c r="LH98" s="60"/>
    </row>
    <row r="99" spans="1:320" s="17" customFormat="1" x14ac:dyDescent="0.25">
      <c r="A99" s="147"/>
      <c r="E99" s="156"/>
      <c r="F99" s="156"/>
      <c r="G99" s="156"/>
      <c r="H99" s="156"/>
      <c r="I99" s="156"/>
      <c r="J99" s="156"/>
      <c r="K99" s="156"/>
      <c r="L99" s="156"/>
      <c r="M99" s="156"/>
      <c r="N99" s="156"/>
      <c r="O99" s="156"/>
      <c r="P99" s="156"/>
      <c r="Q99" s="156"/>
      <c r="R99" s="156"/>
      <c r="S99" s="156"/>
      <c r="AC99" s="60"/>
      <c r="AD99" s="60"/>
      <c r="AE99" s="60"/>
      <c r="AF99" s="60"/>
      <c r="AG99" s="60"/>
      <c r="AH99" s="60"/>
      <c r="AI99" s="60"/>
      <c r="AJ99" s="60"/>
      <c r="AK99" s="60"/>
      <c r="AL99" s="60"/>
      <c r="AM99" s="60"/>
      <c r="AN99" s="60"/>
      <c r="AO99" s="60"/>
      <c r="AP99" s="60"/>
      <c r="AQ99" s="60"/>
      <c r="AR99" s="60"/>
      <c r="AS99" s="60"/>
      <c r="AT99" s="60"/>
      <c r="AU99" s="60"/>
      <c r="AV99" s="60"/>
      <c r="AW99" s="60"/>
      <c r="AX99" s="60"/>
      <c r="AY99" s="60"/>
      <c r="AZ99" s="60"/>
      <c r="BA99" s="60"/>
      <c r="BB99" s="60"/>
      <c r="BC99" s="60"/>
      <c r="BD99" s="60"/>
      <c r="BE99" s="60"/>
      <c r="BF99" s="60"/>
      <c r="BG99" s="60"/>
      <c r="BH99" s="60"/>
      <c r="BI99" s="60"/>
      <c r="BJ99" s="60"/>
      <c r="BK99" s="60"/>
      <c r="BL99" s="60"/>
      <c r="BM99" s="60"/>
      <c r="BN99" s="60"/>
      <c r="BO99" s="60"/>
      <c r="BP99" s="60"/>
      <c r="BQ99" s="60"/>
      <c r="BR99" s="60"/>
      <c r="BS99" s="60"/>
      <c r="BT99" s="60"/>
      <c r="BU99" s="60"/>
      <c r="BV99" s="60"/>
      <c r="BW99" s="60"/>
      <c r="BX99" s="60"/>
      <c r="BY99" s="60"/>
      <c r="BZ99" s="60"/>
      <c r="CA99" s="60"/>
      <c r="CB99" s="60"/>
      <c r="CC99" s="60"/>
      <c r="CD99" s="60"/>
      <c r="CE99" s="60"/>
      <c r="CF99" s="60"/>
      <c r="CG99" s="60"/>
      <c r="CH99" s="60"/>
      <c r="CI99" s="60"/>
      <c r="CJ99" s="60"/>
      <c r="CK99" s="60"/>
      <c r="CL99" s="60"/>
      <c r="CM99" s="60"/>
      <c r="CN99" s="60"/>
      <c r="CO99" s="60"/>
      <c r="CP99" s="60"/>
      <c r="CQ99" s="60"/>
      <c r="CR99" s="60"/>
      <c r="CS99" s="60"/>
      <c r="CT99" s="60"/>
      <c r="CU99" s="60"/>
      <c r="CV99" s="60"/>
      <c r="CW99" s="60"/>
      <c r="CX99" s="60"/>
      <c r="CY99" s="60"/>
      <c r="CZ99" s="60"/>
      <c r="DA99" s="60"/>
      <c r="DB99" s="60"/>
      <c r="DC99" s="60"/>
      <c r="DD99" s="60"/>
      <c r="DE99" s="60"/>
      <c r="DF99" s="60"/>
      <c r="DG99" s="60"/>
      <c r="DH99" s="60"/>
      <c r="DI99" s="60"/>
      <c r="DJ99" s="60"/>
      <c r="DK99" s="60"/>
      <c r="DL99" s="60"/>
      <c r="DM99" s="60"/>
      <c r="DN99" s="60"/>
      <c r="DO99" s="60"/>
      <c r="DP99" s="60"/>
      <c r="DQ99" s="60"/>
      <c r="DR99" s="60"/>
      <c r="DS99" s="60"/>
      <c r="DT99" s="60"/>
      <c r="DU99" s="60"/>
      <c r="DV99" s="60"/>
      <c r="DW99" s="60"/>
      <c r="DX99" s="60"/>
      <c r="DY99" s="60"/>
      <c r="DZ99" s="60"/>
      <c r="EA99" s="60"/>
      <c r="EB99" s="60"/>
      <c r="EC99" s="60"/>
      <c r="ED99" s="60"/>
      <c r="EE99" s="60"/>
      <c r="EF99" s="60"/>
      <c r="EG99" s="60"/>
      <c r="EH99" s="60"/>
      <c r="EI99" s="60"/>
      <c r="EJ99" s="60"/>
      <c r="EK99" s="60"/>
      <c r="EL99" s="60"/>
      <c r="EM99" s="60"/>
      <c r="EN99" s="60"/>
      <c r="EO99" s="60"/>
      <c r="EP99" s="60"/>
      <c r="EQ99" s="60"/>
      <c r="ER99" s="60"/>
      <c r="ES99" s="60"/>
      <c r="ET99" s="60"/>
      <c r="EU99" s="60"/>
      <c r="EV99" s="60"/>
      <c r="EW99" s="60"/>
      <c r="EX99" s="60"/>
      <c r="EY99" s="60"/>
      <c r="EZ99" s="60"/>
      <c r="FA99" s="60"/>
      <c r="FB99" s="60"/>
      <c r="FC99" s="60"/>
      <c r="FD99" s="60"/>
      <c r="FE99" s="60"/>
      <c r="FF99" s="60"/>
      <c r="FG99" s="60"/>
      <c r="FH99" s="60"/>
      <c r="FI99" s="60"/>
      <c r="FJ99" s="60"/>
      <c r="FK99" s="60"/>
      <c r="FL99" s="60"/>
      <c r="FM99" s="60"/>
      <c r="FN99" s="60"/>
      <c r="FO99" s="60"/>
      <c r="FP99" s="60"/>
      <c r="FQ99" s="60"/>
      <c r="FR99" s="60"/>
      <c r="FS99" s="60"/>
      <c r="FT99" s="60"/>
      <c r="FU99" s="60"/>
      <c r="FV99" s="60"/>
      <c r="FW99" s="60"/>
      <c r="FX99" s="60"/>
      <c r="FY99" s="60"/>
      <c r="FZ99" s="60"/>
      <c r="GA99" s="60"/>
      <c r="GB99" s="60"/>
      <c r="GC99" s="60"/>
      <c r="GD99" s="60"/>
      <c r="GE99" s="60"/>
      <c r="GF99" s="60"/>
      <c r="GG99" s="60"/>
      <c r="GH99" s="60"/>
      <c r="GI99" s="60"/>
      <c r="GJ99" s="60"/>
      <c r="GK99" s="60"/>
      <c r="GL99" s="60"/>
      <c r="GM99" s="60"/>
      <c r="GN99" s="60"/>
      <c r="GO99" s="60"/>
      <c r="GP99" s="60"/>
      <c r="GQ99" s="60"/>
      <c r="GR99" s="60"/>
      <c r="GS99" s="60"/>
      <c r="GT99" s="60"/>
      <c r="GU99" s="60"/>
      <c r="GV99" s="60"/>
      <c r="GW99" s="60"/>
      <c r="GX99" s="60"/>
      <c r="GY99" s="60"/>
      <c r="GZ99" s="60"/>
      <c r="HA99" s="60"/>
      <c r="HB99" s="60"/>
      <c r="HC99" s="60"/>
      <c r="HD99" s="60"/>
      <c r="HE99" s="60"/>
      <c r="HF99" s="60"/>
      <c r="HG99" s="60"/>
      <c r="HH99" s="60"/>
      <c r="HI99" s="60"/>
      <c r="HJ99" s="60"/>
      <c r="HK99" s="60"/>
      <c r="HL99" s="60"/>
      <c r="HM99" s="60"/>
      <c r="HN99" s="60"/>
      <c r="HO99" s="60"/>
      <c r="HP99" s="60"/>
      <c r="HQ99" s="60"/>
      <c r="HR99" s="60"/>
      <c r="HS99" s="60"/>
      <c r="HT99" s="60"/>
      <c r="HU99" s="60"/>
      <c r="HV99" s="60"/>
      <c r="HW99" s="60"/>
      <c r="HX99" s="60"/>
      <c r="HY99" s="60"/>
      <c r="HZ99" s="60"/>
      <c r="IA99" s="60"/>
      <c r="IB99" s="60"/>
      <c r="IC99" s="60"/>
      <c r="ID99" s="60"/>
      <c r="IE99" s="60"/>
      <c r="IF99" s="60"/>
      <c r="IG99" s="60"/>
      <c r="IH99" s="60"/>
      <c r="II99" s="60"/>
      <c r="IJ99" s="60"/>
      <c r="IK99" s="60"/>
      <c r="IL99" s="60"/>
      <c r="IM99" s="60"/>
      <c r="IN99" s="60"/>
      <c r="IO99" s="60"/>
      <c r="IP99" s="60"/>
      <c r="IQ99" s="60"/>
      <c r="IR99" s="60"/>
      <c r="IS99" s="60"/>
      <c r="IT99" s="60"/>
      <c r="IU99" s="60"/>
      <c r="IV99" s="60"/>
      <c r="IW99" s="60"/>
      <c r="IX99" s="60"/>
      <c r="IY99" s="60"/>
      <c r="IZ99" s="60"/>
      <c r="JA99" s="60"/>
      <c r="JB99" s="60"/>
      <c r="JC99" s="60"/>
      <c r="JD99" s="60"/>
      <c r="JE99" s="60"/>
      <c r="JF99" s="60"/>
      <c r="JG99" s="60"/>
      <c r="JH99" s="60"/>
      <c r="JI99" s="60"/>
      <c r="JJ99" s="60"/>
      <c r="JK99" s="60"/>
      <c r="JL99" s="60"/>
      <c r="JM99" s="60"/>
      <c r="JN99" s="60"/>
      <c r="JO99" s="60"/>
      <c r="JP99" s="60"/>
      <c r="JQ99" s="60"/>
      <c r="JR99" s="60"/>
      <c r="JS99" s="60"/>
      <c r="JT99" s="60"/>
      <c r="JU99" s="60"/>
      <c r="JV99" s="60"/>
      <c r="JW99" s="60"/>
      <c r="JX99" s="60"/>
      <c r="JY99" s="60"/>
      <c r="JZ99" s="60"/>
      <c r="KA99" s="60"/>
      <c r="KB99" s="60"/>
      <c r="KC99" s="60"/>
      <c r="KD99" s="60"/>
      <c r="KE99" s="60"/>
      <c r="KF99" s="60"/>
      <c r="KG99" s="60"/>
      <c r="KH99" s="60"/>
      <c r="KI99" s="60"/>
      <c r="KJ99" s="60"/>
      <c r="KK99" s="60"/>
      <c r="KL99" s="60"/>
      <c r="KM99" s="60"/>
      <c r="KN99" s="60"/>
      <c r="KO99" s="60"/>
      <c r="KP99" s="60"/>
      <c r="KQ99" s="60"/>
      <c r="KR99" s="60"/>
      <c r="KS99" s="60"/>
      <c r="KT99" s="60"/>
      <c r="KU99" s="60"/>
      <c r="KV99" s="60"/>
      <c r="KW99" s="60"/>
      <c r="KX99" s="60"/>
      <c r="KY99" s="60"/>
      <c r="KZ99" s="60"/>
      <c r="LA99" s="60"/>
      <c r="LB99" s="60"/>
      <c r="LC99" s="60"/>
      <c r="LD99" s="60"/>
      <c r="LE99" s="60"/>
      <c r="LF99" s="60"/>
      <c r="LG99" s="60"/>
      <c r="LH99" s="60"/>
    </row>
    <row r="100" spans="1:320" s="17" customFormat="1" x14ac:dyDescent="0.25">
      <c r="A100" s="147"/>
      <c r="E100" s="156"/>
      <c r="F100" s="156"/>
      <c r="G100" s="156"/>
      <c r="H100" s="156"/>
      <c r="I100" s="156"/>
      <c r="J100" s="156"/>
      <c r="K100" s="156"/>
      <c r="L100" s="156"/>
      <c r="M100" s="156"/>
      <c r="N100" s="156"/>
      <c r="O100" s="156"/>
      <c r="P100" s="156"/>
      <c r="Q100" s="156"/>
      <c r="R100" s="156"/>
      <c r="S100" s="156"/>
      <c r="AC100" s="60"/>
      <c r="AD100" s="60"/>
      <c r="AE100" s="60"/>
      <c r="AF100" s="60"/>
      <c r="AG100" s="60"/>
      <c r="AH100" s="60"/>
      <c r="AI100" s="60"/>
      <c r="AJ100" s="60"/>
      <c r="AK100" s="60"/>
      <c r="AL100" s="60"/>
      <c r="AM100" s="60"/>
      <c r="AN100" s="60"/>
      <c r="AO100" s="60"/>
      <c r="AP100" s="60"/>
      <c r="AQ100" s="60"/>
      <c r="AR100" s="60"/>
      <c r="AS100" s="60"/>
      <c r="AT100" s="60"/>
      <c r="AU100" s="60"/>
      <c r="AV100" s="60"/>
      <c r="AW100" s="60"/>
      <c r="AX100" s="60"/>
      <c r="AY100" s="60"/>
      <c r="AZ100" s="60"/>
      <c r="BA100" s="60"/>
      <c r="BB100" s="60"/>
      <c r="BC100" s="60"/>
      <c r="BD100" s="60"/>
      <c r="BE100" s="60"/>
      <c r="BF100" s="60"/>
      <c r="BG100" s="60"/>
      <c r="BH100" s="60"/>
      <c r="BI100" s="60"/>
      <c r="BJ100" s="60"/>
      <c r="BK100" s="60"/>
      <c r="BL100" s="60"/>
      <c r="BM100" s="60"/>
      <c r="BN100" s="60"/>
      <c r="BO100" s="60"/>
      <c r="BP100" s="60"/>
      <c r="BQ100" s="60"/>
      <c r="BR100" s="60"/>
      <c r="BS100" s="60"/>
      <c r="BT100" s="60"/>
      <c r="BU100" s="60"/>
      <c r="BV100" s="60"/>
      <c r="BW100" s="60"/>
      <c r="BX100" s="60"/>
      <c r="BY100" s="60"/>
      <c r="BZ100" s="60"/>
      <c r="CA100" s="60"/>
      <c r="CB100" s="60"/>
      <c r="CC100" s="60"/>
      <c r="CD100" s="60"/>
      <c r="CE100" s="60"/>
      <c r="CF100" s="60"/>
      <c r="CG100" s="60"/>
      <c r="CH100" s="60"/>
      <c r="CI100" s="60"/>
      <c r="CJ100" s="60"/>
      <c r="CK100" s="60"/>
      <c r="CL100" s="60"/>
      <c r="CM100" s="60"/>
      <c r="CN100" s="60"/>
      <c r="CO100" s="60"/>
      <c r="CP100" s="60"/>
      <c r="CQ100" s="60"/>
      <c r="CR100" s="60"/>
      <c r="CS100" s="60"/>
      <c r="CT100" s="60"/>
      <c r="CU100" s="60"/>
      <c r="CV100" s="60"/>
      <c r="CW100" s="60"/>
      <c r="CX100" s="60"/>
      <c r="CY100" s="60"/>
      <c r="CZ100" s="60"/>
      <c r="DA100" s="60"/>
      <c r="DB100" s="60"/>
      <c r="DC100" s="60"/>
      <c r="DD100" s="60"/>
      <c r="DE100" s="60"/>
      <c r="DF100" s="60"/>
      <c r="DG100" s="60"/>
      <c r="DH100" s="60"/>
      <c r="DI100" s="60"/>
      <c r="DJ100" s="60"/>
      <c r="DK100" s="60"/>
      <c r="DL100" s="60"/>
      <c r="DM100" s="60"/>
      <c r="DN100" s="60"/>
      <c r="DO100" s="60"/>
      <c r="DP100" s="60"/>
      <c r="DQ100" s="60"/>
      <c r="DR100" s="60"/>
      <c r="DS100" s="60"/>
      <c r="DT100" s="60"/>
      <c r="DU100" s="60"/>
      <c r="DV100" s="60"/>
      <c r="DW100" s="60"/>
      <c r="DX100" s="60"/>
      <c r="DY100" s="60"/>
      <c r="DZ100" s="60"/>
      <c r="EA100" s="60"/>
      <c r="EB100" s="60"/>
      <c r="EC100" s="60"/>
      <c r="ED100" s="60"/>
      <c r="EE100" s="60"/>
      <c r="EF100" s="60"/>
      <c r="EG100" s="60"/>
      <c r="EH100" s="60"/>
      <c r="EI100" s="60"/>
      <c r="EJ100" s="60"/>
      <c r="EK100" s="60"/>
      <c r="EL100" s="60"/>
      <c r="EM100" s="60"/>
      <c r="EN100" s="60"/>
      <c r="EO100" s="60"/>
      <c r="EP100" s="60"/>
      <c r="EQ100" s="60"/>
      <c r="ER100" s="60"/>
      <c r="ES100" s="60"/>
      <c r="ET100" s="60"/>
      <c r="EU100" s="60"/>
      <c r="EV100" s="60"/>
      <c r="EW100" s="60"/>
      <c r="EX100" s="60"/>
      <c r="EY100" s="60"/>
      <c r="EZ100" s="60"/>
      <c r="FA100" s="60"/>
      <c r="FB100" s="60"/>
      <c r="FC100" s="60"/>
      <c r="FD100" s="60"/>
      <c r="FE100" s="60"/>
      <c r="FF100" s="60"/>
      <c r="FG100" s="60"/>
      <c r="FH100" s="60"/>
      <c r="FI100" s="60"/>
      <c r="FJ100" s="60"/>
      <c r="FK100" s="60"/>
      <c r="FL100" s="60"/>
      <c r="FM100" s="60"/>
      <c r="FN100" s="60"/>
      <c r="FO100" s="60"/>
      <c r="FP100" s="60"/>
      <c r="FQ100" s="60"/>
      <c r="FR100" s="60"/>
      <c r="FS100" s="60"/>
      <c r="FT100" s="60"/>
      <c r="FU100" s="60"/>
      <c r="FV100" s="60"/>
      <c r="FW100" s="60"/>
      <c r="FX100" s="60"/>
      <c r="FY100" s="60"/>
      <c r="FZ100" s="60"/>
      <c r="GA100" s="60"/>
      <c r="GB100" s="60"/>
      <c r="GC100" s="60"/>
      <c r="GD100" s="60"/>
      <c r="GE100" s="60"/>
      <c r="GF100" s="60"/>
      <c r="GG100" s="60"/>
      <c r="GH100" s="60"/>
      <c r="GI100" s="60"/>
      <c r="GJ100" s="60"/>
      <c r="GK100" s="60"/>
      <c r="GL100" s="60"/>
      <c r="GM100" s="60"/>
      <c r="GN100" s="60"/>
      <c r="GO100" s="60"/>
      <c r="GP100" s="60"/>
      <c r="GQ100" s="60"/>
      <c r="GR100" s="60"/>
      <c r="GS100" s="60"/>
      <c r="GT100" s="60"/>
      <c r="GU100" s="60"/>
      <c r="GV100" s="60"/>
      <c r="GW100" s="60"/>
      <c r="GX100" s="60"/>
      <c r="GY100" s="60"/>
      <c r="GZ100" s="60"/>
      <c r="HA100" s="60"/>
      <c r="HB100" s="60"/>
      <c r="HC100" s="60"/>
      <c r="HD100" s="60"/>
      <c r="HE100" s="60"/>
      <c r="HF100" s="60"/>
      <c r="HG100" s="60"/>
      <c r="HH100" s="60"/>
      <c r="HI100" s="60"/>
      <c r="HJ100" s="60"/>
      <c r="HK100" s="60"/>
      <c r="HL100" s="60"/>
      <c r="HM100" s="60"/>
      <c r="HN100" s="60"/>
      <c r="HO100" s="60"/>
      <c r="HP100" s="60"/>
      <c r="HQ100" s="60"/>
      <c r="HR100" s="60"/>
      <c r="HS100" s="60"/>
      <c r="HT100" s="60"/>
      <c r="HU100" s="60"/>
      <c r="HV100" s="60"/>
      <c r="HW100" s="60"/>
      <c r="HX100" s="60"/>
      <c r="HY100" s="60"/>
      <c r="HZ100" s="60"/>
      <c r="IA100" s="60"/>
      <c r="IB100" s="60"/>
      <c r="IC100" s="60"/>
      <c r="ID100" s="60"/>
      <c r="IE100" s="60"/>
      <c r="IF100" s="60"/>
      <c r="IG100" s="60"/>
      <c r="IH100" s="60"/>
      <c r="II100" s="60"/>
      <c r="IJ100" s="60"/>
      <c r="IK100" s="60"/>
      <c r="IL100" s="60"/>
      <c r="IM100" s="60"/>
      <c r="IN100" s="60"/>
      <c r="IO100" s="60"/>
      <c r="IP100" s="60"/>
      <c r="IQ100" s="60"/>
      <c r="IR100" s="60"/>
      <c r="IS100" s="60"/>
      <c r="IT100" s="60"/>
      <c r="IU100" s="60"/>
      <c r="IV100" s="60"/>
      <c r="IW100" s="60"/>
      <c r="IX100" s="60"/>
      <c r="IY100" s="60"/>
      <c r="IZ100" s="60"/>
      <c r="JA100" s="60"/>
      <c r="JB100" s="60"/>
      <c r="JC100" s="60"/>
      <c r="JD100" s="60"/>
      <c r="JE100" s="60"/>
      <c r="JF100" s="60"/>
      <c r="JG100" s="60"/>
      <c r="JH100" s="60"/>
      <c r="JI100" s="60"/>
      <c r="JJ100" s="60"/>
      <c r="JK100" s="60"/>
      <c r="JL100" s="60"/>
      <c r="JM100" s="60"/>
      <c r="JN100" s="60"/>
      <c r="JO100" s="60"/>
      <c r="JP100" s="60"/>
      <c r="JQ100" s="60"/>
      <c r="JR100" s="60"/>
      <c r="JS100" s="60"/>
      <c r="JT100" s="60"/>
      <c r="JU100" s="60"/>
      <c r="JV100" s="60"/>
      <c r="JW100" s="60"/>
      <c r="JX100" s="60"/>
      <c r="JY100" s="60"/>
      <c r="JZ100" s="60"/>
      <c r="KA100" s="60"/>
      <c r="KB100" s="60"/>
      <c r="KC100" s="60"/>
      <c r="KD100" s="60"/>
      <c r="KE100" s="60"/>
      <c r="KF100" s="60"/>
      <c r="KG100" s="60"/>
      <c r="KH100" s="60"/>
      <c r="KI100" s="60"/>
      <c r="KJ100" s="60"/>
      <c r="KK100" s="60"/>
      <c r="KL100" s="60"/>
      <c r="KM100" s="60"/>
      <c r="KN100" s="60"/>
      <c r="KO100" s="60"/>
      <c r="KP100" s="60"/>
      <c r="KQ100" s="60"/>
      <c r="KR100" s="60"/>
      <c r="KS100" s="60"/>
      <c r="KT100" s="60"/>
      <c r="KU100" s="60"/>
      <c r="KV100" s="60"/>
      <c r="KW100" s="60"/>
      <c r="KX100" s="60"/>
      <c r="KY100" s="60"/>
      <c r="KZ100" s="60"/>
      <c r="LA100" s="60"/>
      <c r="LB100" s="60"/>
      <c r="LC100" s="60"/>
      <c r="LD100" s="60"/>
      <c r="LE100" s="60"/>
      <c r="LF100" s="60"/>
      <c r="LG100" s="60"/>
      <c r="LH100" s="60"/>
    </row>
    <row r="101" spans="1:320" s="17" customFormat="1" x14ac:dyDescent="0.25">
      <c r="A101" s="147"/>
      <c r="E101" s="156"/>
      <c r="F101" s="156"/>
      <c r="G101" s="156"/>
      <c r="H101" s="156"/>
      <c r="I101" s="156"/>
      <c r="J101" s="156"/>
      <c r="K101" s="156"/>
      <c r="L101" s="156"/>
      <c r="M101" s="156"/>
      <c r="N101" s="156"/>
      <c r="O101" s="156"/>
      <c r="P101" s="156"/>
      <c r="Q101" s="156"/>
      <c r="R101" s="156"/>
      <c r="S101" s="156"/>
      <c r="AC101" s="60"/>
      <c r="AD101" s="60"/>
      <c r="AE101" s="60"/>
      <c r="AF101" s="60"/>
      <c r="AG101" s="60"/>
      <c r="AH101" s="60"/>
      <c r="AI101" s="60"/>
      <c r="AJ101" s="60"/>
      <c r="AK101" s="60"/>
      <c r="AL101" s="60"/>
      <c r="AM101" s="60"/>
      <c r="AN101" s="60"/>
      <c r="AO101" s="60"/>
      <c r="AP101" s="60"/>
      <c r="AQ101" s="60"/>
      <c r="AR101" s="60"/>
      <c r="AS101" s="60"/>
      <c r="AT101" s="60"/>
      <c r="AU101" s="60"/>
      <c r="AV101" s="60"/>
      <c r="AW101" s="60"/>
      <c r="AX101" s="60"/>
      <c r="AY101" s="60"/>
      <c r="AZ101" s="60"/>
      <c r="BA101" s="60"/>
      <c r="BB101" s="60"/>
      <c r="BC101" s="60"/>
      <c r="BD101" s="60"/>
      <c r="BE101" s="60"/>
      <c r="BF101" s="60"/>
      <c r="BG101" s="60"/>
      <c r="BH101" s="60"/>
      <c r="BI101" s="60"/>
      <c r="BJ101" s="60"/>
      <c r="BK101" s="60"/>
      <c r="BL101" s="60"/>
      <c r="BM101" s="60"/>
      <c r="BN101" s="60"/>
      <c r="BO101" s="60"/>
      <c r="BP101" s="60"/>
      <c r="BQ101" s="60"/>
      <c r="BR101" s="60"/>
      <c r="BS101" s="60"/>
      <c r="BT101" s="60"/>
      <c r="BU101" s="60"/>
      <c r="BV101" s="60"/>
      <c r="BW101" s="60"/>
      <c r="BX101" s="60"/>
      <c r="BY101" s="60"/>
      <c r="BZ101" s="60"/>
      <c r="CA101" s="60"/>
      <c r="CB101" s="60"/>
      <c r="CC101" s="60"/>
      <c r="CD101" s="60"/>
      <c r="CE101" s="60"/>
      <c r="CF101" s="60"/>
      <c r="CG101" s="60"/>
      <c r="CH101" s="60"/>
      <c r="CI101" s="60"/>
      <c r="CJ101" s="60"/>
      <c r="CK101" s="60"/>
      <c r="CL101" s="60"/>
      <c r="CM101" s="60"/>
      <c r="CN101" s="60"/>
      <c r="CO101" s="60"/>
      <c r="CP101" s="60"/>
      <c r="CQ101" s="60"/>
      <c r="CR101" s="60"/>
      <c r="CS101" s="60"/>
      <c r="CT101" s="60"/>
      <c r="CU101" s="60"/>
      <c r="CV101" s="60"/>
      <c r="CW101" s="60"/>
      <c r="CX101" s="60"/>
      <c r="CY101" s="60"/>
      <c r="CZ101" s="60"/>
      <c r="DA101" s="60"/>
      <c r="DB101" s="60"/>
      <c r="DC101" s="60"/>
      <c r="DD101" s="60"/>
      <c r="DE101" s="60"/>
      <c r="DF101" s="60"/>
      <c r="DG101" s="60"/>
      <c r="DH101" s="60"/>
      <c r="DI101" s="60"/>
      <c r="DJ101" s="60"/>
      <c r="DK101" s="60"/>
      <c r="DL101" s="60"/>
      <c r="DM101" s="60"/>
      <c r="DN101" s="60"/>
      <c r="DO101" s="60"/>
      <c r="DP101" s="60"/>
      <c r="DQ101" s="60"/>
      <c r="DR101" s="60"/>
      <c r="DS101" s="60"/>
      <c r="DT101" s="60"/>
      <c r="DU101" s="60"/>
      <c r="DV101" s="60"/>
      <c r="DW101" s="60"/>
      <c r="DX101" s="60"/>
      <c r="DY101" s="60"/>
      <c r="DZ101" s="60"/>
      <c r="EA101" s="60"/>
      <c r="EB101" s="60"/>
      <c r="EC101" s="60"/>
      <c r="ED101" s="60"/>
      <c r="EE101" s="60"/>
      <c r="EF101" s="60"/>
      <c r="EG101" s="60"/>
      <c r="EH101" s="60"/>
      <c r="EI101" s="60"/>
      <c r="EJ101" s="60"/>
      <c r="EK101" s="60"/>
      <c r="EL101" s="60"/>
      <c r="EM101" s="60"/>
      <c r="EN101" s="60"/>
      <c r="EO101" s="60"/>
      <c r="EP101" s="60"/>
      <c r="EQ101" s="60"/>
      <c r="ER101" s="60"/>
      <c r="ES101" s="60"/>
      <c r="ET101" s="60"/>
      <c r="EU101" s="60"/>
      <c r="EV101" s="60"/>
      <c r="EW101" s="60"/>
      <c r="EX101" s="60"/>
      <c r="EY101" s="60"/>
      <c r="EZ101" s="60"/>
      <c r="FA101" s="60"/>
      <c r="FB101" s="60"/>
      <c r="FC101" s="60"/>
      <c r="FD101" s="60"/>
      <c r="FE101" s="60"/>
      <c r="FF101" s="60"/>
      <c r="FG101" s="60"/>
      <c r="FH101" s="60"/>
      <c r="FI101" s="60"/>
      <c r="FJ101" s="60"/>
      <c r="FK101" s="60"/>
      <c r="FL101" s="60"/>
      <c r="FM101" s="60"/>
      <c r="FN101" s="60"/>
      <c r="FO101" s="60"/>
      <c r="FP101" s="60"/>
      <c r="FQ101" s="60"/>
      <c r="FR101" s="60"/>
      <c r="FS101" s="60"/>
      <c r="FT101" s="60"/>
      <c r="FU101" s="60"/>
      <c r="FV101" s="60"/>
      <c r="FW101" s="60"/>
      <c r="FX101" s="60"/>
      <c r="FY101" s="60"/>
      <c r="FZ101" s="60"/>
      <c r="GA101" s="60"/>
      <c r="GB101" s="60"/>
      <c r="GC101" s="60"/>
      <c r="GD101" s="60"/>
      <c r="GE101" s="60"/>
      <c r="GF101" s="60"/>
      <c r="GG101" s="60"/>
      <c r="GH101" s="60"/>
      <c r="GI101" s="60"/>
      <c r="GJ101" s="60"/>
      <c r="GK101" s="60"/>
      <c r="GL101" s="60"/>
      <c r="GM101" s="60"/>
      <c r="GN101" s="60"/>
      <c r="GO101" s="60"/>
      <c r="GP101" s="60"/>
      <c r="GQ101" s="60"/>
      <c r="GR101" s="60"/>
      <c r="GS101" s="60"/>
      <c r="GT101" s="60"/>
      <c r="GU101" s="60"/>
      <c r="GV101" s="60"/>
      <c r="GW101" s="60"/>
      <c r="GX101" s="60"/>
      <c r="GY101" s="60"/>
      <c r="GZ101" s="60"/>
      <c r="HA101" s="60"/>
      <c r="HB101" s="60"/>
      <c r="HC101" s="60"/>
      <c r="HD101" s="60"/>
      <c r="HE101" s="60"/>
      <c r="HF101" s="60"/>
      <c r="HG101" s="60"/>
      <c r="HH101" s="60"/>
      <c r="HI101" s="60"/>
      <c r="HJ101" s="60"/>
      <c r="HK101" s="60"/>
      <c r="HL101" s="60"/>
      <c r="HM101" s="60"/>
      <c r="HN101" s="60"/>
      <c r="HO101" s="60"/>
      <c r="HP101" s="60"/>
      <c r="HQ101" s="60"/>
      <c r="HR101" s="60"/>
      <c r="HS101" s="60"/>
      <c r="HT101" s="60"/>
      <c r="HU101" s="60"/>
      <c r="HV101" s="60"/>
      <c r="HW101" s="60"/>
      <c r="HX101" s="60"/>
      <c r="HY101" s="60"/>
      <c r="HZ101" s="60"/>
      <c r="IA101" s="60"/>
      <c r="IB101" s="60"/>
      <c r="IC101" s="60"/>
      <c r="ID101" s="60"/>
      <c r="IE101" s="60"/>
      <c r="IF101" s="60"/>
      <c r="IG101" s="60"/>
      <c r="IH101" s="60"/>
      <c r="II101" s="60"/>
      <c r="IJ101" s="60"/>
      <c r="IK101" s="60"/>
      <c r="IL101" s="60"/>
      <c r="IM101" s="60"/>
      <c r="IN101" s="60"/>
      <c r="IO101" s="60"/>
      <c r="IP101" s="60"/>
      <c r="IQ101" s="60"/>
      <c r="IR101" s="60"/>
      <c r="IS101" s="60"/>
      <c r="IT101" s="60"/>
      <c r="IU101" s="60"/>
      <c r="IV101" s="60"/>
      <c r="IW101" s="60"/>
      <c r="IX101" s="60"/>
      <c r="IY101" s="60"/>
      <c r="IZ101" s="60"/>
      <c r="JA101" s="60"/>
      <c r="JB101" s="60"/>
      <c r="JC101" s="60"/>
      <c r="JD101" s="60"/>
      <c r="JE101" s="60"/>
      <c r="JF101" s="60"/>
      <c r="JG101" s="60"/>
      <c r="JH101" s="60"/>
      <c r="JI101" s="60"/>
      <c r="JJ101" s="60"/>
      <c r="JK101" s="60"/>
      <c r="JL101" s="60"/>
      <c r="JM101" s="60"/>
      <c r="JN101" s="60"/>
      <c r="JO101" s="60"/>
      <c r="JP101" s="60"/>
      <c r="JQ101" s="60"/>
      <c r="JR101" s="60"/>
      <c r="JS101" s="60"/>
      <c r="JT101" s="60"/>
      <c r="JU101" s="60"/>
      <c r="JV101" s="60"/>
      <c r="JW101" s="60"/>
      <c r="JX101" s="60"/>
      <c r="JY101" s="60"/>
      <c r="JZ101" s="60"/>
      <c r="KA101" s="60"/>
      <c r="KB101" s="60"/>
      <c r="KC101" s="60"/>
      <c r="KD101" s="60"/>
      <c r="KE101" s="60"/>
      <c r="KF101" s="60"/>
      <c r="KG101" s="60"/>
      <c r="KH101" s="60"/>
      <c r="KI101" s="60"/>
      <c r="KJ101" s="60"/>
      <c r="KK101" s="60"/>
      <c r="KL101" s="60"/>
      <c r="KM101" s="60"/>
      <c r="KN101" s="60"/>
      <c r="KO101" s="60"/>
      <c r="KP101" s="60"/>
      <c r="KQ101" s="60"/>
      <c r="KR101" s="60"/>
      <c r="KS101" s="60"/>
      <c r="KT101" s="60"/>
      <c r="KU101" s="60"/>
      <c r="KV101" s="60"/>
      <c r="KW101" s="60"/>
      <c r="KX101" s="60"/>
      <c r="KY101" s="60"/>
      <c r="KZ101" s="60"/>
      <c r="LA101" s="60"/>
      <c r="LB101" s="60"/>
      <c r="LC101" s="60"/>
      <c r="LD101" s="60"/>
      <c r="LE101" s="60"/>
      <c r="LF101" s="60"/>
      <c r="LG101" s="60"/>
      <c r="LH101" s="60"/>
    </row>
    <row r="102" spans="1:320" s="17" customFormat="1" x14ac:dyDescent="0.25">
      <c r="A102" s="147"/>
      <c r="E102" s="156"/>
      <c r="F102" s="156"/>
      <c r="G102" s="156"/>
      <c r="H102" s="156"/>
      <c r="I102" s="156"/>
      <c r="J102" s="156"/>
      <c r="K102" s="156"/>
      <c r="L102" s="156"/>
      <c r="M102" s="156"/>
      <c r="N102" s="156"/>
      <c r="O102" s="156"/>
      <c r="P102" s="156"/>
      <c r="Q102" s="156"/>
      <c r="R102" s="156"/>
      <c r="S102" s="156"/>
      <c r="AC102" s="60"/>
      <c r="AD102" s="60"/>
      <c r="AE102" s="60"/>
      <c r="AF102" s="60"/>
      <c r="AG102" s="60"/>
      <c r="AH102" s="60"/>
      <c r="AI102" s="60"/>
      <c r="AJ102" s="60"/>
      <c r="AK102" s="60"/>
      <c r="AL102" s="60"/>
      <c r="AM102" s="60"/>
      <c r="AN102" s="60"/>
      <c r="AO102" s="60"/>
      <c r="AP102" s="60"/>
      <c r="AQ102" s="60"/>
      <c r="AR102" s="60"/>
      <c r="AS102" s="60"/>
      <c r="AT102" s="60"/>
      <c r="AU102" s="60"/>
      <c r="AV102" s="60"/>
      <c r="AW102" s="60"/>
      <c r="AX102" s="60"/>
      <c r="AY102" s="60"/>
      <c r="AZ102" s="60"/>
      <c r="BA102" s="60"/>
      <c r="BB102" s="60"/>
      <c r="BC102" s="60"/>
      <c r="BD102" s="60"/>
      <c r="BE102" s="60"/>
      <c r="BF102" s="60"/>
      <c r="BG102" s="60"/>
      <c r="BH102" s="60"/>
      <c r="BI102" s="60"/>
      <c r="BJ102" s="60"/>
      <c r="BK102" s="60"/>
      <c r="BL102" s="60"/>
      <c r="BM102" s="60"/>
      <c r="BN102" s="60"/>
      <c r="BO102" s="60"/>
      <c r="BP102" s="60"/>
      <c r="BQ102" s="60"/>
      <c r="BR102" s="60"/>
      <c r="BS102" s="60"/>
      <c r="BT102" s="60"/>
      <c r="BU102" s="60"/>
      <c r="BV102" s="60"/>
      <c r="BW102" s="60"/>
      <c r="BX102" s="60"/>
      <c r="BY102" s="60"/>
      <c r="BZ102" s="60"/>
      <c r="CA102" s="60"/>
      <c r="CB102" s="60"/>
      <c r="CC102" s="60"/>
      <c r="CD102" s="60"/>
      <c r="CE102" s="60"/>
      <c r="CF102" s="60"/>
      <c r="CG102" s="60"/>
      <c r="CH102" s="60"/>
      <c r="CI102" s="60"/>
      <c r="CJ102" s="60"/>
      <c r="CK102" s="60"/>
      <c r="CL102" s="60"/>
      <c r="CM102" s="60"/>
      <c r="CN102" s="60"/>
      <c r="CO102" s="60"/>
      <c r="CP102" s="60"/>
      <c r="CQ102" s="60"/>
      <c r="CR102" s="60"/>
      <c r="CS102" s="60"/>
      <c r="CT102" s="60"/>
      <c r="CU102" s="60"/>
      <c r="CV102" s="60"/>
      <c r="CW102" s="60"/>
      <c r="CX102" s="60"/>
      <c r="CY102" s="60"/>
      <c r="CZ102" s="60"/>
      <c r="DA102" s="60"/>
      <c r="DB102" s="60"/>
      <c r="DC102" s="60"/>
      <c r="DD102" s="60"/>
      <c r="DE102" s="60"/>
      <c r="DF102" s="60"/>
      <c r="DG102" s="60"/>
      <c r="DH102" s="60"/>
      <c r="DI102" s="60"/>
      <c r="DJ102" s="60"/>
      <c r="DK102" s="60"/>
      <c r="DL102" s="60"/>
      <c r="DM102" s="60"/>
      <c r="DN102" s="60"/>
      <c r="DO102" s="60"/>
      <c r="DP102" s="60"/>
      <c r="DQ102" s="60"/>
      <c r="DR102" s="60"/>
      <c r="DS102" s="60"/>
      <c r="DT102" s="60"/>
      <c r="DU102" s="60"/>
      <c r="DV102" s="60"/>
      <c r="DW102" s="60"/>
      <c r="DX102" s="60"/>
      <c r="DY102" s="60"/>
      <c r="DZ102" s="60"/>
      <c r="EA102" s="60"/>
      <c r="EB102" s="60"/>
      <c r="EC102" s="60"/>
      <c r="ED102" s="60"/>
      <c r="EE102" s="60"/>
      <c r="EF102" s="60"/>
      <c r="EG102" s="60"/>
      <c r="EH102" s="60"/>
      <c r="EI102" s="60"/>
      <c r="EJ102" s="60"/>
      <c r="EK102" s="60"/>
      <c r="EL102" s="60"/>
      <c r="EM102" s="60"/>
      <c r="EN102" s="60"/>
      <c r="EO102" s="60"/>
      <c r="EP102" s="60"/>
      <c r="EQ102" s="60"/>
      <c r="ER102" s="60"/>
      <c r="ES102" s="60"/>
      <c r="ET102" s="60"/>
      <c r="EU102" s="60"/>
      <c r="EV102" s="60"/>
      <c r="EW102" s="60"/>
      <c r="EX102" s="60"/>
      <c r="EY102" s="60"/>
      <c r="EZ102" s="60"/>
      <c r="FA102" s="60"/>
      <c r="FB102" s="60"/>
      <c r="FC102" s="60"/>
      <c r="FD102" s="60"/>
      <c r="FE102" s="60"/>
      <c r="FF102" s="60"/>
      <c r="FG102" s="60"/>
      <c r="FH102" s="60"/>
      <c r="FI102" s="60"/>
      <c r="FJ102" s="60"/>
      <c r="FK102" s="60"/>
      <c r="FL102" s="60"/>
      <c r="FM102" s="60"/>
      <c r="FN102" s="60"/>
      <c r="FO102" s="60"/>
      <c r="FP102" s="60"/>
      <c r="FQ102" s="60"/>
      <c r="FR102" s="60"/>
      <c r="FS102" s="60"/>
      <c r="FT102" s="60"/>
      <c r="FU102" s="60"/>
      <c r="FV102" s="60"/>
      <c r="FW102" s="60"/>
      <c r="FX102" s="60"/>
      <c r="FY102" s="60"/>
      <c r="FZ102" s="60"/>
      <c r="GA102" s="60"/>
      <c r="GB102" s="60"/>
      <c r="GC102" s="60"/>
      <c r="GD102" s="60"/>
      <c r="GE102" s="60"/>
      <c r="GF102" s="60"/>
      <c r="GG102" s="60"/>
      <c r="GH102" s="60"/>
      <c r="GI102" s="60"/>
      <c r="GJ102" s="60"/>
      <c r="GK102" s="60"/>
      <c r="GL102" s="60"/>
      <c r="GM102" s="60"/>
      <c r="GN102" s="60"/>
      <c r="GO102" s="60"/>
      <c r="GP102" s="60"/>
      <c r="GQ102" s="60"/>
      <c r="GR102" s="60"/>
      <c r="GS102" s="60"/>
      <c r="GT102" s="60"/>
      <c r="GU102" s="60"/>
      <c r="GV102" s="60"/>
      <c r="GW102" s="60"/>
      <c r="GX102" s="60"/>
      <c r="GY102" s="60"/>
      <c r="GZ102" s="60"/>
      <c r="HA102" s="60"/>
      <c r="HB102" s="60"/>
      <c r="HC102" s="60"/>
      <c r="HD102" s="60"/>
      <c r="HE102" s="60"/>
      <c r="HF102" s="60"/>
      <c r="HG102" s="60"/>
      <c r="HH102" s="60"/>
      <c r="HI102" s="60"/>
      <c r="HJ102" s="60"/>
      <c r="HK102" s="60"/>
      <c r="HL102" s="60"/>
      <c r="HM102" s="60"/>
      <c r="HN102" s="60"/>
      <c r="HO102" s="60"/>
      <c r="HP102" s="60"/>
      <c r="HQ102" s="60"/>
      <c r="HR102" s="60"/>
      <c r="HS102" s="60"/>
      <c r="HT102" s="60"/>
      <c r="HU102" s="60"/>
      <c r="HV102" s="60"/>
      <c r="HW102" s="60"/>
      <c r="HX102" s="60"/>
      <c r="HY102" s="60"/>
      <c r="HZ102" s="60"/>
      <c r="IA102" s="60"/>
      <c r="IB102" s="60"/>
      <c r="IC102" s="60"/>
      <c r="ID102" s="60"/>
      <c r="IE102" s="60"/>
      <c r="IF102" s="60"/>
      <c r="IG102" s="60"/>
      <c r="IH102" s="60"/>
      <c r="II102" s="60"/>
      <c r="IJ102" s="60"/>
      <c r="IK102" s="60"/>
      <c r="IL102" s="60"/>
      <c r="IM102" s="60"/>
      <c r="IN102" s="60"/>
      <c r="IO102" s="60"/>
      <c r="IP102" s="60"/>
      <c r="IQ102" s="60"/>
      <c r="IR102" s="60"/>
      <c r="IS102" s="60"/>
      <c r="IT102" s="60"/>
      <c r="IU102" s="60"/>
      <c r="IV102" s="60"/>
      <c r="IW102" s="60"/>
      <c r="IX102" s="60"/>
      <c r="IY102" s="60"/>
      <c r="IZ102" s="60"/>
      <c r="JA102" s="60"/>
      <c r="JB102" s="60"/>
      <c r="JC102" s="60"/>
      <c r="JD102" s="60"/>
      <c r="JE102" s="60"/>
      <c r="JF102" s="60"/>
      <c r="JG102" s="60"/>
      <c r="JH102" s="60"/>
      <c r="JI102" s="60"/>
      <c r="JJ102" s="60"/>
      <c r="JK102" s="60"/>
      <c r="JL102" s="60"/>
      <c r="JM102" s="60"/>
      <c r="JN102" s="60"/>
      <c r="JO102" s="60"/>
      <c r="JP102" s="60"/>
      <c r="JQ102" s="60"/>
      <c r="JR102" s="60"/>
      <c r="JS102" s="60"/>
      <c r="JT102" s="60"/>
      <c r="JU102" s="60"/>
      <c r="JV102" s="60"/>
      <c r="JW102" s="60"/>
      <c r="JX102" s="60"/>
      <c r="JY102" s="60"/>
      <c r="JZ102" s="60"/>
      <c r="KA102" s="60"/>
      <c r="KB102" s="60"/>
      <c r="KC102" s="60"/>
      <c r="KD102" s="60"/>
      <c r="KE102" s="60"/>
      <c r="KF102" s="60"/>
      <c r="KG102" s="60"/>
      <c r="KH102" s="60"/>
      <c r="KI102" s="60"/>
      <c r="KJ102" s="60"/>
      <c r="KK102" s="60"/>
      <c r="KL102" s="60"/>
      <c r="KM102" s="60"/>
      <c r="KN102" s="60"/>
      <c r="KO102" s="60"/>
      <c r="KP102" s="60"/>
      <c r="KQ102" s="60"/>
      <c r="KR102" s="60"/>
      <c r="KS102" s="60"/>
      <c r="KT102" s="60"/>
      <c r="KU102" s="60"/>
      <c r="KV102" s="60"/>
      <c r="KW102" s="60"/>
      <c r="KX102" s="60"/>
      <c r="KY102" s="60"/>
      <c r="KZ102" s="60"/>
      <c r="LA102" s="60"/>
      <c r="LB102" s="60"/>
      <c r="LC102" s="60"/>
      <c r="LD102" s="60"/>
      <c r="LE102" s="60"/>
      <c r="LF102" s="60"/>
      <c r="LG102" s="60"/>
      <c r="LH102" s="60"/>
    </row>
    <row r="103" spans="1:320" s="17" customFormat="1" x14ac:dyDescent="0.25">
      <c r="A103" s="147"/>
      <c r="E103" s="156"/>
      <c r="F103" s="156"/>
      <c r="G103" s="156"/>
      <c r="H103" s="156"/>
      <c r="I103" s="156"/>
      <c r="J103" s="156"/>
      <c r="K103" s="156"/>
      <c r="L103" s="156"/>
      <c r="M103" s="156"/>
      <c r="N103" s="156"/>
      <c r="O103" s="156"/>
      <c r="P103" s="156"/>
      <c r="Q103" s="156"/>
      <c r="R103" s="156"/>
      <c r="S103" s="156"/>
      <c r="AC103" s="60"/>
      <c r="AD103" s="60"/>
      <c r="AE103" s="60"/>
      <c r="AF103" s="60"/>
      <c r="AG103" s="60"/>
      <c r="AH103" s="60"/>
      <c r="AI103" s="60"/>
      <c r="AJ103" s="60"/>
      <c r="AK103" s="60"/>
      <c r="AL103" s="60"/>
      <c r="AM103" s="60"/>
      <c r="AN103" s="60"/>
      <c r="AO103" s="60"/>
      <c r="AP103" s="60"/>
      <c r="AQ103" s="60"/>
      <c r="AR103" s="60"/>
      <c r="AS103" s="60"/>
      <c r="AT103" s="60"/>
      <c r="AU103" s="60"/>
      <c r="AV103" s="60"/>
      <c r="AW103" s="60"/>
      <c r="AX103" s="60"/>
      <c r="AY103" s="60"/>
      <c r="AZ103" s="60"/>
      <c r="BA103" s="60"/>
      <c r="BB103" s="60"/>
      <c r="BC103" s="60"/>
      <c r="BD103" s="60"/>
      <c r="BE103" s="60"/>
      <c r="BF103" s="60"/>
      <c r="BG103" s="60"/>
      <c r="BH103" s="60"/>
      <c r="BI103" s="60"/>
      <c r="BJ103" s="60"/>
      <c r="BK103" s="60"/>
      <c r="BL103" s="60"/>
      <c r="BM103" s="60"/>
      <c r="BN103" s="60"/>
      <c r="BO103" s="60"/>
      <c r="BP103" s="60"/>
      <c r="BQ103" s="60"/>
      <c r="BR103" s="60"/>
      <c r="BS103" s="60"/>
      <c r="BT103" s="60"/>
      <c r="BU103" s="60"/>
      <c r="BV103" s="60"/>
      <c r="BW103" s="60"/>
      <c r="BX103" s="60"/>
      <c r="BY103" s="60"/>
      <c r="BZ103" s="60"/>
      <c r="CA103" s="60"/>
      <c r="CB103" s="60"/>
      <c r="CC103" s="60"/>
      <c r="CD103" s="60"/>
      <c r="CE103" s="60"/>
      <c r="CF103" s="60"/>
      <c r="CG103" s="60"/>
      <c r="CH103" s="60"/>
      <c r="CI103" s="60"/>
      <c r="CJ103" s="60"/>
      <c r="CK103" s="60"/>
      <c r="CL103" s="60"/>
      <c r="CM103" s="60"/>
      <c r="CN103" s="60"/>
      <c r="CO103" s="60"/>
      <c r="CP103" s="60"/>
      <c r="CQ103" s="60"/>
      <c r="CR103" s="60"/>
      <c r="CS103" s="60"/>
      <c r="CT103" s="60"/>
      <c r="CU103" s="60"/>
      <c r="CV103" s="60"/>
      <c r="CW103" s="60"/>
      <c r="CX103" s="60"/>
      <c r="CY103" s="60"/>
      <c r="CZ103" s="60"/>
      <c r="DA103" s="60"/>
      <c r="DB103" s="60"/>
      <c r="DC103" s="60"/>
      <c r="DD103" s="60"/>
      <c r="DE103" s="60"/>
      <c r="DF103" s="60"/>
      <c r="DG103" s="60"/>
      <c r="DH103" s="60"/>
      <c r="DI103" s="60"/>
      <c r="DJ103" s="60"/>
      <c r="DK103" s="60"/>
      <c r="DL103" s="60"/>
      <c r="DM103" s="60"/>
      <c r="DN103" s="60"/>
      <c r="DO103" s="60"/>
      <c r="DP103" s="60"/>
      <c r="DQ103" s="60"/>
      <c r="DR103" s="60"/>
      <c r="DS103" s="60"/>
      <c r="DT103" s="60"/>
      <c r="DU103" s="60"/>
      <c r="DV103" s="60"/>
      <c r="DW103" s="60"/>
      <c r="DX103" s="60"/>
      <c r="DY103" s="60"/>
      <c r="DZ103" s="60"/>
      <c r="EA103" s="60"/>
      <c r="EB103" s="60"/>
      <c r="EC103" s="60"/>
      <c r="ED103" s="60"/>
      <c r="EE103" s="60"/>
      <c r="EF103" s="60"/>
      <c r="EG103" s="60"/>
      <c r="EH103" s="60"/>
      <c r="EI103" s="60"/>
      <c r="EJ103" s="60"/>
      <c r="EK103" s="60"/>
      <c r="EL103" s="60"/>
      <c r="EM103" s="60"/>
      <c r="EN103" s="60"/>
      <c r="EO103" s="60"/>
      <c r="EP103" s="60"/>
      <c r="EQ103" s="60"/>
      <c r="ER103" s="60"/>
      <c r="ES103" s="60"/>
      <c r="ET103" s="60"/>
      <c r="EU103" s="60"/>
      <c r="EV103" s="60"/>
      <c r="EW103" s="60"/>
      <c r="EX103" s="60"/>
      <c r="EY103" s="60"/>
      <c r="EZ103" s="60"/>
      <c r="FA103" s="60"/>
      <c r="FB103" s="60"/>
      <c r="FC103" s="60"/>
      <c r="FD103" s="60"/>
      <c r="FE103" s="60"/>
      <c r="FF103" s="60"/>
      <c r="FG103" s="60"/>
      <c r="FH103" s="60"/>
      <c r="FI103" s="60"/>
      <c r="FJ103" s="60"/>
      <c r="FK103" s="60"/>
      <c r="FL103" s="60"/>
      <c r="FM103" s="60"/>
      <c r="FN103" s="60"/>
      <c r="FO103" s="60"/>
      <c r="FP103" s="60"/>
      <c r="FQ103" s="60"/>
      <c r="FR103" s="60"/>
      <c r="FS103" s="60"/>
      <c r="FT103" s="60"/>
      <c r="FU103" s="60"/>
      <c r="FV103" s="60"/>
      <c r="FW103" s="60"/>
      <c r="FX103" s="60"/>
      <c r="FY103" s="60"/>
      <c r="FZ103" s="60"/>
      <c r="GA103" s="60"/>
      <c r="GB103" s="60"/>
      <c r="GC103" s="60"/>
      <c r="GD103" s="60"/>
      <c r="GE103" s="60"/>
      <c r="GF103" s="60"/>
      <c r="GG103" s="60"/>
      <c r="GH103" s="60"/>
      <c r="GI103" s="60"/>
      <c r="GJ103" s="60"/>
      <c r="GK103" s="60"/>
      <c r="GL103" s="60"/>
      <c r="GM103" s="60"/>
      <c r="GN103" s="60"/>
      <c r="GO103" s="60"/>
      <c r="GP103" s="60"/>
      <c r="GQ103" s="60"/>
      <c r="GR103" s="60"/>
      <c r="GS103" s="60"/>
      <c r="GT103" s="60"/>
      <c r="GU103" s="60"/>
      <c r="GV103" s="60"/>
      <c r="GW103" s="60"/>
      <c r="GX103" s="60"/>
      <c r="GY103" s="60"/>
      <c r="GZ103" s="60"/>
      <c r="HA103" s="60"/>
      <c r="HB103" s="60"/>
      <c r="HC103" s="60"/>
      <c r="HD103" s="60"/>
      <c r="HE103" s="60"/>
      <c r="HF103" s="60"/>
      <c r="HG103" s="60"/>
      <c r="HH103" s="60"/>
      <c r="HI103" s="60"/>
      <c r="HJ103" s="60"/>
      <c r="HK103" s="60"/>
      <c r="HL103" s="60"/>
      <c r="HM103" s="60"/>
      <c r="HN103" s="60"/>
      <c r="HO103" s="60"/>
      <c r="HP103" s="60"/>
      <c r="HQ103" s="60"/>
      <c r="HR103" s="60"/>
      <c r="HS103" s="60"/>
      <c r="HT103" s="60"/>
      <c r="HU103" s="60"/>
      <c r="HV103" s="60"/>
      <c r="HW103" s="60"/>
      <c r="HX103" s="60"/>
      <c r="HY103" s="60"/>
      <c r="HZ103" s="60"/>
      <c r="IA103" s="60"/>
      <c r="IB103" s="60"/>
      <c r="IC103" s="60"/>
      <c r="ID103" s="60"/>
      <c r="IE103" s="60"/>
      <c r="IF103" s="60"/>
      <c r="IG103" s="60"/>
      <c r="IH103" s="60"/>
      <c r="II103" s="60"/>
      <c r="IJ103" s="60"/>
      <c r="IK103" s="60"/>
      <c r="IL103" s="60"/>
      <c r="IM103" s="60"/>
      <c r="IN103" s="60"/>
      <c r="IO103" s="60"/>
      <c r="IP103" s="60"/>
      <c r="IQ103" s="60"/>
      <c r="IR103" s="60"/>
      <c r="IS103" s="60"/>
      <c r="IT103" s="60"/>
      <c r="IU103" s="60"/>
      <c r="IV103" s="60"/>
      <c r="IW103" s="60"/>
      <c r="IX103" s="60"/>
      <c r="IY103" s="60"/>
      <c r="IZ103" s="60"/>
      <c r="JA103" s="60"/>
      <c r="JB103" s="60"/>
      <c r="JC103" s="60"/>
      <c r="JD103" s="60"/>
      <c r="JE103" s="60"/>
      <c r="JF103" s="60"/>
      <c r="JG103" s="60"/>
      <c r="JH103" s="60"/>
      <c r="JI103" s="60"/>
      <c r="JJ103" s="60"/>
      <c r="JK103" s="60"/>
      <c r="JL103" s="60"/>
      <c r="JM103" s="60"/>
      <c r="JN103" s="60"/>
      <c r="JO103" s="60"/>
      <c r="JP103" s="60"/>
      <c r="JQ103" s="60"/>
      <c r="JR103" s="60"/>
      <c r="JS103" s="60"/>
      <c r="JT103" s="60"/>
      <c r="JU103" s="60"/>
      <c r="JV103" s="60"/>
      <c r="JW103" s="60"/>
      <c r="JX103" s="60"/>
      <c r="JY103" s="60"/>
      <c r="JZ103" s="60"/>
      <c r="KA103" s="60"/>
      <c r="KB103" s="60"/>
      <c r="KC103" s="60"/>
      <c r="KD103" s="60"/>
      <c r="KE103" s="60"/>
      <c r="KF103" s="60"/>
      <c r="KG103" s="60"/>
      <c r="KH103" s="60"/>
      <c r="KI103" s="60"/>
      <c r="KJ103" s="60"/>
      <c r="KK103" s="60"/>
      <c r="KL103" s="60"/>
      <c r="KM103" s="60"/>
      <c r="KN103" s="60"/>
      <c r="KO103" s="60"/>
      <c r="KP103" s="60"/>
      <c r="KQ103" s="60"/>
      <c r="KR103" s="60"/>
      <c r="KS103" s="60"/>
      <c r="KT103" s="60"/>
      <c r="KU103" s="60"/>
      <c r="KV103" s="60"/>
      <c r="KW103" s="60"/>
      <c r="KX103" s="60"/>
      <c r="KY103" s="60"/>
      <c r="KZ103" s="60"/>
      <c r="LA103" s="60"/>
      <c r="LB103" s="60"/>
      <c r="LC103" s="60"/>
      <c r="LD103" s="60"/>
      <c r="LE103" s="60"/>
      <c r="LF103" s="60"/>
      <c r="LG103" s="60"/>
      <c r="LH103" s="60"/>
    </row>
    <row r="104" spans="1:320" s="17" customFormat="1" x14ac:dyDescent="0.25">
      <c r="A104" s="147"/>
      <c r="E104" s="156"/>
      <c r="F104" s="156"/>
      <c r="G104" s="156"/>
      <c r="H104" s="156"/>
      <c r="I104" s="156"/>
      <c r="J104" s="156"/>
      <c r="K104" s="156"/>
      <c r="L104" s="156"/>
      <c r="M104" s="156"/>
      <c r="N104" s="156"/>
      <c r="O104" s="156"/>
      <c r="P104" s="156"/>
      <c r="Q104" s="156"/>
      <c r="R104" s="156"/>
      <c r="S104" s="156"/>
      <c r="AC104" s="60"/>
      <c r="AD104" s="60"/>
      <c r="AE104" s="60"/>
      <c r="AF104" s="60"/>
      <c r="AG104" s="60"/>
      <c r="AH104" s="60"/>
      <c r="AI104" s="60"/>
      <c r="AJ104" s="60"/>
      <c r="AK104" s="60"/>
      <c r="AL104" s="60"/>
      <c r="AM104" s="60"/>
      <c r="AN104" s="60"/>
      <c r="AO104" s="60"/>
      <c r="AP104" s="60"/>
      <c r="AQ104" s="60"/>
      <c r="AR104" s="60"/>
      <c r="AS104" s="60"/>
      <c r="AT104" s="60"/>
      <c r="AU104" s="60"/>
      <c r="AV104" s="60"/>
      <c r="AW104" s="60"/>
      <c r="AX104" s="60"/>
      <c r="AY104" s="60"/>
      <c r="AZ104" s="60"/>
      <c r="BA104" s="60"/>
      <c r="BB104" s="60"/>
      <c r="BC104" s="60"/>
      <c r="BD104" s="60"/>
      <c r="BE104" s="60"/>
      <c r="BF104" s="60"/>
      <c r="BG104" s="60"/>
      <c r="BH104" s="60"/>
      <c r="BI104" s="60"/>
      <c r="BJ104" s="60"/>
      <c r="BK104" s="60"/>
      <c r="BL104" s="60"/>
      <c r="BM104" s="60"/>
      <c r="BN104" s="60"/>
      <c r="BO104" s="60"/>
      <c r="BP104" s="60"/>
      <c r="BQ104" s="60"/>
      <c r="BR104" s="60"/>
      <c r="BS104" s="60"/>
      <c r="BT104" s="60"/>
      <c r="BU104" s="60"/>
      <c r="BV104" s="60"/>
      <c r="BW104" s="60"/>
      <c r="BX104" s="60"/>
      <c r="BY104" s="60"/>
      <c r="BZ104" s="60"/>
      <c r="CA104" s="60"/>
      <c r="CB104" s="60"/>
      <c r="CC104" s="60"/>
      <c r="CD104" s="60"/>
      <c r="CE104" s="60"/>
      <c r="CF104" s="60"/>
      <c r="CG104" s="60"/>
      <c r="CH104" s="60"/>
      <c r="CI104" s="60"/>
      <c r="CJ104" s="60"/>
      <c r="CK104" s="60"/>
      <c r="CL104" s="60"/>
      <c r="CM104" s="60"/>
      <c r="CN104" s="60"/>
      <c r="CO104" s="60"/>
      <c r="CP104" s="60"/>
      <c r="CQ104" s="60"/>
      <c r="CR104" s="60"/>
      <c r="CS104" s="60"/>
      <c r="CT104" s="60"/>
      <c r="CU104" s="60"/>
      <c r="CV104" s="60"/>
      <c r="CW104" s="60"/>
      <c r="CX104" s="60"/>
      <c r="CY104" s="60"/>
      <c r="CZ104" s="60"/>
      <c r="DA104" s="60"/>
      <c r="DB104" s="60"/>
      <c r="DC104" s="60"/>
      <c r="DD104" s="60"/>
      <c r="DE104" s="60"/>
      <c r="DF104" s="60"/>
      <c r="DG104" s="60"/>
      <c r="DH104" s="60"/>
      <c r="DI104" s="60"/>
      <c r="DJ104" s="60"/>
      <c r="DK104" s="60"/>
      <c r="DL104" s="60"/>
      <c r="DM104" s="60"/>
      <c r="DN104" s="60"/>
      <c r="DO104" s="60"/>
      <c r="DP104" s="60"/>
      <c r="DQ104" s="60"/>
      <c r="DR104" s="60"/>
      <c r="DS104" s="60"/>
      <c r="DT104" s="60"/>
      <c r="DU104" s="60"/>
      <c r="DV104" s="60"/>
      <c r="DW104" s="60"/>
      <c r="DX104" s="60"/>
      <c r="DY104" s="60"/>
      <c r="DZ104" s="60"/>
      <c r="EA104" s="60"/>
      <c r="EB104" s="60"/>
      <c r="EC104" s="60"/>
      <c r="ED104" s="60"/>
      <c r="EE104" s="60"/>
      <c r="EF104" s="60"/>
      <c r="EG104" s="60"/>
      <c r="EH104" s="60"/>
      <c r="EI104" s="60"/>
      <c r="EJ104" s="60"/>
      <c r="EK104" s="60"/>
      <c r="EL104" s="60"/>
      <c r="EM104" s="60"/>
      <c r="EN104" s="60"/>
      <c r="EO104" s="60"/>
      <c r="EP104" s="60"/>
      <c r="EQ104" s="60"/>
      <c r="ER104" s="60"/>
      <c r="ES104" s="60"/>
      <c r="ET104" s="60"/>
      <c r="EU104" s="60"/>
      <c r="EV104" s="60"/>
      <c r="EW104" s="60"/>
      <c r="EX104" s="60"/>
      <c r="EY104" s="60"/>
      <c r="EZ104" s="60"/>
      <c r="FA104" s="60"/>
      <c r="FB104" s="60"/>
      <c r="FC104" s="60"/>
      <c r="FD104" s="60"/>
      <c r="FE104" s="60"/>
      <c r="FF104" s="60"/>
      <c r="FG104" s="60"/>
      <c r="FH104" s="60"/>
      <c r="FI104" s="60"/>
      <c r="FJ104" s="60"/>
      <c r="FK104" s="60"/>
      <c r="FL104" s="60"/>
      <c r="FM104" s="60"/>
      <c r="FN104" s="60"/>
      <c r="FO104" s="60"/>
      <c r="FP104" s="60"/>
      <c r="FQ104" s="60"/>
      <c r="FR104" s="60"/>
      <c r="FS104" s="60"/>
      <c r="FT104" s="60"/>
      <c r="FU104" s="60"/>
      <c r="FV104" s="60"/>
      <c r="FW104" s="60"/>
      <c r="FX104" s="60"/>
      <c r="FY104" s="60"/>
      <c r="FZ104" s="60"/>
      <c r="GA104" s="60"/>
      <c r="GB104" s="60"/>
      <c r="GC104" s="60"/>
      <c r="GD104" s="60"/>
      <c r="GE104" s="60"/>
      <c r="GF104" s="60"/>
      <c r="GG104" s="60"/>
      <c r="GH104" s="60"/>
      <c r="GI104" s="60"/>
      <c r="GJ104" s="60"/>
      <c r="GK104" s="60"/>
      <c r="GL104" s="60"/>
      <c r="GM104" s="60"/>
      <c r="GN104" s="60"/>
      <c r="GO104" s="60"/>
      <c r="GP104" s="60"/>
      <c r="GQ104" s="60"/>
      <c r="GR104" s="60"/>
      <c r="GS104" s="60"/>
      <c r="GT104" s="60"/>
      <c r="GU104" s="60"/>
      <c r="GV104" s="60"/>
      <c r="GW104" s="60"/>
      <c r="GX104" s="60"/>
      <c r="GY104" s="60"/>
      <c r="GZ104" s="60"/>
      <c r="HA104" s="60"/>
      <c r="HB104" s="60"/>
      <c r="HC104" s="60"/>
      <c r="HD104" s="60"/>
      <c r="HE104" s="60"/>
      <c r="HF104" s="60"/>
      <c r="HG104" s="60"/>
      <c r="HH104" s="60"/>
      <c r="HI104" s="60"/>
      <c r="HJ104" s="60"/>
      <c r="HK104" s="60"/>
      <c r="HL104" s="60"/>
      <c r="HM104" s="60"/>
      <c r="HN104" s="60"/>
      <c r="HO104" s="60"/>
      <c r="HP104" s="60"/>
      <c r="HQ104" s="60"/>
      <c r="HR104" s="60"/>
      <c r="HS104" s="60"/>
      <c r="HT104" s="60"/>
      <c r="HU104" s="60"/>
      <c r="HV104" s="60"/>
      <c r="HW104" s="60"/>
      <c r="HX104" s="60"/>
      <c r="HY104" s="60"/>
      <c r="HZ104" s="60"/>
      <c r="IA104" s="60"/>
      <c r="IB104" s="60"/>
      <c r="IC104" s="60"/>
      <c r="ID104" s="60"/>
      <c r="IE104" s="60"/>
      <c r="IF104" s="60"/>
      <c r="IG104" s="60"/>
      <c r="IH104" s="60"/>
      <c r="II104" s="60"/>
      <c r="IJ104" s="60"/>
      <c r="IK104" s="60"/>
      <c r="IL104" s="60"/>
      <c r="IM104" s="60"/>
      <c r="IN104" s="60"/>
      <c r="IO104" s="60"/>
      <c r="IP104" s="60"/>
      <c r="IQ104" s="60"/>
      <c r="IR104" s="60"/>
      <c r="IS104" s="60"/>
      <c r="IT104" s="60"/>
      <c r="IU104" s="60"/>
      <c r="IV104" s="60"/>
      <c r="IW104" s="60"/>
      <c r="IX104" s="60"/>
      <c r="IY104" s="60"/>
      <c r="IZ104" s="60"/>
      <c r="JA104" s="60"/>
      <c r="JB104" s="60"/>
      <c r="JC104" s="60"/>
      <c r="JD104" s="60"/>
      <c r="JE104" s="60"/>
      <c r="JF104" s="60"/>
      <c r="JG104" s="60"/>
      <c r="JH104" s="60"/>
      <c r="JI104" s="60"/>
      <c r="JJ104" s="60"/>
      <c r="JK104" s="60"/>
      <c r="JL104" s="60"/>
      <c r="JM104" s="60"/>
      <c r="JN104" s="60"/>
      <c r="JO104" s="60"/>
      <c r="JP104" s="60"/>
      <c r="JQ104" s="60"/>
      <c r="JR104" s="60"/>
      <c r="JS104" s="60"/>
      <c r="JT104" s="60"/>
      <c r="JU104" s="60"/>
      <c r="JV104" s="60"/>
      <c r="JW104" s="60"/>
      <c r="JX104" s="60"/>
      <c r="JY104" s="60"/>
      <c r="JZ104" s="60"/>
      <c r="KA104" s="60"/>
      <c r="KB104" s="60"/>
      <c r="KC104" s="60"/>
      <c r="KD104" s="60"/>
      <c r="KE104" s="60"/>
      <c r="KF104" s="60"/>
      <c r="KG104" s="60"/>
      <c r="KH104" s="60"/>
      <c r="KI104" s="60"/>
      <c r="KJ104" s="60"/>
      <c r="KK104" s="60"/>
      <c r="KL104" s="60"/>
      <c r="KM104" s="60"/>
      <c r="KN104" s="60"/>
      <c r="KO104" s="60"/>
      <c r="KP104" s="60"/>
      <c r="KQ104" s="60"/>
      <c r="KR104" s="60"/>
      <c r="KS104" s="60"/>
      <c r="KT104" s="60"/>
      <c r="KU104" s="60"/>
      <c r="KV104" s="60"/>
      <c r="KW104" s="60"/>
      <c r="KX104" s="60"/>
      <c r="KY104" s="60"/>
      <c r="KZ104" s="60"/>
      <c r="LA104" s="60"/>
      <c r="LB104" s="60"/>
      <c r="LC104" s="60"/>
      <c r="LD104" s="60"/>
      <c r="LE104" s="60"/>
      <c r="LF104" s="60"/>
      <c r="LG104" s="60"/>
      <c r="LH104" s="60"/>
    </row>
    <row r="105" spans="1:320" s="17" customFormat="1" x14ac:dyDescent="0.25">
      <c r="A105" s="147"/>
      <c r="E105" s="156"/>
      <c r="F105" s="156"/>
      <c r="G105" s="156"/>
      <c r="H105" s="156"/>
      <c r="I105" s="156"/>
      <c r="J105" s="156"/>
      <c r="K105" s="156"/>
      <c r="L105" s="156"/>
      <c r="M105" s="156"/>
      <c r="N105" s="156"/>
      <c r="O105" s="156"/>
      <c r="P105" s="156"/>
      <c r="Q105" s="156"/>
      <c r="R105" s="156"/>
      <c r="S105" s="156"/>
      <c r="AC105" s="60"/>
      <c r="AD105" s="60"/>
      <c r="AE105" s="60"/>
      <c r="AF105" s="60"/>
      <c r="AG105" s="60"/>
      <c r="AH105" s="60"/>
      <c r="AI105" s="60"/>
      <c r="AJ105" s="60"/>
      <c r="AK105" s="60"/>
      <c r="AL105" s="60"/>
      <c r="AM105" s="60"/>
      <c r="AN105" s="60"/>
      <c r="AO105" s="60"/>
      <c r="AP105" s="60"/>
      <c r="AQ105" s="60"/>
      <c r="AR105" s="60"/>
      <c r="AS105" s="60"/>
      <c r="AT105" s="60"/>
      <c r="AU105" s="60"/>
      <c r="AV105" s="60"/>
      <c r="AW105" s="60"/>
      <c r="AX105" s="60"/>
      <c r="AY105" s="60"/>
      <c r="AZ105" s="60"/>
      <c r="BA105" s="60"/>
      <c r="BB105" s="60"/>
      <c r="BC105" s="60"/>
      <c r="BD105" s="60"/>
      <c r="BE105" s="60"/>
      <c r="BF105" s="60"/>
      <c r="BG105" s="60"/>
      <c r="BH105" s="60"/>
      <c r="BI105" s="60"/>
      <c r="BJ105" s="60"/>
      <c r="BK105" s="60"/>
      <c r="BL105" s="60"/>
      <c r="BM105" s="60"/>
      <c r="BN105" s="60"/>
      <c r="BO105" s="60"/>
      <c r="BP105" s="60"/>
      <c r="BQ105" s="60"/>
      <c r="BR105" s="60"/>
      <c r="BS105" s="60"/>
      <c r="BT105" s="60"/>
      <c r="BU105" s="60"/>
      <c r="BV105" s="60"/>
      <c r="BW105" s="60"/>
      <c r="BX105" s="60"/>
      <c r="BY105" s="60"/>
      <c r="BZ105" s="60"/>
      <c r="CA105" s="60"/>
      <c r="CB105" s="60"/>
      <c r="CC105" s="60"/>
      <c r="CD105" s="60"/>
      <c r="CE105" s="60"/>
      <c r="CF105" s="60"/>
      <c r="CG105" s="60"/>
      <c r="CH105" s="60"/>
      <c r="CI105" s="60"/>
      <c r="CJ105" s="60"/>
      <c r="CK105" s="60"/>
      <c r="CL105" s="60"/>
      <c r="CM105" s="60"/>
      <c r="CN105" s="60"/>
      <c r="CO105" s="60"/>
      <c r="CP105" s="60"/>
      <c r="CQ105" s="60"/>
      <c r="CR105" s="60"/>
      <c r="CS105" s="60"/>
      <c r="CT105" s="60"/>
      <c r="CU105" s="60"/>
      <c r="CV105" s="60"/>
      <c r="CW105" s="60"/>
      <c r="CX105" s="60"/>
      <c r="CY105" s="60"/>
      <c r="CZ105" s="60"/>
      <c r="DA105" s="60"/>
      <c r="DB105" s="60"/>
      <c r="DC105" s="60"/>
      <c r="DD105" s="60"/>
      <c r="DE105" s="60"/>
      <c r="DF105" s="60"/>
      <c r="DG105" s="60"/>
      <c r="DH105" s="60"/>
      <c r="DI105" s="60"/>
      <c r="DJ105" s="60"/>
      <c r="DK105" s="60"/>
      <c r="DL105" s="60"/>
      <c r="DM105" s="60"/>
      <c r="DN105" s="60"/>
      <c r="DO105" s="60"/>
      <c r="DP105" s="60"/>
      <c r="DQ105" s="60"/>
      <c r="DR105" s="60"/>
      <c r="DS105" s="60"/>
      <c r="DT105" s="60"/>
      <c r="DU105" s="60"/>
      <c r="DV105" s="60"/>
      <c r="DW105" s="60"/>
      <c r="DX105" s="60"/>
      <c r="DY105" s="60"/>
      <c r="DZ105" s="60"/>
      <c r="EA105" s="60"/>
      <c r="EB105" s="60"/>
      <c r="EC105" s="60"/>
      <c r="ED105" s="60"/>
      <c r="EE105" s="60"/>
      <c r="EF105" s="60"/>
      <c r="EG105" s="60"/>
      <c r="EH105" s="60"/>
      <c r="EI105" s="60"/>
      <c r="EJ105" s="60"/>
      <c r="EK105" s="60"/>
      <c r="EL105" s="60"/>
      <c r="EM105" s="60"/>
      <c r="EN105" s="60"/>
      <c r="EO105" s="60"/>
      <c r="EP105" s="60"/>
      <c r="EQ105" s="60"/>
      <c r="ER105" s="60"/>
      <c r="ES105" s="60"/>
      <c r="ET105" s="60"/>
      <c r="EU105" s="60"/>
      <c r="EV105" s="60"/>
      <c r="EW105" s="60"/>
      <c r="EX105" s="60"/>
      <c r="EY105" s="60"/>
      <c r="EZ105" s="60"/>
      <c r="FA105" s="60"/>
      <c r="FB105" s="60"/>
      <c r="FC105" s="60"/>
      <c r="FD105" s="60"/>
      <c r="FE105" s="60"/>
      <c r="FF105" s="60"/>
      <c r="FG105" s="60"/>
      <c r="FH105" s="60"/>
      <c r="FI105" s="60"/>
      <c r="FJ105" s="60"/>
      <c r="FK105" s="60"/>
      <c r="FL105" s="60"/>
      <c r="FM105" s="60"/>
      <c r="FN105" s="60"/>
      <c r="FO105" s="60"/>
      <c r="FP105" s="60"/>
      <c r="FQ105" s="60"/>
      <c r="FR105" s="60"/>
      <c r="FS105" s="60"/>
      <c r="FT105" s="60"/>
      <c r="FU105" s="60"/>
      <c r="FV105" s="60"/>
      <c r="FW105" s="60"/>
      <c r="FX105" s="60"/>
      <c r="FY105" s="60"/>
      <c r="FZ105" s="60"/>
      <c r="GA105" s="60"/>
      <c r="GB105" s="60"/>
      <c r="GC105" s="60"/>
      <c r="GD105" s="60"/>
      <c r="GE105" s="60"/>
      <c r="GF105" s="60"/>
      <c r="GG105" s="60"/>
      <c r="GH105" s="60"/>
      <c r="GI105" s="60"/>
      <c r="GJ105" s="60"/>
      <c r="GK105" s="60"/>
      <c r="GL105" s="60"/>
      <c r="GM105" s="60"/>
      <c r="GN105" s="60"/>
      <c r="GO105" s="60"/>
      <c r="GP105" s="60"/>
      <c r="GQ105" s="60"/>
      <c r="GR105" s="60"/>
      <c r="GS105" s="60"/>
      <c r="GT105" s="60"/>
      <c r="GU105" s="60"/>
      <c r="GV105" s="60"/>
      <c r="GW105" s="60"/>
      <c r="GX105" s="60"/>
      <c r="GY105" s="60"/>
      <c r="GZ105" s="60"/>
      <c r="HA105" s="60"/>
      <c r="HB105" s="60"/>
      <c r="HC105" s="60"/>
      <c r="HD105" s="60"/>
      <c r="HE105" s="60"/>
      <c r="HF105" s="60"/>
      <c r="HG105" s="60"/>
      <c r="HH105" s="60"/>
      <c r="HI105" s="60"/>
      <c r="HJ105" s="60"/>
      <c r="HK105" s="60"/>
      <c r="HL105" s="60"/>
      <c r="HM105" s="60"/>
      <c r="HN105" s="60"/>
      <c r="HO105" s="60"/>
      <c r="HP105" s="60"/>
      <c r="HQ105" s="60"/>
      <c r="HR105" s="60"/>
      <c r="HS105" s="60"/>
      <c r="HT105" s="60"/>
      <c r="HU105" s="60"/>
      <c r="HV105" s="60"/>
      <c r="HW105" s="60"/>
      <c r="HX105" s="60"/>
      <c r="HY105" s="60"/>
      <c r="HZ105" s="60"/>
      <c r="IA105" s="60"/>
      <c r="IB105" s="60"/>
      <c r="IC105" s="60"/>
      <c r="ID105" s="60"/>
      <c r="IE105" s="60"/>
      <c r="IF105" s="60"/>
      <c r="IG105" s="60"/>
      <c r="IH105" s="60"/>
      <c r="II105" s="60"/>
      <c r="IJ105" s="60"/>
      <c r="IK105" s="60"/>
      <c r="IL105" s="60"/>
      <c r="IM105" s="60"/>
      <c r="IN105" s="60"/>
      <c r="IO105" s="60"/>
      <c r="IP105" s="60"/>
      <c r="IQ105" s="60"/>
      <c r="IR105" s="60"/>
      <c r="IS105" s="60"/>
      <c r="IT105" s="60"/>
      <c r="IU105" s="60"/>
      <c r="IV105" s="60"/>
      <c r="IW105" s="60"/>
      <c r="IX105" s="60"/>
      <c r="IY105" s="60"/>
      <c r="IZ105" s="60"/>
      <c r="JA105" s="60"/>
      <c r="JB105" s="60"/>
      <c r="JC105" s="60"/>
      <c r="JD105" s="60"/>
      <c r="JE105" s="60"/>
      <c r="JF105" s="60"/>
      <c r="JG105" s="60"/>
      <c r="JH105" s="60"/>
      <c r="JI105" s="60"/>
      <c r="JJ105" s="60"/>
      <c r="JK105" s="60"/>
      <c r="JL105" s="60"/>
      <c r="JM105" s="60"/>
      <c r="JN105" s="60"/>
      <c r="JO105" s="60"/>
      <c r="JP105" s="60"/>
      <c r="JQ105" s="60"/>
      <c r="JR105" s="60"/>
      <c r="JS105" s="60"/>
      <c r="JT105" s="60"/>
      <c r="JU105" s="60"/>
      <c r="JV105" s="60"/>
      <c r="JW105" s="60"/>
      <c r="JX105" s="60"/>
      <c r="JY105" s="60"/>
      <c r="JZ105" s="60"/>
      <c r="KA105" s="60"/>
      <c r="KB105" s="60"/>
      <c r="KC105" s="60"/>
      <c r="KD105" s="60"/>
      <c r="KE105" s="60"/>
      <c r="KF105" s="60"/>
      <c r="KG105" s="60"/>
      <c r="KH105" s="60"/>
      <c r="KI105" s="60"/>
      <c r="KJ105" s="60"/>
      <c r="KK105" s="60"/>
      <c r="KL105" s="60"/>
      <c r="KM105" s="60"/>
      <c r="KN105" s="60"/>
      <c r="KO105" s="60"/>
      <c r="KP105" s="60"/>
      <c r="KQ105" s="60"/>
      <c r="KR105" s="60"/>
      <c r="KS105" s="60"/>
      <c r="KT105" s="60"/>
      <c r="KU105" s="60"/>
      <c r="KV105" s="60"/>
      <c r="KW105" s="60"/>
      <c r="KX105" s="60"/>
      <c r="KY105" s="60"/>
      <c r="KZ105" s="60"/>
      <c r="LA105" s="60"/>
      <c r="LB105" s="60"/>
      <c r="LC105" s="60"/>
      <c r="LD105" s="60"/>
      <c r="LE105" s="60"/>
      <c r="LF105" s="60"/>
      <c r="LG105" s="60"/>
      <c r="LH105" s="60"/>
    </row>
    <row r="106" spans="1:320" s="17" customFormat="1" x14ac:dyDescent="0.25">
      <c r="A106" s="147"/>
      <c r="E106" s="156"/>
      <c r="F106" s="156"/>
      <c r="G106" s="156"/>
      <c r="H106" s="156"/>
      <c r="I106" s="156"/>
      <c r="J106" s="156"/>
      <c r="K106" s="156"/>
      <c r="L106" s="156"/>
      <c r="M106" s="156"/>
      <c r="N106" s="156"/>
      <c r="O106" s="156"/>
      <c r="P106" s="156"/>
      <c r="Q106" s="156"/>
      <c r="R106" s="156"/>
      <c r="S106" s="156"/>
      <c r="AC106" s="60"/>
      <c r="AD106" s="60"/>
      <c r="AE106" s="60"/>
      <c r="AF106" s="60"/>
      <c r="AG106" s="60"/>
      <c r="AH106" s="60"/>
      <c r="AI106" s="60"/>
      <c r="AJ106" s="60"/>
      <c r="AK106" s="60"/>
      <c r="AL106" s="60"/>
      <c r="AM106" s="60"/>
      <c r="AN106" s="60"/>
      <c r="AO106" s="60"/>
      <c r="AP106" s="60"/>
      <c r="AQ106" s="60"/>
      <c r="AR106" s="60"/>
      <c r="AS106" s="60"/>
      <c r="AT106" s="60"/>
      <c r="AU106" s="60"/>
      <c r="AV106" s="60"/>
      <c r="AW106" s="60"/>
      <c r="AX106" s="60"/>
      <c r="AY106" s="60"/>
      <c r="AZ106" s="60"/>
      <c r="BA106" s="60"/>
      <c r="BB106" s="60"/>
      <c r="BC106" s="60"/>
      <c r="BD106" s="60"/>
      <c r="BE106" s="60"/>
      <c r="BF106" s="60"/>
      <c r="BG106" s="60"/>
      <c r="BH106" s="60"/>
      <c r="BI106" s="60"/>
      <c r="BJ106" s="60"/>
      <c r="BK106" s="60"/>
      <c r="BL106" s="60"/>
      <c r="BM106" s="60"/>
      <c r="BN106" s="60"/>
      <c r="BO106" s="60"/>
      <c r="BP106" s="60"/>
      <c r="BQ106" s="60"/>
      <c r="BR106" s="60"/>
      <c r="BS106" s="60"/>
      <c r="BT106" s="60"/>
      <c r="BU106" s="60"/>
      <c r="BV106" s="60"/>
      <c r="BW106" s="60"/>
      <c r="BX106" s="60"/>
      <c r="BY106" s="60"/>
      <c r="BZ106" s="60"/>
      <c r="CA106" s="60"/>
      <c r="CB106" s="60"/>
      <c r="CC106" s="60"/>
      <c r="CD106" s="60"/>
      <c r="CE106" s="60"/>
      <c r="CF106" s="60"/>
      <c r="CG106" s="60"/>
      <c r="CH106" s="60"/>
      <c r="CI106" s="60"/>
      <c r="CJ106" s="60"/>
      <c r="CK106" s="60"/>
      <c r="CL106" s="60"/>
      <c r="CM106" s="60"/>
      <c r="CN106" s="60"/>
      <c r="CO106" s="60"/>
      <c r="CP106" s="60"/>
      <c r="CQ106" s="60"/>
      <c r="CR106" s="60"/>
      <c r="CS106" s="60"/>
      <c r="CT106" s="60"/>
      <c r="CU106" s="60"/>
      <c r="CV106" s="60"/>
      <c r="CW106" s="60"/>
      <c r="CX106" s="60"/>
      <c r="CY106" s="60"/>
      <c r="CZ106" s="60"/>
      <c r="DA106" s="60"/>
      <c r="DB106" s="60"/>
      <c r="DC106" s="60"/>
      <c r="DD106" s="60"/>
      <c r="DE106" s="60"/>
      <c r="DF106" s="60"/>
      <c r="DG106" s="60"/>
      <c r="DH106" s="60"/>
      <c r="DI106" s="60"/>
      <c r="DJ106" s="60"/>
      <c r="DK106" s="60"/>
      <c r="DL106" s="60"/>
      <c r="DM106" s="60"/>
      <c r="DN106" s="60"/>
      <c r="DO106" s="60"/>
      <c r="DP106" s="60"/>
      <c r="DQ106" s="60"/>
      <c r="DR106" s="60"/>
      <c r="DS106" s="60"/>
      <c r="DT106" s="60"/>
      <c r="DU106" s="60"/>
      <c r="DV106" s="60"/>
      <c r="DW106" s="60"/>
      <c r="DX106" s="60"/>
      <c r="DY106" s="60"/>
      <c r="DZ106" s="60"/>
      <c r="EA106" s="60"/>
      <c r="EB106" s="60"/>
      <c r="EC106" s="60"/>
      <c r="ED106" s="60"/>
      <c r="EE106" s="60"/>
      <c r="EF106" s="60"/>
      <c r="EG106" s="60"/>
      <c r="EH106" s="60"/>
      <c r="EI106" s="60"/>
      <c r="EJ106" s="60"/>
      <c r="EK106" s="60"/>
      <c r="EL106" s="60"/>
      <c r="EM106" s="60"/>
      <c r="EN106" s="60"/>
      <c r="EO106" s="60"/>
      <c r="EP106" s="60"/>
      <c r="EQ106" s="60"/>
      <c r="ER106" s="60"/>
      <c r="ES106" s="60"/>
      <c r="ET106" s="60"/>
      <c r="EU106" s="60"/>
      <c r="EV106" s="60"/>
      <c r="EW106" s="60"/>
      <c r="EX106" s="60"/>
      <c r="EY106" s="60"/>
      <c r="EZ106" s="60"/>
      <c r="FA106" s="60"/>
      <c r="FB106" s="60"/>
      <c r="FC106" s="60"/>
      <c r="FD106" s="60"/>
      <c r="FE106" s="60"/>
      <c r="FF106" s="60"/>
      <c r="FG106" s="60"/>
      <c r="FH106" s="60"/>
      <c r="FI106" s="60"/>
      <c r="FJ106" s="60"/>
      <c r="FK106" s="60"/>
      <c r="FL106" s="60"/>
      <c r="FM106" s="60"/>
      <c r="FN106" s="60"/>
      <c r="FO106" s="60"/>
      <c r="FP106" s="60"/>
      <c r="FQ106" s="60"/>
      <c r="FR106" s="60"/>
      <c r="FS106" s="60"/>
      <c r="FT106" s="60"/>
      <c r="FU106" s="60"/>
      <c r="FV106" s="60"/>
      <c r="FW106" s="60"/>
      <c r="FX106" s="60"/>
      <c r="FY106" s="60"/>
      <c r="FZ106" s="60"/>
      <c r="GA106" s="60"/>
      <c r="GB106" s="60"/>
      <c r="GC106" s="60"/>
      <c r="GD106" s="60"/>
      <c r="GE106" s="60"/>
      <c r="GF106" s="60"/>
      <c r="GG106" s="60"/>
      <c r="GH106" s="60"/>
      <c r="GI106" s="60"/>
      <c r="GJ106" s="60"/>
      <c r="GK106" s="60"/>
      <c r="GL106" s="60"/>
      <c r="GM106" s="60"/>
      <c r="GN106" s="60"/>
      <c r="GO106" s="60"/>
      <c r="GP106" s="60"/>
      <c r="GQ106" s="60"/>
      <c r="GR106" s="60"/>
      <c r="GS106" s="60"/>
      <c r="GT106" s="60"/>
      <c r="GU106" s="60"/>
      <c r="GV106" s="60"/>
      <c r="GW106" s="60"/>
      <c r="GX106" s="60"/>
      <c r="GY106" s="60"/>
      <c r="GZ106" s="60"/>
      <c r="HA106" s="60"/>
      <c r="HB106" s="60"/>
      <c r="HC106" s="60"/>
      <c r="HD106" s="60"/>
      <c r="HE106" s="60"/>
      <c r="HF106" s="60"/>
      <c r="HG106" s="60"/>
      <c r="HH106" s="60"/>
      <c r="HI106" s="60"/>
      <c r="HJ106" s="60"/>
      <c r="HK106" s="60"/>
      <c r="HL106" s="60"/>
      <c r="HM106" s="60"/>
      <c r="HN106" s="60"/>
      <c r="HO106" s="60"/>
      <c r="HP106" s="60"/>
      <c r="HQ106" s="60"/>
      <c r="HR106" s="60"/>
      <c r="HS106" s="60"/>
      <c r="HT106" s="60"/>
      <c r="HU106" s="60"/>
      <c r="HV106" s="60"/>
      <c r="HW106" s="60"/>
      <c r="HX106" s="60"/>
      <c r="HY106" s="60"/>
      <c r="HZ106" s="60"/>
      <c r="IA106" s="60"/>
      <c r="IB106" s="60"/>
      <c r="IC106" s="60"/>
      <c r="ID106" s="60"/>
      <c r="IE106" s="60"/>
      <c r="IF106" s="60"/>
      <c r="IG106" s="60"/>
      <c r="IH106" s="60"/>
      <c r="II106" s="60"/>
      <c r="IJ106" s="60"/>
      <c r="IK106" s="60"/>
      <c r="IL106" s="60"/>
      <c r="IM106" s="60"/>
      <c r="IN106" s="60"/>
      <c r="IO106" s="60"/>
      <c r="IP106" s="60"/>
      <c r="IQ106" s="60"/>
      <c r="IR106" s="60"/>
      <c r="IS106" s="60"/>
      <c r="IT106" s="60"/>
      <c r="IU106" s="60"/>
      <c r="IV106" s="60"/>
      <c r="IW106" s="60"/>
      <c r="IX106" s="60"/>
      <c r="IY106" s="60"/>
      <c r="IZ106" s="60"/>
      <c r="JA106" s="60"/>
      <c r="JB106" s="60"/>
      <c r="JC106" s="60"/>
      <c r="JD106" s="60"/>
      <c r="JE106" s="60"/>
      <c r="JF106" s="60"/>
      <c r="JG106" s="60"/>
      <c r="JH106" s="60"/>
      <c r="JI106" s="60"/>
      <c r="JJ106" s="60"/>
      <c r="JK106" s="60"/>
      <c r="JL106" s="60"/>
      <c r="JM106" s="60"/>
      <c r="JN106" s="60"/>
      <c r="JO106" s="60"/>
      <c r="JP106" s="60"/>
      <c r="JQ106" s="60"/>
      <c r="JR106" s="60"/>
      <c r="JS106" s="60"/>
      <c r="JT106" s="60"/>
      <c r="JU106" s="60"/>
      <c r="JV106" s="60"/>
      <c r="JW106" s="60"/>
      <c r="JX106" s="60"/>
      <c r="JY106" s="60"/>
      <c r="JZ106" s="60"/>
      <c r="KA106" s="60"/>
      <c r="KB106" s="60"/>
      <c r="KC106" s="60"/>
      <c r="KD106" s="60"/>
      <c r="KE106" s="60"/>
      <c r="KF106" s="60"/>
      <c r="KG106" s="60"/>
      <c r="KH106" s="60"/>
      <c r="KI106" s="60"/>
      <c r="KJ106" s="60"/>
      <c r="KK106" s="60"/>
      <c r="KL106" s="60"/>
      <c r="KM106" s="60"/>
      <c r="KN106" s="60"/>
      <c r="KO106" s="60"/>
      <c r="KP106" s="60"/>
      <c r="KQ106" s="60"/>
      <c r="KR106" s="60"/>
      <c r="KS106" s="60"/>
      <c r="KT106" s="60"/>
      <c r="KU106" s="60"/>
      <c r="KV106" s="60"/>
      <c r="KW106" s="60"/>
      <c r="KX106" s="60"/>
      <c r="KY106" s="60"/>
      <c r="KZ106" s="60"/>
      <c r="LA106" s="60"/>
      <c r="LB106" s="60"/>
      <c r="LC106" s="60"/>
      <c r="LD106" s="60"/>
      <c r="LE106" s="60"/>
      <c r="LF106" s="60"/>
      <c r="LG106" s="60"/>
      <c r="LH106" s="60"/>
    </row>
    <row r="107" spans="1:320" s="17" customFormat="1" x14ac:dyDescent="0.25">
      <c r="A107" s="147"/>
      <c r="E107" s="156"/>
      <c r="F107" s="156"/>
      <c r="G107" s="156"/>
      <c r="H107" s="156"/>
      <c r="I107" s="156"/>
      <c r="J107" s="156"/>
      <c r="K107" s="156"/>
      <c r="L107" s="156"/>
      <c r="M107" s="156"/>
      <c r="N107" s="156"/>
      <c r="O107" s="156"/>
      <c r="P107" s="156"/>
      <c r="Q107" s="156"/>
      <c r="R107" s="156"/>
      <c r="S107" s="156"/>
      <c r="AC107" s="60"/>
      <c r="AD107" s="60"/>
      <c r="AE107" s="60"/>
      <c r="AF107" s="60"/>
      <c r="AG107" s="60"/>
      <c r="AH107" s="60"/>
      <c r="AI107" s="60"/>
      <c r="AJ107" s="60"/>
      <c r="AK107" s="60"/>
      <c r="AL107" s="60"/>
      <c r="AM107" s="60"/>
      <c r="AN107" s="60"/>
      <c r="AO107" s="60"/>
      <c r="AP107" s="60"/>
      <c r="AQ107" s="60"/>
      <c r="AR107" s="60"/>
      <c r="AS107" s="60"/>
      <c r="AT107" s="60"/>
      <c r="AU107" s="60"/>
      <c r="AV107" s="60"/>
      <c r="AW107" s="60"/>
      <c r="AX107" s="60"/>
      <c r="AY107" s="60"/>
      <c r="AZ107" s="60"/>
      <c r="BA107" s="60"/>
      <c r="BB107" s="60"/>
      <c r="BC107" s="60"/>
      <c r="BD107" s="60"/>
      <c r="BE107" s="60"/>
      <c r="BF107" s="60"/>
      <c r="BG107" s="60"/>
      <c r="BH107" s="60"/>
      <c r="BI107" s="60"/>
      <c r="BJ107" s="60"/>
      <c r="BK107" s="60"/>
      <c r="BL107" s="60"/>
      <c r="BM107" s="60"/>
      <c r="BN107" s="60"/>
      <c r="BO107" s="60"/>
      <c r="BP107" s="60"/>
      <c r="BQ107" s="60"/>
      <c r="BR107" s="60"/>
      <c r="BS107" s="60"/>
      <c r="BT107" s="60"/>
      <c r="BU107" s="60"/>
      <c r="BV107" s="60"/>
      <c r="BW107" s="60"/>
      <c r="BX107" s="60"/>
      <c r="BY107" s="60"/>
      <c r="BZ107" s="60"/>
      <c r="CA107" s="60"/>
      <c r="CB107" s="60"/>
      <c r="CC107" s="60"/>
      <c r="CD107" s="60"/>
      <c r="CE107" s="60"/>
      <c r="CF107" s="60"/>
      <c r="CG107" s="60"/>
      <c r="CH107" s="60"/>
      <c r="CI107" s="60"/>
      <c r="CJ107" s="60"/>
      <c r="CK107" s="60"/>
      <c r="CL107" s="60"/>
      <c r="CM107" s="60"/>
      <c r="CN107" s="60"/>
      <c r="CO107" s="60"/>
      <c r="CP107" s="60"/>
      <c r="CQ107" s="60"/>
      <c r="CR107" s="60"/>
      <c r="CS107" s="60"/>
      <c r="CT107" s="60"/>
      <c r="CU107" s="60"/>
      <c r="CV107" s="60"/>
      <c r="CW107" s="60"/>
      <c r="CX107" s="60"/>
      <c r="CY107" s="60"/>
      <c r="CZ107" s="60"/>
      <c r="DA107" s="60"/>
      <c r="DB107" s="60"/>
      <c r="DC107" s="60"/>
      <c r="DD107" s="60"/>
      <c r="DE107" s="60"/>
      <c r="DF107" s="60"/>
      <c r="DG107" s="60"/>
      <c r="DH107" s="60"/>
      <c r="DI107" s="60"/>
      <c r="DJ107" s="60"/>
      <c r="DK107" s="60"/>
      <c r="DL107" s="60"/>
      <c r="DM107" s="60"/>
      <c r="DN107" s="60"/>
      <c r="DO107" s="60"/>
      <c r="DP107" s="60"/>
      <c r="DQ107" s="60"/>
      <c r="DR107" s="60"/>
      <c r="DS107" s="60"/>
      <c r="DT107" s="60"/>
      <c r="DU107" s="60"/>
      <c r="DV107" s="60"/>
      <c r="DW107" s="60"/>
      <c r="DX107" s="60"/>
      <c r="DY107" s="60"/>
      <c r="DZ107" s="60"/>
      <c r="EA107" s="60"/>
      <c r="EB107" s="60"/>
      <c r="EC107" s="60"/>
      <c r="ED107" s="60"/>
      <c r="EE107" s="60"/>
      <c r="EF107" s="60"/>
      <c r="EG107" s="60"/>
      <c r="EH107" s="60"/>
      <c r="EI107" s="60"/>
      <c r="EJ107" s="60"/>
      <c r="EK107" s="60"/>
      <c r="EL107" s="60"/>
      <c r="EM107" s="60"/>
      <c r="EN107" s="60"/>
      <c r="EO107" s="60"/>
      <c r="EP107" s="60"/>
      <c r="EQ107" s="60"/>
      <c r="ER107" s="60"/>
      <c r="ES107" s="60"/>
      <c r="ET107" s="60"/>
      <c r="EU107" s="60"/>
      <c r="EV107" s="60"/>
      <c r="EW107" s="60"/>
      <c r="EX107" s="60"/>
      <c r="EY107" s="60"/>
      <c r="EZ107" s="60"/>
      <c r="FA107" s="60"/>
      <c r="FB107" s="60"/>
      <c r="FC107" s="60"/>
      <c r="FD107" s="60"/>
      <c r="FE107" s="60"/>
      <c r="FF107" s="60"/>
      <c r="FG107" s="60"/>
      <c r="FH107" s="60"/>
      <c r="FI107" s="60"/>
      <c r="FJ107" s="60"/>
      <c r="FK107" s="60"/>
      <c r="FL107" s="60"/>
      <c r="FM107" s="60"/>
      <c r="FN107" s="60"/>
      <c r="FO107" s="60"/>
      <c r="FP107" s="60"/>
      <c r="FQ107" s="60"/>
      <c r="FR107" s="60"/>
      <c r="FS107" s="60"/>
      <c r="FT107" s="60"/>
      <c r="FU107" s="60"/>
      <c r="FV107" s="60"/>
      <c r="FW107" s="60"/>
      <c r="FX107" s="60"/>
      <c r="FY107" s="60"/>
      <c r="FZ107" s="60"/>
      <c r="GA107" s="60"/>
      <c r="GB107" s="60"/>
      <c r="GC107" s="60"/>
      <c r="GD107" s="60"/>
      <c r="GE107" s="60"/>
      <c r="GF107" s="60"/>
      <c r="GG107" s="60"/>
      <c r="GH107" s="60"/>
      <c r="GI107" s="60"/>
      <c r="GJ107" s="60"/>
      <c r="GK107" s="60"/>
      <c r="GL107" s="60"/>
      <c r="GM107" s="60"/>
      <c r="GN107" s="60"/>
      <c r="GO107" s="60"/>
      <c r="GP107" s="60"/>
      <c r="GQ107" s="60"/>
      <c r="GR107" s="60"/>
      <c r="GS107" s="60"/>
      <c r="GT107" s="60"/>
      <c r="GU107" s="60"/>
      <c r="GV107" s="60"/>
      <c r="GW107" s="60"/>
      <c r="GX107" s="60"/>
      <c r="GY107" s="60"/>
      <c r="GZ107" s="60"/>
      <c r="HA107" s="60"/>
      <c r="HB107" s="60"/>
      <c r="HC107" s="60"/>
      <c r="HD107" s="60"/>
      <c r="HE107" s="60"/>
      <c r="HF107" s="60"/>
      <c r="HG107" s="60"/>
      <c r="HH107" s="60"/>
      <c r="HI107" s="60"/>
      <c r="HJ107" s="60"/>
      <c r="HK107" s="60"/>
      <c r="HL107" s="60"/>
      <c r="HM107" s="60"/>
      <c r="HN107" s="60"/>
      <c r="HO107" s="60"/>
      <c r="HP107" s="60"/>
      <c r="HQ107" s="60"/>
      <c r="HR107" s="60"/>
      <c r="HS107" s="60"/>
      <c r="HT107" s="60"/>
      <c r="HU107" s="60"/>
      <c r="HV107" s="60"/>
      <c r="HW107" s="60"/>
      <c r="HX107" s="60"/>
      <c r="HY107" s="60"/>
      <c r="HZ107" s="60"/>
      <c r="IA107" s="60"/>
      <c r="IB107" s="60"/>
      <c r="IC107" s="60"/>
      <c r="ID107" s="60"/>
      <c r="IE107" s="60"/>
      <c r="IF107" s="60"/>
      <c r="IG107" s="60"/>
      <c r="IH107" s="60"/>
      <c r="II107" s="60"/>
      <c r="IJ107" s="60"/>
      <c r="IK107" s="60"/>
      <c r="IL107" s="60"/>
      <c r="IM107" s="60"/>
      <c r="IN107" s="60"/>
      <c r="IO107" s="60"/>
      <c r="IP107" s="60"/>
      <c r="IQ107" s="60"/>
      <c r="IR107" s="60"/>
      <c r="IS107" s="60"/>
      <c r="IT107" s="60"/>
      <c r="IU107" s="60"/>
      <c r="IV107" s="60"/>
      <c r="IW107" s="60"/>
      <c r="IX107" s="60"/>
      <c r="IY107" s="60"/>
      <c r="IZ107" s="60"/>
      <c r="JA107" s="60"/>
      <c r="JB107" s="60"/>
      <c r="JC107" s="60"/>
      <c r="JD107" s="60"/>
      <c r="JE107" s="60"/>
      <c r="JF107" s="60"/>
      <c r="JG107" s="60"/>
      <c r="JH107" s="60"/>
      <c r="JI107" s="60"/>
      <c r="JJ107" s="60"/>
      <c r="JK107" s="60"/>
      <c r="JL107" s="60"/>
      <c r="JM107" s="60"/>
      <c r="JN107" s="60"/>
      <c r="JO107" s="60"/>
      <c r="JP107" s="60"/>
      <c r="JQ107" s="60"/>
      <c r="JR107" s="60"/>
      <c r="JS107" s="60"/>
      <c r="JT107" s="60"/>
      <c r="JU107" s="60"/>
      <c r="JV107" s="60"/>
      <c r="JW107" s="60"/>
      <c r="JX107" s="60"/>
      <c r="JY107" s="60"/>
      <c r="JZ107" s="60"/>
      <c r="KA107" s="60"/>
      <c r="KB107" s="60"/>
      <c r="KC107" s="60"/>
      <c r="KD107" s="60"/>
      <c r="KE107" s="60"/>
      <c r="KF107" s="60"/>
      <c r="KG107" s="60"/>
      <c r="KH107" s="60"/>
      <c r="KI107" s="60"/>
      <c r="KJ107" s="60"/>
      <c r="KK107" s="60"/>
      <c r="KL107" s="60"/>
      <c r="KM107" s="60"/>
      <c r="KN107" s="60"/>
      <c r="KO107" s="60"/>
      <c r="KP107" s="60"/>
      <c r="KQ107" s="60"/>
      <c r="KR107" s="60"/>
      <c r="KS107" s="60"/>
      <c r="KT107" s="60"/>
      <c r="KU107" s="60"/>
      <c r="KV107" s="60"/>
      <c r="KW107" s="60"/>
      <c r="KX107" s="60"/>
      <c r="KY107" s="60"/>
      <c r="KZ107" s="60"/>
      <c r="LA107" s="60"/>
      <c r="LB107" s="60"/>
      <c r="LC107" s="60"/>
      <c r="LD107" s="60"/>
      <c r="LE107" s="60"/>
      <c r="LF107" s="60"/>
      <c r="LG107" s="60"/>
      <c r="LH107" s="60"/>
    </row>
    <row r="108" spans="1:320" s="17" customFormat="1" x14ac:dyDescent="0.25">
      <c r="A108" s="147"/>
      <c r="E108" s="156"/>
      <c r="F108" s="156"/>
      <c r="G108" s="156"/>
      <c r="H108" s="156"/>
      <c r="I108" s="156"/>
      <c r="J108" s="156"/>
      <c r="K108" s="156"/>
      <c r="L108" s="156"/>
      <c r="M108" s="156"/>
      <c r="N108" s="156"/>
      <c r="O108" s="156"/>
      <c r="P108" s="156"/>
      <c r="Q108" s="156"/>
      <c r="R108" s="156"/>
      <c r="S108" s="156"/>
      <c r="AC108" s="60"/>
      <c r="AD108" s="60"/>
      <c r="AE108" s="60"/>
      <c r="AF108" s="60"/>
      <c r="AG108" s="60"/>
      <c r="AH108" s="60"/>
      <c r="AI108" s="60"/>
      <c r="AJ108" s="60"/>
      <c r="AK108" s="60"/>
      <c r="AL108" s="60"/>
      <c r="AM108" s="60"/>
      <c r="AN108" s="60"/>
      <c r="AO108" s="60"/>
      <c r="AP108" s="60"/>
      <c r="AQ108" s="60"/>
      <c r="AR108" s="60"/>
      <c r="AS108" s="60"/>
      <c r="AT108" s="60"/>
      <c r="AU108" s="60"/>
      <c r="AV108" s="60"/>
      <c r="AW108" s="60"/>
      <c r="AX108" s="60"/>
      <c r="AY108" s="60"/>
      <c r="AZ108" s="60"/>
      <c r="BA108" s="60"/>
      <c r="BB108" s="60"/>
      <c r="BC108" s="60"/>
      <c r="BD108" s="60"/>
      <c r="BE108" s="60"/>
      <c r="BF108" s="60"/>
      <c r="BG108" s="60"/>
      <c r="BH108" s="60"/>
      <c r="BI108" s="60"/>
      <c r="BJ108" s="60"/>
      <c r="BK108" s="60"/>
      <c r="BL108" s="60"/>
      <c r="BM108" s="60"/>
      <c r="BN108" s="60"/>
      <c r="BO108" s="60"/>
      <c r="BP108" s="60"/>
      <c r="BQ108" s="60"/>
      <c r="BR108" s="60"/>
      <c r="BS108" s="60"/>
      <c r="BT108" s="60"/>
      <c r="BU108" s="60"/>
      <c r="BV108" s="60"/>
      <c r="BW108" s="60"/>
      <c r="BX108" s="60"/>
      <c r="BY108" s="60"/>
      <c r="BZ108" s="60"/>
      <c r="CA108" s="60"/>
      <c r="CB108" s="60"/>
      <c r="CC108" s="60"/>
      <c r="CD108" s="60"/>
      <c r="CE108" s="60"/>
      <c r="CF108" s="60"/>
      <c r="CG108" s="60"/>
      <c r="CH108" s="60"/>
      <c r="CI108" s="60"/>
      <c r="CJ108" s="60"/>
      <c r="CK108" s="60"/>
      <c r="CL108" s="60"/>
      <c r="CM108" s="60"/>
      <c r="CN108" s="60"/>
      <c r="CO108" s="60"/>
      <c r="CP108" s="60"/>
      <c r="CQ108" s="60"/>
      <c r="CR108" s="60"/>
      <c r="CS108" s="60"/>
      <c r="CT108" s="60"/>
      <c r="CU108" s="60"/>
      <c r="CV108" s="60"/>
      <c r="CW108" s="60"/>
      <c r="CX108" s="60"/>
      <c r="CY108" s="60"/>
      <c r="CZ108" s="60"/>
      <c r="DA108" s="60"/>
      <c r="DB108" s="60"/>
      <c r="DC108" s="60"/>
      <c r="DD108" s="60"/>
      <c r="DE108" s="60"/>
      <c r="DF108" s="60"/>
      <c r="DG108" s="60"/>
      <c r="DH108" s="60"/>
      <c r="DI108" s="60"/>
      <c r="DJ108" s="60"/>
      <c r="DK108" s="60"/>
      <c r="DL108" s="60"/>
      <c r="DM108" s="60"/>
      <c r="DN108" s="60"/>
      <c r="DO108" s="60"/>
      <c r="DP108" s="60"/>
      <c r="DQ108" s="60"/>
      <c r="DR108" s="60"/>
      <c r="DS108" s="60"/>
      <c r="DT108" s="60"/>
      <c r="DU108" s="60"/>
      <c r="DV108" s="60"/>
      <c r="DW108" s="60"/>
      <c r="DX108" s="60"/>
      <c r="DY108" s="60"/>
      <c r="DZ108" s="60"/>
      <c r="EA108" s="60"/>
      <c r="EB108" s="60"/>
      <c r="EC108" s="60"/>
      <c r="ED108" s="60"/>
      <c r="EE108" s="60"/>
      <c r="EF108" s="60"/>
      <c r="EG108" s="60"/>
      <c r="EH108" s="60"/>
      <c r="EI108" s="60"/>
      <c r="EJ108" s="60"/>
      <c r="EK108" s="60"/>
      <c r="EL108" s="60"/>
      <c r="EM108" s="60"/>
      <c r="EN108" s="60"/>
      <c r="EO108" s="60"/>
      <c r="EP108" s="60"/>
      <c r="EQ108" s="60"/>
      <c r="ER108" s="60"/>
      <c r="ES108" s="60"/>
      <c r="ET108" s="60"/>
      <c r="EU108" s="60"/>
      <c r="EV108" s="60"/>
      <c r="EW108" s="60"/>
      <c r="EX108" s="60"/>
      <c r="EY108" s="60"/>
      <c r="EZ108" s="60"/>
      <c r="FA108" s="60"/>
      <c r="FB108" s="60"/>
      <c r="FC108" s="60"/>
      <c r="FD108" s="60"/>
      <c r="FE108" s="60"/>
      <c r="FF108" s="60"/>
      <c r="FG108" s="60"/>
      <c r="FH108" s="60"/>
      <c r="FI108" s="60"/>
      <c r="FJ108" s="60"/>
      <c r="FK108" s="60"/>
      <c r="FL108" s="60"/>
      <c r="FM108" s="60"/>
      <c r="FN108" s="60"/>
      <c r="FO108" s="60"/>
      <c r="FP108" s="60"/>
      <c r="FQ108" s="60"/>
      <c r="FR108" s="60"/>
      <c r="FS108" s="60"/>
      <c r="FT108" s="60"/>
      <c r="FU108" s="60"/>
      <c r="FV108" s="60"/>
      <c r="FW108" s="60"/>
      <c r="FX108" s="60"/>
      <c r="FY108" s="60"/>
      <c r="FZ108" s="60"/>
      <c r="GA108" s="60"/>
      <c r="GB108" s="60"/>
      <c r="GC108" s="60"/>
      <c r="GD108" s="60"/>
      <c r="GE108" s="60"/>
      <c r="GF108" s="60"/>
      <c r="GG108" s="60"/>
      <c r="GH108" s="60"/>
      <c r="GI108" s="60"/>
      <c r="GJ108" s="60"/>
      <c r="GK108" s="60"/>
      <c r="GL108" s="60"/>
      <c r="GM108" s="60"/>
      <c r="GN108" s="60"/>
      <c r="GO108" s="60"/>
      <c r="GP108" s="60"/>
      <c r="GQ108" s="60"/>
      <c r="GR108" s="60"/>
      <c r="GS108" s="60"/>
      <c r="GT108" s="60"/>
      <c r="GU108" s="60"/>
      <c r="GV108" s="60"/>
      <c r="GW108" s="60"/>
      <c r="GX108" s="60"/>
      <c r="GY108" s="60"/>
      <c r="GZ108" s="60"/>
      <c r="HA108" s="60"/>
      <c r="HB108" s="60"/>
      <c r="HC108" s="60"/>
      <c r="HD108" s="60"/>
      <c r="HE108" s="60"/>
      <c r="HF108" s="60"/>
      <c r="HG108" s="60"/>
      <c r="HH108" s="60"/>
      <c r="HI108" s="60"/>
      <c r="HJ108" s="60"/>
      <c r="HK108" s="60"/>
      <c r="HL108" s="60"/>
      <c r="HM108" s="60"/>
      <c r="HN108" s="60"/>
      <c r="HO108" s="60"/>
      <c r="HP108" s="60"/>
      <c r="HQ108" s="60"/>
      <c r="HR108" s="60"/>
      <c r="HS108" s="60"/>
      <c r="HT108" s="60"/>
      <c r="HU108" s="60"/>
      <c r="HV108" s="60"/>
      <c r="HW108" s="60"/>
      <c r="HX108" s="60"/>
      <c r="HY108" s="60"/>
      <c r="HZ108" s="60"/>
      <c r="IA108" s="60"/>
      <c r="IB108" s="60"/>
      <c r="IC108" s="60"/>
      <c r="ID108" s="60"/>
      <c r="IE108" s="60"/>
      <c r="IF108" s="60"/>
      <c r="IG108" s="60"/>
      <c r="IH108" s="60"/>
      <c r="II108" s="60"/>
      <c r="IJ108" s="60"/>
      <c r="IK108" s="60"/>
      <c r="IL108" s="60"/>
      <c r="IM108" s="60"/>
      <c r="IN108" s="60"/>
      <c r="IO108" s="60"/>
      <c r="IP108" s="60"/>
      <c r="IQ108" s="60"/>
      <c r="IR108" s="60"/>
      <c r="IS108" s="60"/>
      <c r="IT108" s="60"/>
      <c r="IU108" s="60"/>
      <c r="IV108" s="60"/>
      <c r="IW108" s="60"/>
      <c r="IX108" s="60"/>
      <c r="IY108" s="60"/>
      <c r="IZ108" s="60"/>
      <c r="JA108" s="60"/>
      <c r="JB108" s="60"/>
      <c r="JC108" s="60"/>
      <c r="JD108" s="60"/>
      <c r="JE108" s="60"/>
      <c r="JF108" s="60"/>
      <c r="JG108" s="60"/>
      <c r="JH108" s="60"/>
      <c r="JI108" s="60"/>
      <c r="JJ108" s="60"/>
      <c r="JK108" s="60"/>
      <c r="JL108" s="60"/>
      <c r="JM108" s="60"/>
      <c r="JN108" s="60"/>
      <c r="JO108" s="60"/>
      <c r="JP108" s="60"/>
      <c r="JQ108" s="60"/>
      <c r="JR108" s="60"/>
      <c r="JS108" s="60"/>
      <c r="JT108" s="60"/>
      <c r="JU108" s="60"/>
      <c r="JV108" s="60"/>
      <c r="JW108" s="60"/>
      <c r="JX108" s="60"/>
      <c r="JY108" s="60"/>
      <c r="JZ108" s="60"/>
      <c r="KA108" s="60"/>
      <c r="KB108" s="60"/>
      <c r="KC108" s="60"/>
      <c r="KD108" s="60"/>
      <c r="KE108" s="60"/>
      <c r="KF108" s="60"/>
      <c r="KG108" s="60"/>
      <c r="KH108" s="60"/>
      <c r="KI108" s="60"/>
      <c r="KJ108" s="60"/>
      <c r="KK108" s="60"/>
      <c r="KL108" s="60"/>
      <c r="KM108" s="60"/>
      <c r="KN108" s="60"/>
      <c r="KO108" s="60"/>
      <c r="KP108" s="60"/>
      <c r="KQ108" s="60"/>
      <c r="KR108" s="60"/>
      <c r="KS108" s="60"/>
      <c r="KT108" s="60"/>
      <c r="KU108" s="60"/>
      <c r="KV108" s="60"/>
      <c r="KW108" s="60"/>
      <c r="KX108" s="60"/>
      <c r="KY108" s="60"/>
      <c r="KZ108" s="60"/>
      <c r="LA108" s="60"/>
      <c r="LB108" s="60"/>
      <c r="LC108" s="60"/>
      <c r="LD108" s="60"/>
      <c r="LE108" s="60"/>
      <c r="LF108" s="60"/>
      <c r="LG108" s="60"/>
      <c r="LH108" s="60"/>
    </row>
    <row r="144" spans="2:320" s="147" customFormat="1" ht="14.1" customHeight="1" x14ac:dyDescent="0.25">
      <c r="B144" s="1"/>
      <c r="C144" s="1"/>
      <c r="D144" s="1"/>
      <c r="E144" s="146"/>
      <c r="F144" s="146"/>
      <c r="G144" s="146"/>
      <c r="H144" s="146"/>
      <c r="I144" s="146"/>
      <c r="J144" s="146"/>
      <c r="K144" s="146"/>
      <c r="L144" s="146"/>
      <c r="M144" s="146"/>
      <c r="N144" s="146"/>
      <c r="O144" s="146"/>
      <c r="P144" s="146"/>
      <c r="Q144" s="146"/>
      <c r="R144" s="146"/>
      <c r="S144" s="146"/>
      <c r="T144" s="17"/>
      <c r="U144" s="17"/>
      <c r="V144" s="17"/>
      <c r="W144" s="17"/>
      <c r="X144" s="17"/>
      <c r="Y144" s="17"/>
      <c r="Z144" s="17"/>
      <c r="AA144" s="17"/>
      <c r="AB144" s="17"/>
      <c r="AC144" s="60"/>
      <c r="AD144" s="60"/>
      <c r="AE144" s="60"/>
      <c r="AF144" s="60"/>
      <c r="AG144" s="60"/>
      <c r="AH144" s="60"/>
      <c r="AI144" s="60"/>
      <c r="AJ144" s="60"/>
      <c r="AK144" s="60"/>
      <c r="AL144" s="60"/>
      <c r="AM144" s="60"/>
      <c r="AN144" s="60"/>
      <c r="AO144" s="60"/>
      <c r="AP144" s="60"/>
      <c r="AQ144" s="60"/>
      <c r="AR144" s="60"/>
      <c r="AS144" s="60"/>
      <c r="AT144" s="60"/>
      <c r="AU144" s="60"/>
      <c r="AV144" s="60"/>
      <c r="AW144" s="60"/>
      <c r="AX144" s="60"/>
      <c r="AY144" s="60"/>
      <c r="AZ144" s="60"/>
      <c r="BA144" s="60"/>
      <c r="BB144" s="60"/>
      <c r="BC144" s="60"/>
      <c r="BD144" s="60"/>
      <c r="BE144" s="60"/>
      <c r="BF144" s="60"/>
      <c r="BG144" s="60"/>
      <c r="BH144" s="60"/>
      <c r="BI144" s="60"/>
      <c r="BJ144" s="60"/>
      <c r="BK144" s="60"/>
      <c r="BL144" s="60"/>
      <c r="BM144" s="60"/>
      <c r="BN144" s="60"/>
      <c r="BO144" s="60"/>
      <c r="BP144" s="60"/>
      <c r="BQ144" s="60"/>
      <c r="BR144" s="60"/>
      <c r="BS144" s="60"/>
      <c r="BT144" s="60"/>
      <c r="BU144" s="60"/>
      <c r="BV144" s="60"/>
      <c r="BW144" s="60"/>
      <c r="BX144" s="60"/>
      <c r="BY144" s="60"/>
      <c r="BZ144" s="60"/>
      <c r="CA144" s="60"/>
      <c r="CB144" s="60"/>
      <c r="CC144" s="60"/>
      <c r="CD144" s="60"/>
      <c r="CE144" s="60"/>
      <c r="CF144" s="60"/>
      <c r="CG144" s="60"/>
      <c r="CH144" s="60"/>
      <c r="CI144" s="60"/>
      <c r="CJ144" s="60"/>
      <c r="CK144" s="60"/>
      <c r="CL144" s="60"/>
      <c r="CM144" s="60"/>
      <c r="CN144" s="60"/>
      <c r="CO144" s="60"/>
      <c r="CP144" s="60"/>
      <c r="CQ144" s="60"/>
      <c r="CR144" s="60"/>
      <c r="CS144" s="60"/>
      <c r="CT144" s="60"/>
      <c r="CU144" s="60"/>
      <c r="CV144" s="60"/>
      <c r="CW144" s="60"/>
      <c r="CX144" s="60"/>
      <c r="CY144" s="60"/>
      <c r="CZ144" s="60"/>
      <c r="DA144" s="60"/>
      <c r="DB144" s="60"/>
      <c r="DC144" s="60"/>
      <c r="DD144" s="60"/>
      <c r="DE144" s="60"/>
      <c r="DF144" s="60"/>
      <c r="DG144" s="60"/>
      <c r="DH144" s="60"/>
      <c r="DI144" s="60"/>
      <c r="DJ144" s="60"/>
      <c r="DK144" s="60"/>
      <c r="DL144" s="60"/>
      <c r="DM144" s="60"/>
      <c r="DN144" s="60"/>
      <c r="DO144" s="60"/>
      <c r="DP144" s="60"/>
      <c r="DQ144" s="60"/>
      <c r="DR144" s="60"/>
      <c r="DS144" s="60"/>
      <c r="DT144" s="60"/>
      <c r="DU144" s="60"/>
      <c r="DV144" s="60"/>
      <c r="DW144" s="60"/>
      <c r="DX144" s="60"/>
      <c r="DY144" s="60"/>
      <c r="DZ144" s="60"/>
      <c r="EA144" s="60"/>
      <c r="EB144" s="60"/>
      <c r="EC144" s="60"/>
      <c r="ED144" s="60"/>
      <c r="EE144" s="60"/>
      <c r="EF144" s="60"/>
      <c r="EG144" s="60"/>
      <c r="EH144" s="60"/>
      <c r="EI144" s="60"/>
      <c r="EJ144" s="60"/>
      <c r="EK144" s="60"/>
      <c r="EL144" s="60"/>
      <c r="EM144" s="60"/>
      <c r="EN144" s="60"/>
      <c r="EO144" s="60"/>
      <c r="EP144" s="60"/>
      <c r="EQ144" s="60"/>
      <c r="ER144" s="60"/>
      <c r="ES144" s="60"/>
      <c r="ET144" s="60"/>
      <c r="EU144" s="60"/>
      <c r="EV144" s="60"/>
      <c r="EW144" s="60"/>
      <c r="EX144" s="60"/>
      <c r="EY144" s="60"/>
      <c r="EZ144" s="60"/>
      <c r="FA144" s="60"/>
      <c r="FB144" s="60"/>
      <c r="FC144" s="60"/>
      <c r="FD144" s="60"/>
      <c r="FE144" s="60"/>
      <c r="FF144" s="60"/>
      <c r="FG144" s="60"/>
      <c r="FH144" s="60"/>
      <c r="FI144" s="60"/>
      <c r="FJ144" s="60"/>
      <c r="FK144" s="60"/>
      <c r="FL144" s="60"/>
      <c r="FM144" s="60"/>
      <c r="FN144" s="60"/>
      <c r="FO144" s="60"/>
      <c r="FP144" s="60"/>
      <c r="FQ144" s="60"/>
      <c r="FR144" s="60"/>
      <c r="FS144" s="60"/>
      <c r="FT144" s="60"/>
      <c r="FU144" s="60"/>
      <c r="FV144" s="60"/>
      <c r="FW144" s="60"/>
      <c r="FX144" s="60"/>
      <c r="FY144" s="60"/>
      <c r="FZ144" s="60"/>
      <c r="GA144" s="60"/>
      <c r="GB144" s="60"/>
      <c r="GC144" s="60"/>
      <c r="GD144" s="60"/>
      <c r="GE144" s="60"/>
      <c r="GF144" s="60"/>
      <c r="GG144" s="60"/>
      <c r="GH144" s="60"/>
      <c r="GI144" s="60"/>
      <c r="GJ144" s="60"/>
      <c r="GK144" s="60"/>
      <c r="GL144" s="60"/>
      <c r="GM144" s="60"/>
      <c r="GN144" s="60"/>
      <c r="GO144" s="60"/>
      <c r="GP144" s="60"/>
      <c r="GQ144" s="60"/>
      <c r="GR144" s="60"/>
      <c r="GS144" s="60"/>
      <c r="GT144" s="60"/>
      <c r="GU144" s="60"/>
      <c r="GV144" s="60"/>
      <c r="GW144" s="60"/>
      <c r="GX144" s="60"/>
      <c r="GY144" s="60"/>
      <c r="GZ144" s="60"/>
      <c r="HA144" s="60"/>
      <c r="HB144" s="60"/>
      <c r="HC144" s="60"/>
      <c r="HD144" s="60"/>
      <c r="HE144" s="60"/>
      <c r="HF144" s="60"/>
      <c r="HG144" s="60"/>
      <c r="HH144" s="60"/>
      <c r="HI144" s="60"/>
      <c r="HJ144" s="60"/>
      <c r="HK144" s="60"/>
      <c r="HL144" s="60"/>
      <c r="HM144" s="60"/>
      <c r="HN144" s="60"/>
      <c r="HO144" s="60"/>
      <c r="HP144" s="60"/>
      <c r="HQ144" s="60"/>
      <c r="HR144" s="60"/>
      <c r="HS144" s="60"/>
      <c r="HT144" s="60"/>
      <c r="HU144" s="60"/>
      <c r="HV144" s="60"/>
      <c r="HW144" s="60"/>
      <c r="HX144" s="60"/>
      <c r="HY144" s="60"/>
      <c r="HZ144" s="60"/>
      <c r="IA144" s="60"/>
      <c r="IB144" s="60"/>
      <c r="IC144" s="60"/>
      <c r="ID144" s="60"/>
      <c r="IE144" s="60"/>
      <c r="IF144" s="60"/>
      <c r="IG144" s="60"/>
      <c r="IH144" s="60"/>
      <c r="II144" s="60"/>
      <c r="IJ144" s="60"/>
      <c r="IK144" s="60"/>
      <c r="IL144" s="60"/>
      <c r="IM144" s="60"/>
      <c r="IN144" s="60"/>
      <c r="IO144" s="60"/>
      <c r="IP144" s="60"/>
      <c r="IQ144" s="60"/>
      <c r="IR144" s="60"/>
      <c r="IS144" s="60"/>
      <c r="IT144" s="60"/>
      <c r="IU144" s="60"/>
      <c r="IV144" s="60"/>
      <c r="IW144" s="60"/>
      <c r="IX144" s="60"/>
      <c r="IY144" s="60"/>
      <c r="IZ144" s="60"/>
      <c r="JA144" s="60"/>
      <c r="JB144" s="60"/>
      <c r="JC144" s="60"/>
      <c r="JD144" s="60"/>
      <c r="JE144" s="60"/>
      <c r="JF144" s="60"/>
      <c r="JG144" s="60"/>
      <c r="JH144" s="60"/>
      <c r="JI144" s="60"/>
      <c r="JJ144" s="60"/>
      <c r="JK144" s="60"/>
      <c r="JL144" s="60"/>
      <c r="JM144" s="60"/>
      <c r="JN144" s="60"/>
      <c r="JO144" s="60"/>
      <c r="JP144" s="60"/>
      <c r="JQ144" s="60"/>
      <c r="JR144" s="60"/>
      <c r="JS144" s="60"/>
      <c r="JT144" s="60"/>
      <c r="JU144" s="60"/>
      <c r="JV144" s="60"/>
      <c r="JW144" s="60"/>
      <c r="JX144" s="60"/>
      <c r="JY144" s="60"/>
      <c r="JZ144" s="60"/>
      <c r="KA144" s="60"/>
      <c r="KB144" s="60"/>
      <c r="KC144" s="60"/>
      <c r="KD144" s="60"/>
      <c r="KE144" s="60"/>
      <c r="KF144" s="60"/>
      <c r="KG144" s="60"/>
      <c r="KH144" s="60"/>
      <c r="KI144" s="60"/>
      <c r="KJ144" s="60"/>
      <c r="KK144" s="60"/>
      <c r="KL144" s="60"/>
      <c r="KM144" s="60"/>
      <c r="KN144" s="60"/>
      <c r="KO144" s="60"/>
      <c r="KP144" s="60"/>
      <c r="KQ144" s="60"/>
      <c r="KR144" s="60"/>
      <c r="KS144" s="60"/>
      <c r="KT144" s="60"/>
      <c r="KU144" s="60"/>
      <c r="KV144" s="60"/>
      <c r="KW144" s="60"/>
      <c r="KX144" s="60"/>
      <c r="KY144" s="60"/>
      <c r="KZ144" s="60"/>
      <c r="LA144" s="60"/>
      <c r="LB144" s="60"/>
      <c r="LC144" s="60"/>
      <c r="LD144" s="60"/>
      <c r="LE144" s="60"/>
      <c r="LF144" s="60"/>
      <c r="LG144" s="60"/>
      <c r="LH144" s="60"/>
    </row>
    <row r="145" spans="1:320" s="147" customFormat="1" ht="14.1" customHeight="1" x14ac:dyDescent="0.25">
      <c r="B145" s="1"/>
      <c r="C145" s="1"/>
      <c r="D145" s="1"/>
      <c r="E145" s="146"/>
      <c r="F145" s="146"/>
      <c r="G145" s="146"/>
      <c r="H145" s="146"/>
      <c r="I145" s="146"/>
      <c r="J145" s="146"/>
      <c r="K145" s="146"/>
      <c r="L145" s="146"/>
      <c r="M145" s="146"/>
      <c r="N145" s="146"/>
      <c r="O145" s="146"/>
      <c r="P145" s="146"/>
      <c r="Q145" s="146"/>
      <c r="R145" s="146"/>
      <c r="S145" s="146"/>
      <c r="T145" s="17"/>
      <c r="U145" s="17"/>
      <c r="V145" s="17"/>
      <c r="W145" s="17"/>
      <c r="X145" s="17"/>
      <c r="Y145" s="17"/>
      <c r="Z145" s="17"/>
      <c r="AA145" s="17"/>
      <c r="AB145" s="17"/>
      <c r="AC145" s="60"/>
      <c r="AD145" s="60"/>
      <c r="AE145" s="60"/>
      <c r="AF145" s="60"/>
      <c r="AG145" s="60"/>
      <c r="AH145" s="60"/>
      <c r="AI145" s="60"/>
      <c r="AJ145" s="60"/>
      <c r="AK145" s="60"/>
      <c r="AL145" s="60"/>
      <c r="AM145" s="60"/>
      <c r="AN145" s="60"/>
      <c r="AO145" s="60"/>
      <c r="AP145" s="60"/>
      <c r="AQ145" s="60"/>
      <c r="AR145" s="60"/>
      <c r="AS145" s="60"/>
      <c r="AT145" s="60"/>
      <c r="AU145" s="60"/>
      <c r="AV145" s="60"/>
      <c r="AW145" s="60"/>
      <c r="AX145" s="60"/>
      <c r="AY145" s="60"/>
      <c r="AZ145" s="60"/>
      <c r="BA145" s="60"/>
      <c r="BB145" s="60"/>
      <c r="BC145" s="60"/>
      <c r="BD145" s="60"/>
      <c r="BE145" s="60"/>
      <c r="BF145" s="60"/>
      <c r="BG145" s="60"/>
      <c r="BH145" s="60"/>
      <c r="BI145" s="60"/>
      <c r="BJ145" s="60"/>
      <c r="BK145" s="60"/>
      <c r="BL145" s="60"/>
      <c r="BM145" s="60"/>
      <c r="BN145" s="60"/>
      <c r="BO145" s="60"/>
      <c r="BP145" s="60"/>
      <c r="BQ145" s="60"/>
      <c r="BR145" s="60"/>
      <c r="BS145" s="60"/>
      <c r="BT145" s="60"/>
      <c r="BU145" s="60"/>
      <c r="BV145" s="60"/>
      <c r="BW145" s="60"/>
      <c r="BX145" s="60"/>
      <c r="BY145" s="60"/>
      <c r="BZ145" s="60"/>
      <c r="CA145" s="60"/>
      <c r="CB145" s="60"/>
      <c r="CC145" s="60"/>
      <c r="CD145" s="60"/>
      <c r="CE145" s="60"/>
      <c r="CF145" s="60"/>
      <c r="CG145" s="60"/>
      <c r="CH145" s="60"/>
      <c r="CI145" s="60"/>
      <c r="CJ145" s="60"/>
      <c r="CK145" s="60"/>
      <c r="CL145" s="60"/>
      <c r="CM145" s="60"/>
      <c r="CN145" s="60"/>
      <c r="CO145" s="60"/>
      <c r="CP145" s="60"/>
      <c r="CQ145" s="60"/>
      <c r="CR145" s="60"/>
      <c r="CS145" s="60"/>
      <c r="CT145" s="60"/>
      <c r="CU145" s="60"/>
      <c r="CV145" s="60"/>
      <c r="CW145" s="60"/>
      <c r="CX145" s="60"/>
      <c r="CY145" s="60"/>
      <c r="CZ145" s="60"/>
      <c r="DA145" s="60"/>
      <c r="DB145" s="60"/>
      <c r="DC145" s="60"/>
      <c r="DD145" s="60"/>
      <c r="DE145" s="60"/>
      <c r="DF145" s="60"/>
      <c r="DG145" s="60"/>
      <c r="DH145" s="60"/>
      <c r="DI145" s="60"/>
      <c r="DJ145" s="60"/>
      <c r="DK145" s="60"/>
      <c r="DL145" s="60"/>
      <c r="DM145" s="60"/>
      <c r="DN145" s="60"/>
      <c r="DO145" s="60"/>
      <c r="DP145" s="60"/>
      <c r="DQ145" s="60"/>
      <c r="DR145" s="60"/>
      <c r="DS145" s="60"/>
      <c r="DT145" s="60"/>
      <c r="DU145" s="60"/>
      <c r="DV145" s="60"/>
      <c r="DW145" s="60"/>
      <c r="DX145" s="60"/>
      <c r="DY145" s="60"/>
      <c r="DZ145" s="60"/>
      <c r="EA145" s="60"/>
      <c r="EB145" s="60"/>
      <c r="EC145" s="60"/>
      <c r="ED145" s="60"/>
      <c r="EE145" s="60"/>
      <c r="EF145" s="60"/>
      <c r="EG145" s="60"/>
      <c r="EH145" s="60"/>
      <c r="EI145" s="60"/>
      <c r="EJ145" s="60"/>
      <c r="EK145" s="60"/>
      <c r="EL145" s="60"/>
      <c r="EM145" s="60"/>
      <c r="EN145" s="60"/>
      <c r="EO145" s="60"/>
      <c r="EP145" s="60"/>
      <c r="EQ145" s="60"/>
      <c r="ER145" s="60"/>
      <c r="ES145" s="60"/>
      <c r="ET145" s="60"/>
      <c r="EU145" s="60"/>
      <c r="EV145" s="60"/>
      <c r="EW145" s="60"/>
      <c r="EX145" s="60"/>
      <c r="EY145" s="60"/>
      <c r="EZ145" s="60"/>
      <c r="FA145" s="60"/>
      <c r="FB145" s="60"/>
      <c r="FC145" s="60"/>
      <c r="FD145" s="60"/>
      <c r="FE145" s="60"/>
      <c r="FF145" s="60"/>
      <c r="FG145" s="60"/>
      <c r="FH145" s="60"/>
      <c r="FI145" s="60"/>
      <c r="FJ145" s="60"/>
      <c r="FK145" s="60"/>
      <c r="FL145" s="60"/>
      <c r="FM145" s="60"/>
      <c r="FN145" s="60"/>
      <c r="FO145" s="60"/>
      <c r="FP145" s="60"/>
      <c r="FQ145" s="60"/>
      <c r="FR145" s="60"/>
      <c r="FS145" s="60"/>
      <c r="FT145" s="60"/>
      <c r="FU145" s="60"/>
      <c r="FV145" s="60"/>
      <c r="FW145" s="60"/>
      <c r="FX145" s="60"/>
      <c r="FY145" s="60"/>
      <c r="FZ145" s="60"/>
      <c r="GA145" s="60"/>
      <c r="GB145" s="60"/>
      <c r="GC145" s="60"/>
      <c r="GD145" s="60"/>
      <c r="GE145" s="60"/>
      <c r="GF145" s="60"/>
      <c r="GG145" s="60"/>
      <c r="GH145" s="60"/>
      <c r="GI145" s="60"/>
      <c r="GJ145" s="60"/>
      <c r="GK145" s="60"/>
      <c r="GL145" s="60"/>
      <c r="GM145" s="60"/>
      <c r="GN145" s="60"/>
      <c r="GO145" s="60"/>
      <c r="GP145" s="60"/>
      <c r="GQ145" s="60"/>
      <c r="GR145" s="60"/>
      <c r="GS145" s="60"/>
      <c r="GT145" s="60"/>
      <c r="GU145" s="60"/>
      <c r="GV145" s="60"/>
      <c r="GW145" s="60"/>
      <c r="GX145" s="60"/>
      <c r="GY145" s="60"/>
      <c r="GZ145" s="60"/>
      <c r="HA145" s="60"/>
      <c r="HB145" s="60"/>
      <c r="HC145" s="60"/>
      <c r="HD145" s="60"/>
      <c r="HE145" s="60"/>
      <c r="HF145" s="60"/>
      <c r="HG145" s="60"/>
      <c r="HH145" s="60"/>
      <c r="HI145" s="60"/>
      <c r="HJ145" s="60"/>
      <c r="HK145" s="60"/>
      <c r="HL145" s="60"/>
      <c r="HM145" s="60"/>
      <c r="HN145" s="60"/>
      <c r="HO145" s="60"/>
      <c r="HP145" s="60"/>
      <c r="HQ145" s="60"/>
      <c r="HR145" s="60"/>
      <c r="HS145" s="60"/>
      <c r="HT145" s="60"/>
      <c r="HU145" s="60"/>
      <c r="HV145" s="60"/>
      <c r="HW145" s="60"/>
      <c r="HX145" s="60"/>
      <c r="HY145" s="60"/>
      <c r="HZ145" s="60"/>
      <c r="IA145" s="60"/>
      <c r="IB145" s="60"/>
      <c r="IC145" s="60"/>
      <c r="ID145" s="60"/>
      <c r="IE145" s="60"/>
      <c r="IF145" s="60"/>
      <c r="IG145" s="60"/>
      <c r="IH145" s="60"/>
      <c r="II145" s="60"/>
      <c r="IJ145" s="60"/>
      <c r="IK145" s="60"/>
      <c r="IL145" s="60"/>
      <c r="IM145" s="60"/>
      <c r="IN145" s="60"/>
      <c r="IO145" s="60"/>
      <c r="IP145" s="60"/>
      <c r="IQ145" s="60"/>
      <c r="IR145" s="60"/>
      <c r="IS145" s="60"/>
      <c r="IT145" s="60"/>
      <c r="IU145" s="60"/>
      <c r="IV145" s="60"/>
      <c r="IW145" s="60"/>
      <c r="IX145" s="60"/>
      <c r="IY145" s="60"/>
      <c r="IZ145" s="60"/>
      <c r="JA145" s="60"/>
      <c r="JB145" s="60"/>
      <c r="JC145" s="60"/>
      <c r="JD145" s="60"/>
      <c r="JE145" s="60"/>
      <c r="JF145" s="60"/>
      <c r="JG145" s="60"/>
      <c r="JH145" s="60"/>
      <c r="JI145" s="60"/>
      <c r="JJ145" s="60"/>
      <c r="JK145" s="60"/>
      <c r="JL145" s="60"/>
      <c r="JM145" s="60"/>
      <c r="JN145" s="60"/>
      <c r="JO145" s="60"/>
      <c r="JP145" s="60"/>
      <c r="JQ145" s="60"/>
      <c r="JR145" s="60"/>
      <c r="JS145" s="60"/>
      <c r="JT145" s="60"/>
      <c r="JU145" s="60"/>
      <c r="JV145" s="60"/>
      <c r="JW145" s="60"/>
      <c r="JX145" s="60"/>
      <c r="JY145" s="60"/>
      <c r="JZ145" s="60"/>
      <c r="KA145" s="60"/>
      <c r="KB145" s="60"/>
      <c r="KC145" s="60"/>
      <c r="KD145" s="60"/>
      <c r="KE145" s="60"/>
      <c r="KF145" s="60"/>
      <c r="KG145" s="60"/>
      <c r="KH145" s="60"/>
      <c r="KI145" s="60"/>
      <c r="KJ145" s="60"/>
      <c r="KK145" s="60"/>
      <c r="KL145" s="60"/>
      <c r="KM145" s="60"/>
      <c r="KN145" s="60"/>
      <c r="KO145" s="60"/>
      <c r="KP145" s="60"/>
      <c r="KQ145" s="60"/>
      <c r="KR145" s="60"/>
      <c r="KS145" s="60"/>
      <c r="KT145" s="60"/>
      <c r="KU145" s="60"/>
      <c r="KV145" s="60"/>
      <c r="KW145" s="60"/>
      <c r="KX145" s="60"/>
      <c r="KY145" s="60"/>
      <c r="KZ145" s="60"/>
      <c r="LA145" s="60"/>
      <c r="LB145" s="60"/>
      <c r="LC145" s="60"/>
      <c r="LD145" s="60"/>
      <c r="LE145" s="60"/>
      <c r="LF145" s="60"/>
      <c r="LG145" s="60"/>
      <c r="LH145" s="60"/>
    </row>
    <row r="146" spans="1:320" s="147" customFormat="1" ht="14.1" customHeight="1" x14ac:dyDescent="0.25">
      <c r="B146" s="1"/>
      <c r="C146" s="1"/>
      <c r="D146" s="1"/>
      <c r="E146" s="146"/>
      <c r="F146" s="146"/>
      <c r="G146" s="146"/>
      <c r="H146" s="146"/>
      <c r="I146" s="146"/>
      <c r="J146" s="146"/>
      <c r="K146" s="146"/>
      <c r="L146" s="146"/>
      <c r="M146" s="146"/>
      <c r="N146" s="146"/>
      <c r="O146" s="146"/>
      <c r="P146" s="146"/>
      <c r="Q146" s="146"/>
      <c r="R146" s="146"/>
      <c r="S146" s="146"/>
      <c r="T146" s="17"/>
      <c r="U146" s="17"/>
      <c r="V146" s="17"/>
      <c r="W146" s="17"/>
      <c r="X146" s="17"/>
      <c r="Y146" s="17"/>
      <c r="Z146" s="17"/>
      <c r="AA146" s="17"/>
      <c r="AB146" s="17"/>
      <c r="AC146" s="60"/>
      <c r="AD146" s="60"/>
      <c r="AE146" s="60"/>
      <c r="AF146" s="60"/>
      <c r="AG146" s="60"/>
      <c r="AH146" s="60"/>
      <c r="AI146" s="60"/>
      <c r="AJ146" s="60"/>
      <c r="AK146" s="60"/>
      <c r="AL146" s="60"/>
      <c r="AM146" s="60"/>
      <c r="AN146" s="60"/>
      <c r="AO146" s="60"/>
      <c r="AP146" s="60"/>
      <c r="AQ146" s="60"/>
      <c r="AR146" s="60"/>
      <c r="AS146" s="60"/>
      <c r="AT146" s="60"/>
      <c r="AU146" s="60"/>
      <c r="AV146" s="60"/>
      <c r="AW146" s="60"/>
      <c r="AX146" s="60"/>
      <c r="AY146" s="60"/>
      <c r="AZ146" s="60"/>
      <c r="BA146" s="60"/>
      <c r="BB146" s="60"/>
      <c r="BC146" s="60"/>
      <c r="BD146" s="60"/>
      <c r="BE146" s="60"/>
      <c r="BF146" s="60"/>
      <c r="BG146" s="60"/>
      <c r="BH146" s="60"/>
      <c r="BI146" s="60"/>
      <c r="BJ146" s="60"/>
      <c r="BK146" s="60"/>
      <c r="BL146" s="60"/>
      <c r="BM146" s="60"/>
      <c r="BN146" s="60"/>
      <c r="BO146" s="60"/>
      <c r="BP146" s="60"/>
      <c r="BQ146" s="60"/>
      <c r="BR146" s="60"/>
      <c r="BS146" s="60"/>
      <c r="BT146" s="60"/>
      <c r="BU146" s="60"/>
      <c r="BV146" s="60"/>
      <c r="BW146" s="60"/>
      <c r="BX146" s="60"/>
      <c r="BY146" s="60"/>
      <c r="BZ146" s="60"/>
      <c r="CA146" s="60"/>
      <c r="CB146" s="60"/>
      <c r="CC146" s="60"/>
      <c r="CD146" s="60"/>
      <c r="CE146" s="60"/>
      <c r="CF146" s="60"/>
      <c r="CG146" s="60"/>
      <c r="CH146" s="60"/>
      <c r="CI146" s="60"/>
      <c r="CJ146" s="60"/>
      <c r="CK146" s="60"/>
      <c r="CL146" s="60"/>
      <c r="CM146" s="60"/>
      <c r="CN146" s="60"/>
      <c r="CO146" s="60"/>
      <c r="CP146" s="60"/>
      <c r="CQ146" s="60"/>
      <c r="CR146" s="60"/>
      <c r="CS146" s="60"/>
      <c r="CT146" s="60"/>
      <c r="CU146" s="60"/>
      <c r="CV146" s="60"/>
      <c r="CW146" s="60"/>
      <c r="CX146" s="60"/>
      <c r="CY146" s="60"/>
      <c r="CZ146" s="60"/>
      <c r="DA146" s="60"/>
      <c r="DB146" s="60"/>
      <c r="DC146" s="60"/>
      <c r="DD146" s="60"/>
      <c r="DE146" s="60"/>
      <c r="DF146" s="60"/>
      <c r="DG146" s="60"/>
      <c r="DH146" s="60"/>
      <c r="DI146" s="60"/>
      <c r="DJ146" s="60"/>
      <c r="DK146" s="60"/>
      <c r="DL146" s="60"/>
      <c r="DM146" s="60"/>
      <c r="DN146" s="60"/>
      <c r="DO146" s="60"/>
      <c r="DP146" s="60"/>
      <c r="DQ146" s="60"/>
      <c r="DR146" s="60"/>
      <c r="DS146" s="60"/>
      <c r="DT146" s="60"/>
      <c r="DU146" s="60"/>
      <c r="DV146" s="60"/>
      <c r="DW146" s="60"/>
      <c r="DX146" s="60"/>
      <c r="DY146" s="60"/>
      <c r="DZ146" s="60"/>
      <c r="EA146" s="60"/>
      <c r="EB146" s="60"/>
      <c r="EC146" s="60"/>
      <c r="ED146" s="60"/>
      <c r="EE146" s="60"/>
      <c r="EF146" s="60"/>
      <c r="EG146" s="60"/>
      <c r="EH146" s="60"/>
      <c r="EI146" s="60"/>
      <c r="EJ146" s="60"/>
      <c r="EK146" s="60"/>
      <c r="EL146" s="60"/>
      <c r="EM146" s="60"/>
      <c r="EN146" s="60"/>
      <c r="EO146" s="60"/>
      <c r="EP146" s="60"/>
      <c r="EQ146" s="60"/>
      <c r="ER146" s="60"/>
      <c r="ES146" s="60"/>
      <c r="ET146" s="60"/>
      <c r="EU146" s="60"/>
      <c r="EV146" s="60"/>
      <c r="EW146" s="60"/>
      <c r="EX146" s="60"/>
      <c r="EY146" s="60"/>
      <c r="EZ146" s="60"/>
      <c r="FA146" s="60"/>
      <c r="FB146" s="60"/>
      <c r="FC146" s="60"/>
      <c r="FD146" s="60"/>
      <c r="FE146" s="60"/>
      <c r="FF146" s="60"/>
      <c r="FG146" s="60"/>
      <c r="FH146" s="60"/>
      <c r="FI146" s="60"/>
      <c r="FJ146" s="60"/>
      <c r="FK146" s="60"/>
      <c r="FL146" s="60"/>
      <c r="FM146" s="60"/>
      <c r="FN146" s="60"/>
      <c r="FO146" s="60"/>
      <c r="FP146" s="60"/>
      <c r="FQ146" s="60"/>
      <c r="FR146" s="60"/>
      <c r="FS146" s="60"/>
      <c r="FT146" s="60"/>
      <c r="FU146" s="60"/>
      <c r="FV146" s="60"/>
      <c r="FW146" s="60"/>
      <c r="FX146" s="60"/>
      <c r="FY146" s="60"/>
      <c r="FZ146" s="60"/>
      <c r="GA146" s="60"/>
      <c r="GB146" s="60"/>
      <c r="GC146" s="60"/>
      <c r="GD146" s="60"/>
      <c r="GE146" s="60"/>
      <c r="GF146" s="60"/>
      <c r="GG146" s="60"/>
      <c r="GH146" s="60"/>
      <c r="GI146" s="60"/>
      <c r="GJ146" s="60"/>
      <c r="GK146" s="60"/>
      <c r="GL146" s="60"/>
      <c r="GM146" s="60"/>
      <c r="GN146" s="60"/>
      <c r="GO146" s="60"/>
      <c r="GP146" s="60"/>
      <c r="GQ146" s="60"/>
      <c r="GR146" s="60"/>
      <c r="GS146" s="60"/>
      <c r="GT146" s="60"/>
      <c r="GU146" s="60"/>
      <c r="GV146" s="60"/>
      <c r="GW146" s="60"/>
      <c r="GX146" s="60"/>
      <c r="GY146" s="60"/>
      <c r="GZ146" s="60"/>
      <c r="HA146" s="60"/>
      <c r="HB146" s="60"/>
      <c r="HC146" s="60"/>
      <c r="HD146" s="60"/>
      <c r="HE146" s="60"/>
      <c r="HF146" s="60"/>
      <c r="HG146" s="60"/>
      <c r="HH146" s="60"/>
      <c r="HI146" s="60"/>
      <c r="HJ146" s="60"/>
      <c r="HK146" s="60"/>
      <c r="HL146" s="60"/>
      <c r="HM146" s="60"/>
      <c r="HN146" s="60"/>
      <c r="HO146" s="60"/>
      <c r="HP146" s="60"/>
      <c r="HQ146" s="60"/>
      <c r="HR146" s="60"/>
      <c r="HS146" s="60"/>
      <c r="HT146" s="60"/>
      <c r="HU146" s="60"/>
      <c r="HV146" s="60"/>
      <c r="HW146" s="60"/>
      <c r="HX146" s="60"/>
      <c r="HY146" s="60"/>
      <c r="HZ146" s="60"/>
      <c r="IA146" s="60"/>
      <c r="IB146" s="60"/>
      <c r="IC146" s="60"/>
      <c r="ID146" s="60"/>
      <c r="IE146" s="60"/>
      <c r="IF146" s="60"/>
      <c r="IG146" s="60"/>
      <c r="IH146" s="60"/>
      <c r="II146" s="60"/>
      <c r="IJ146" s="60"/>
      <c r="IK146" s="60"/>
      <c r="IL146" s="60"/>
      <c r="IM146" s="60"/>
      <c r="IN146" s="60"/>
      <c r="IO146" s="60"/>
      <c r="IP146" s="60"/>
      <c r="IQ146" s="60"/>
      <c r="IR146" s="60"/>
      <c r="IS146" s="60"/>
      <c r="IT146" s="60"/>
      <c r="IU146" s="60"/>
      <c r="IV146" s="60"/>
      <c r="IW146" s="60"/>
      <c r="IX146" s="60"/>
      <c r="IY146" s="60"/>
      <c r="IZ146" s="60"/>
      <c r="JA146" s="60"/>
      <c r="JB146" s="60"/>
      <c r="JC146" s="60"/>
      <c r="JD146" s="60"/>
      <c r="JE146" s="60"/>
      <c r="JF146" s="60"/>
      <c r="JG146" s="60"/>
      <c r="JH146" s="60"/>
      <c r="JI146" s="60"/>
      <c r="JJ146" s="60"/>
      <c r="JK146" s="60"/>
      <c r="JL146" s="60"/>
      <c r="JM146" s="60"/>
      <c r="JN146" s="60"/>
      <c r="JO146" s="60"/>
      <c r="JP146" s="60"/>
      <c r="JQ146" s="60"/>
      <c r="JR146" s="60"/>
      <c r="JS146" s="60"/>
      <c r="JT146" s="60"/>
      <c r="JU146" s="60"/>
      <c r="JV146" s="60"/>
      <c r="JW146" s="60"/>
      <c r="JX146" s="60"/>
      <c r="JY146" s="60"/>
      <c r="JZ146" s="60"/>
      <c r="KA146" s="60"/>
      <c r="KB146" s="60"/>
      <c r="KC146" s="60"/>
      <c r="KD146" s="60"/>
      <c r="KE146" s="60"/>
      <c r="KF146" s="60"/>
      <c r="KG146" s="60"/>
      <c r="KH146" s="60"/>
      <c r="KI146" s="60"/>
      <c r="KJ146" s="60"/>
      <c r="KK146" s="60"/>
      <c r="KL146" s="60"/>
      <c r="KM146" s="60"/>
      <c r="KN146" s="60"/>
      <c r="KO146" s="60"/>
      <c r="KP146" s="60"/>
      <c r="KQ146" s="60"/>
      <c r="KR146" s="60"/>
      <c r="KS146" s="60"/>
      <c r="KT146" s="60"/>
      <c r="KU146" s="60"/>
      <c r="KV146" s="60"/>
      <c r="KW146" s="60"/>
      <c r="KX146" s="60"/>
      <c r="KY146" s="60"/>
      <c r="KZ146" s="60"/>
      <c r="LA146" s="60"/>
      <c r="LB146" s="60"/>
      <c r="LC146" s="60"/>
      <c r="LD146" s="60"/>
      <c r="LE146" s="60"/>
      <c r="LF146" s="60"/>
      <c r="LG146" s="60"/>
      <c r="LH146" s="60"/>
    </row>
    <row r="147" spans="1:320" s="147" customFormat="1" ht="14.1" customHeight="1" x14ac:dyDescent="0.25">
      <c r="B147" s="1"/>
      <c r="C147" s="1"/>
      <c r="D147" s="1"/>
      <c r="E147" s="146"/>
      <c r="F147" s="146"/>
      <c r="G147" s="146"/>
      <c r="H147" s="146"/>
      <c r="I147" s="146"/>
      <c r="J147" s="146"/>
      <c r="K147" s="146"/>
      <c r="L147" s="146"/>
      <c r="M147" s="146"/>
      <c r="N147" s="146"/>
      <c r="O147" s="146"/>
      <c r="P147" s="146"/>
      <c r="Q147" s="146"/>
      <c r="R147" s="146"/>
      <c r="S147" s="146"/>
      <c r="T147" s="17"/>
      <c r="U147" s="17"/>
      <c r="V147" s="17"/>
      <c r="W147" s="17"/>
      <c r="X147" s="17"/>
      <c r="Y147" s="17"/>
      <c r="Z147" s="17"/>
      <c r="AA147" s="17"/>
      <c r="AB147" s="17"/>
      <c r="AC147" s="60"/>
      <c r="AD147" s="60"/>
      <c r="AE147" s="60"/>
      <c r="AF147" s="60"/>
      <c r="AG147" s="60"/>
      <c r="AH147" s="60"/>
      <c r="AI147" s="60"/>
      <c r="AJ147" s="60"/>
      <c r="AK147" s="60"/>
      <c r="AL147" s="60"/>
      <c r="AM147" s="60"/>
      <c r="AN147" s="60"/>
      <c r="AO147" s="60"/>
      <c r="AP147" s="60"/>
      <c r="AQ147" s="60"/>
      <c r="AR147" s="60"/>
      <c r="AS147" s="60"/>
      <c r="AT147" s="60"/>
      <c r="AU147" s="60"/>
      <c r="AV147" s="60"/>
      <c r="AW147" s="60"/>
      <c r="AX147" s="60"/>
      <c r="AY147" s="60"/>
      <c r="AZ147" s="60"/>
      <c r="BA147" s="60"/>
      <c r="BB147" s="60"/>
      <c r="BC147" s="60"/>
      <c r="BD147" s="60"/>
      <c r="BE147" s="60"/>
      <c r="BF147" s="60"/>
      <c r="BG147" s="60"/>
      <c r="BH147" s="60"/>
      <c r="BI147" s="60"/>
      <c r="BJ147" s="60"/>
      <c r="BK147" s="60"/>
      <c r="BL147" s="60"/>
      <c r="BM147" s="60"/>
      <c r="BN147" s="60"/>
      <c r="BO147" s="60"/>
      <c r="BP147" s="60"/>
      <c r="BQ147" s="60"/>
      <c r="BR147" s="60"/>
      <c r="BS147" s="60"/>
      <c r="BT147" s="60"/>
      <c r="BU147" s="60"/>
      <c r="BV147" s="60"/>
      <c r="BW147" s="60"/>
      <c r="BX147" s="60"/>
      <c r="BY147" s="60"/>
      <c r="BZ147" s="60"/>
      <c r="CA147" s="60"/>
      <c r="CB147" s="60"/>
      <c r="CC147" s="60"/>
      <c r="CD147" s="60"/>
      <c r="CE147" s="60"/>
      <c r="CF147" s="60"/>
      <c r="CG147" s="60"/>
      <c r="CH147" s="60"/>
      <c r="CI147" s="60"/>
      <c r="CJ147" s="60"/>
      <c r="CK147" s="60"/>
      <c r="CL147" s="60"/>
      <c r="CM147" s="60"/>
      <c r="CN147" s="60"/>
      <c r="CO147" s="60"/>
      <c r="CP147" s="60"/>
      <c r="CQ147" s="60"/>
      <c r="CR147" s="60"/>
      <c r="CS147" s="60"/>
      <c r="CT147" s="60"/>
      <c r="CU147" s="60"/>
      <c r="CV147" s="60"/>
      <c r="CW147" s="60"/>
      <c r="CX147" s="60"/>
      <c r="CY147" s="60"/>
      <c r="CZ147" s="60"/>
      <c r="DA147" s="60"/>
      <c r="DB147" s="60"/>
      <c r="DC147" s="60"/>
      <c r="DD147" s="60"/>
      <c r="DE147" s="60"/>
      <c r="DF147" s="60"/>
      <c r="DG147" s="60"/>
      <c r="DH147" s="60"/>
      <c r="DI147" s="60"/>
      <c r="DJ147" s="60"/>
      <c r="DK147" s="60"/>
      <c r="DL147" s="60"/>
      <c r="DM147" s="60"/>
      <c r="DN147" s="60"/>
      <c r="DO147" s="60"/>
      <c r="DP147" s="60"/>
      <c r="DQ147" s="60"/>
      <c r="DR147" s="60"/>
      <c r="DS147" s="60"/>
      <c r="DT147" s="60"/>
      <c r="DU147" s="60"/>
      <c r="DV147" s="60"/>
      <c r="DW147" s="60"/>
      <c r="DX147" s="60"/>
      <c r="DY147" s="60"/>
      <c r="DZ147" s="60"/>
      <c r="EA147" s="60"/>
      <c r="EB147" s="60"/>
      <c r="EC147" s="60"/>
      <c r="ED147" s="60"/>
      <c r="EE147" s="60"/>
      <c r="EF147" s="60"/>
      <c r="EG147" s="60"/>
      <c r="EH147" s="60"/>
      <c r="EI147" s="60"/>
      <c r="EJ147" s="60"/>
      <c r="EK147" s="60"/>
      <c r="EL147" s="60"/>
      <c r="EM147" s="60"/>
      <c r="EN147" s="60"/>
      <c r="EO147" s="60"/>
      <c r="EP147" s="60"/>
      <c r="EQ147" s="60"/>
      <c r="ER147" s="60"/>
      <c r="ES147" s="60"/>
      <c r="ET147" s="60"/>
      <c r="EU147" s="60"/>
      <c r="EV147" s="60"/>
      <c r="EW147" s="60"/>
      <c r="EX147" s="60"/>
      <c r="EY147" s="60"/>
      <c r="EZ147" s="60"/>
      <c r="FA147" s="60"/>
      <c r="FB147" s="60"/>
      <c r="FC147" s="60"/>
      <c r="FD147" s="60"/>
      <c r="FE147" s="60"/>
      <c r="FF147" s="60"/>
      <c r="FG147" s="60"/>
      <c r="FH147" s="60"/>
      <c r="FI147" s="60"/>
      <c r="FJ147" s="60"/>
      <c r="FK147" s="60"/>
      <c r="FL147" s="60"/>
      <c r="FM147" s="60"/>
      <c r="FN147" s="60"/>
      <c r="FO147" s="60"/>
      <c r="FP147" s="60"/>
      <c r="FQ147" s="60"/>
      <c r="FR147" s="60"/>
      <c r="FS147" s="60"/>
      <c r="FT147" s="60"/>
      <c r="FU147" s="60"/>
      <c r="FV147" s="60"/>
      <c r="FW147" s="60"/>
      <c r="FX147" s="60"/>
      <c r="FY147" s="60"/>
      <c r="FZ147" s="60"/>
      <c r="GA147" s="60"/>
      <c r="GB147" s="60"/>
      <c r="GC147" s="60"/>
      <c r="GD147" s="60"/>
      <c r="GE147" s="60"/>
      <c r="GF147" s="60"/>
      <c r="GG147" s="60"/>
      <c r="GH147" s="60"/>
      <c r="GI147" s="60"/>
      <c r="GJ147" s="60"/>
      <c r="GK147" s="60"/>
      <c r="GL147" s="60"/>
      <c r="GM147" s="60"/>
      <c r="GN147" s="60"/>
      <c r="GO147" s="60"/>
      <c r="GP147" s="60"/>
      <c r="GQ147" s="60"/>
      <c r="GR147" s="60"/>
      <c r="GS147" s="60"/>
      <c r="GT147" s="60"/>
      <c r="GU147" s="60"/>
      <c r="GV147" s="60"/>
      <c r="GW147" s="60"/>
      <c r="GX147" s="60"/>
      <c r="GY147" s="60"/>
      <c r="GZ147" s="60"/>
      <c r="HA147" s="60"/>
      <c r="HB147" s="60"/>
      <c r="HC147" s="60"/>
      <c r="HD147" s="60"/>
      <c r="HE147" s="60"/>
      <c r="HF147" s="60"/>
      <c r="HG147" s="60"/>
      <c r="HH147" s="60"/>
      <c r="HI147" s="60"/>
      <c r="HJ147" s="60"/>
      <c r="HK147" s="60"/>
      <c r="HL147" s="60"/>
      <c r="HM147" s="60"/>
      <c r="HN147" s="60"/>
      <c r="HO147" s="60"/>
      <c r="HP147" s="60"/>
      <c r="HQ147" s="60"/>
      <c r="HR147" s="60"/>
      <c r="HS147" s="60"/>
      <c r="HT147" s="60"/>
      <c r="HU147" s="60"/>
      <c r="HV147" s="60"/>
      <c r="HW147" s="60"/>
      <c r="HX147" s="60"/>
      <c r="HY147" s="60"/>
      <c r="HZ147" s="60"/>
      <c r="IA147" s="60"/>
      <c r="IB147" s="60"/>
      <c r="IC147" s="60"/>
      <c r="ID147" s="60"/>
      <c r="IE147" s="60"/>
      <c r="IF147" s="60"/>
      <c r="IG147" s="60"/>
      <c r="IH147" s="60"/>
      <c r="II147" s="60"/>
      <c r="IJ147" s="60"/>
      <c r="IK147" s="60"/>
      <c r="IL147" s="60"/>
      <c r="IM147" s="60"/>
      <c r="IN147" s="60"/>
      <c r="IO147" s="60"/>
      <c r="IP147" s="60"/>
      <c r="IQ147" s="60"/>
      <c r="IR147" s="60"/>
      <c r="IS147" s="60"/>
      <c r="IT147" s="60"/>
      <c r="IU147" s="60"/>
      <c r="IV147" s="60"/>
      <c r="IW147" s="60"/>
      <c r="IX147" s="60"/>
      <c r="IY147" s="60"/>
      <c r="IZ147" s="60"/>
      <c r="JA147" s="60"/>
      <c r="JB147" s="60"/>
      <c r="JC147" s="60"/>
      <c r="JD147" s="60"/>
      <c r="JE147" s="60"/>
      <c r="JF147" s="60"/>
      <c r="JG147" s="60"/>
      <c r="JH147" s="60"/>
      <c r="JI147" s="60"/>
      <c r="JJ147" s="60"/>
      <c r="JK147" s="60"/>
      <c r="JL147" s="60"/>
      <c r="JM147" s="60"/>
      <c r="JN147" s="60"/>
      <c r="JO147" s="60"/>
      <c r="JP147" s="60"/>
      <c r="JQ147" s="60"/>
      <c r="JR147" s="60"/>
      <c r="JS147" s="60"/>
      <c r="JT147" s="60"/>
      <c r="JU147" s="60"/>
      <c r="JV147" s="60"/>
      <c r="JW147" s="60"/>
      <c r="JX147" s="60"/>
      <c r="JY147" s="60"/>
      <c r="JZ147" s="60"/>
      <c r="KA147" s="60"/>
      <c r="KB147" s="60"/>
      <c r="KC147" s="60"/>
      <c r="KD147" s="60"/>
      <c r="KE147" s="60"/>
      <c r="KF147" s="60"/>
      <c r="KG147" s="60"/>
      <c r="KH147" s="60"/>
      <c r="KI147" s="60"/>
      <c r="KJ147" s="60"/>
      <c r="KK147" s="60"/>
      <c r="KL147" s="60"/>
      <c r="KM147" s="60"/>
      <c r="KN147" s="60"/>
      <c r="KO147" s="60"/>
      <c r="KP147" s="60"/>
      <c r="KQ147" s="60"/>
      <c r="KR147" s="60"/>
      <c r="KS147" s="60"/>
      <c r="KT147" s="60"/>
      <c r="KU147" s="60"/>
      <c r="KV147" s="60"/>
      <c r="KW147" s="60"/>
      <c r="KX147" s="60"/>
      <c r="KY147" s="60"/>
      <c r="KZ147" s="60"/>
      <c r="LA147" s="60"/>
      <c r="LB147" s="60"/>
      <c r="LC147" s="60"/>
      <c r="LD147" s="60"/>
      <c r="LE147" s="60"/>
      <c r="LF147" s="60"/>
      <c r="LG147" s="60"/>
      <c r="LH147" s="60"/>
    </row>
    <row r="148" spans="1:320" s="146" customFormat="1" ht="14.1" customHeight="1" x14ac:dyDescent="0.25">
      <c r="A148" s="147"/>
      <c r="B148" s="1"/>
      <c r="C148" s="1"/>
      <c r="D148" s="1"/>
      <c r="T148" s="17"/>
      <c r="U148" s="17"/>
      <c r="V148" s="17"/>
      <c r="W148" s="17"/>
      <c r="X148" s="17"/>
      <c r="Y148" s="17"/>
      <c r="Z148" s="17"/>
      <c r="AA148" s="17"/>
      <c r="AB148" s="17"/>
      <c r="AC148" s="60"/>
      <c r="AD148" s="60"/>
      <c r="AE148" s="60"/>
      <c r="AF148" s="60"/>
      <c r="AG148" s="60"/>
      <c r="AH148" s="60"/>
      <c r="AI148" s="60"/>
      <c r="AJ148" s="60"/>
      <c r="AK148" s="60"/>
      <c r="AL148" s="60"/>
      <c r="AM148" s="60"/>
      <c r="AN148" s="60"/>
      <c r="AO148" s="60"/>
      <c r="AP148" s="60"/>
      <c r="AQ148" s="60"/>
      <c r="AR148" s="60"/>
      <c r="AS148" s="60"/>
      <c r="AT148" s="60"/>
      <c r="AU148" s="60"/>
      <c r="AV148" s="60"/>
      <c r="AW148" s="60"/>
      <c r="AX148" s="60"/>
      <c r="AY148" s="60"/>
      <c r="AZ148" s="60"/>
      <c r="BA148" s="60"/>
      <c r="BB148" s="60"/>
      <c r="BC148" s="60"/>
      <c r="BD148" s="60"/>
      <c r="BE148" s="60"/>
      <c r="BF148" s="60"/>
      <c r="BG148" s="60"/>
      <c r="BH148" s="60"/>
      <c r="BI148" s="60"/>
      <c r="BJ148" s="60"/>
      <c r="BK148" s="60"/>
      <c r="BL148" s="60"/>
      <c r="BM148" s="60"/>
      <c r="BN148" s="60"/>
      <c r="BO148" s="60"/>
      <c r="BP148" s="60"/>
      <c r="BQ148" s="60"/>
      <c r="BR148" s="60"/>
      <c r="BS148" s="60"/>
      <c r="BT148" s="60"/>
      <c r="BU148" s="60"/>
      <c r="BV148" s="60"/>
      <c r="BW148" s="60"/>
      <c r="BX148" s="60"/>
      <c r="BY148" s="60"/>
      <c r="BZ148" s="60"/>
      <c r="CA148" s="60"/>
      <c r="CB148" s="60"/>
      <c r="CC148" s="60"/>
      <c r="CD148" s="60"/>
      <c r="CE148" s="60"/>
      <c r="CF148" s="60"/>
      <c r="CG148" s="60"/>
      <c r="CH148" s="60"/>
      <c r="CI148" s="60"/>
      <c r="CJ148" s="60"/>
      <c r="CK148" s="60"/>
      <c r="CL148" s="60"/>
      <c r="CM148" s="60"/>
      <c r="CN148" s="60"/>
      <c r="CO148" s="60"/>
      <c r="CP148" s="60"/>
      <c r="CQ148" s="60"/>
      <c r="CR148" s="60"/>
      <c r="CS148" s="60"/>
      <c r="CT148" s="60"/>
      <c r="CU148" s="60"/>
      <c r="CV148" s="60"/>
      <c r="CW148" s="60"/>
      <c r="CX148" s="60"/>
      <c r="CY148" s="60"/>
      <c r="CZ148" s="60"/>
      <c r="DA148" s="60"/>
      <c r="DB148" s="60"/>
      <c r="DC148" s="60"/>
      <c r="DD148" s="60"/>
      <c r="DE148" s="60"/>
      <c r="DF148" s="60"/>
      <c r="DG148" s="60"/>
      <c r="DH148" s="60"/>
      <c r="DI148" s="60"/>
      <c r="DJ148" s="60"/>
      <c r="DK148" s="60"/>
      <c r="DL148" s="60"/>
      <c r="DM148" s="60"/>
      <c r="DN148" s="60"/>
      <c r="DO148" s="60"/>
      <c r="DP148" s="60"/>
      <c r="DQ148" s="60"/>
      <c r="DR148" s="60"/>
      <c r="DS148" s="60"/>
      <c r="DT148" s="60"/>
      <c r="DU148" s="60"/>
      <c r="DV148" s="60"/>
      <c r="DW148" s="60"/>
      <c r="DX148" s="60"/>
      <c r="DY148" s="60"/>
      <c r="DZ148" s="60"/>
      <c r="EA148" s="60"/>
      <c r="EB148" s="60"/>
      <c r="EC148" s="60"/>
      <c r="ED148" s="60"/>
      <c r="EE148" s="60"/>
      <c r="EF148" s="60"/>
      <c r="EG148" s="60"/>
      <c r="EH148" s="60"/>
      <c r="EI148" s="60"/>
      <c r="EJ148" s="60"/>
      <c r="EK148" s="60"/>
      <c r="EL148" s="60"/>
      <c r="EM148" s="60"/>
      <c r="EN148" s="60"/>
      <c r="EO148" s="60"/>
      <c r="EP148" s="60"/>
      <c r="EQ148" s="60"/>
      <c r="ER148" s="60"/>
      <c r="ES148" s="60"/>
      <c r="ET148" s="60"/>
      <c r="EU148" s="60"/>
      <c r="EV148" s="60"/>
      <c r="EW148" s="60"/>
      <c r="EX148" s="60"/>
      <c r="EY148" s="60"/>
      <c r="EZ148" s="60"/>
      <c r="FA148" s="60"/>
      <c r="FB148" s="60"/>
      <c r="FC148" s="60"/>
      <c r="FD148" s="60"/>
      <c r="FE148" s="60"/>
      <c r="FF148" s="60"/>
      <c r="FG148" s="60"/>
      <c r="FH148" s="60"/>
      <c r="FI148" s="60"/>
      <c r="FJ148" s="60"/>
      <c r="FK148" s="60"/>
      <c r="FL148" s="60"/>
      <c r="FM148" s="60"/>
      <c r="FN148" s="60"/>
      <c r="FO148" s="60"/>
      <c r="FP148" s="60"/>
      <c r="FQ148" s="60"/>
      <c r="FR148" s="60"/>
      <c r="FS148" s="60"/>
      <c r="FT148" s="60"/>
      <c r="FU148" s="60"/>
      <c r="FV148" s="60"/>
      <c r="FW148" s="60"/>
      <c r="FX148" s="60"/>
      <c r="FY148" s="60"/>
      <c r="FZ148" s="60"/>
      <c r="GA148" s="60"/>
      <c r="GB148" s="60"/>
      <c r="GC148" s="60"/>
      <c r="GD148" s="60"/>
      <c r="GE148" s="60"/>
      <c r="GF148" s="60"/>
      <c r="GG148" s="60"/>
      <c r="GH148" s="60"/>
      <c r="GI148" s="60"/>
      <c r="GJ148" s="60"/>
      <c r="GK148" s="60"/>
      <c r="GL148" s="60"/>
      <c r="GM148" s="60"/>
      <c r="GN148" s="60"/>
      <c r="GO148" s="60"/>
      <c r="GP148" s="60"/>
      <c r="GQ148" s="60"/>
      <c r="GR148" s="60"/>
      <c r="GS148" s="60"/>
      <c r="GT148" s="60"/>
      <c r="GU148" s="60"/>
      <c r="GV148" s="60"/>
      <c r="GW148" s="60"/>
      <c r="GX148" s="60"/>
      <c r="GY148" s="60"/>
      <c r="GZ148" s="60"/>
      <c r="HA148" s="60"/>
      <c r="HB148" s="60"/>
      <c r="HC148" s="60"/>
      <c r="HD148" s="60"/>
      <c r="HE148" s="60"/>
      <c r="HF148" s="60"/>
      <c r="HG148" s="60"/>
      <c r="HH148" s="60"/>
      <c r="HI148" s="60"/>
      <c r="HJ148" s="60"/>
      <c r="HK148" s="60"/>
      <c r="HL148" s="60"/>
      <c r="HM148" s="60"/>
      <c r="HN148" s="60"/>
      <c r="HO148" s="60"/>
      <c r="HP148" s="60"/>
      <c r="HQ148" s="60"/>
      <c r="HR148" s="60"/>
      <c r="HS148" s="60"/>
      <c r="HT148" s="60"/>
      <c r="HU148" s="60"/>
      <c r="HV148" s="60"/>
      <c r="HW148" s="60"/>
      <c r="HX148" s="60"/>
      <c r="HY148" s="60"/>
      <c r="HZ148" s="60"/>
      <c r="IA148" s="60"/>
      <c r="IB148" s="60"/>
      <c r="IC148" s="60"/>
      <c r="ID148" s="60"/>
      <c r="IE148" s="60"/>
      <c r="IF148" s="60"/>
      <c r="IG148" s="60"/>
      <c r="IH148" s="60"/>
      <c r="II148" s="60"/>
      <c r="IJ148" s="60"/>
      <c r="IK148" s="60"/>
      <c r="IL148" s="60"/>
      <c r="IM148" s="60"/>
      <c r="IN148" s="60"/>
      <c r="IO148" s="60"/>
      <c r="IP148" s="60"/>
      <c r="IQ148" s="60"/>
      <c r="IR148" s="60"/>
      <c r="IS148" s="60"/>
      <c r="IT148" s="60"/>
      <c r="IU148" s="60"/>
      <c r="IV148" s="60"/>
      <c r="IW148" s="60"/>
      <c r="IX148" s="60"/>
      <c r="IY148" s="60"/>
      <c r="IZ148" s="60"/>
      <c r="JA148" s="60"/>
      <c r="JB148" s="60"/>
      <c r="JC148" s="60"/>
      <c r="JD148" s="60"/>
      <c r="JE148" s="60"/>
      <c r="JF148" s="60"/>
      <c r="JG148" s="60"/>
      <c r="JH148" s="60"/>
      <c r="JI148" s="60"/>
      <c r="JJ148" s="60"/>
      <c r="JK148" s="60"/>
      <c r="JL148" s="60"/>
      <c r="JM148" s="60"/>
      <c r="JN148" s="60"/>
      <c r="JO148" s="60"/>
      <c r="JP148" s="60"/>
      <c r="JQ148" s="60"/>
      <c r="JR148" s="60"/>
      <c r="JS148" s="60"/>
      <c r="JT148" s="60"/>
      <c r="JU148" s="60"/>
      <c r="JV148" s="60"/>
      <c r="JW148" s="60"/>
      <c r="JX148" s="60"/>
      <c r="JY148" s="60"/>
      <c r="JZ148" s="60"/>
      <c r="KA148" s="60"/>
      <c r="KB148" s="60"/>
      <c r="KC148" s="60"/>
      <c r="KD148" s="60"/>
      <c r="KE148" s="60"/>
      <c r="KF148" s="60"/>
      <c r="KG148" s="60"/>
      <c r="KH148" s="60"/>
      <c r="KI148" s="60"/>
      <c r="KJ148" s="60"/>
      <c r="KK148" s="60"/>
      <c r="KL148" s="60"/>
      <c r="KM148" s="60"/>
      <c r="KN148" s="60"/>
      <c r="KO148" s="60"/>
      <c r="KP148" s="60"/>
      <c r="KQ148" s="60"/>
      <c r="KR148" s="60"/>
      <c r="KS148" s="60"/>
      <c r="KT148" s="60"/>
      <c r="KU148" s="60"/>
      <c r="KV148" s="60"/>
      <c r="KW148" s="60"/>
      <c r="KX148" s="60"/>
      <c r="KY148" s="60"/>
      <c r="KZ148" s="60"/>
      <c r="LA148" s="60"/>
      <c r="LB148" s="60"/>
      <c r="LC148" s="60"/>
      <c r="LD148" s="60"/>
      <c r="LE148" s="60"/>
      <c r="LF148" s="60"/>
      <c r="LG148" s="60"/>
      <c r="LH148" s="60"/>
    </row>
    <row r="149" spans="1:320" s="146" customFormat="1" ht="14.1" customHeight="1" x14ac:dyDescent="0.25">
      <c r="A149" s="147"/>
      <c r="B149" s="1"/>
      <c r="C149" s="1"/>
      <c r="D149" s="1"/>
      <c r="T149" s="17"/>
      <c r="U149" s="17"/>
      <c r="V149" s="17"/>
      <c r="W149" s="17"/>
      <c r="X149" s="17"/>
      <c r="Y149" s="17"/>
      <c r="Z149" s="17"/>
      <c r="AA149" s="17"/>
      <c r="AB149" s="17"/>
      <c r="AC149" s="60"/>
      <c r="AD149" s="60"/>
      <c r="AE149" s="60"/>
      <c r="AF149" s="60"/>
      <c r="AG149" s="60"/>
      <c r="AH149" s="60"/>
      <c r="AI149" s="60"/>
      <c r="AJ149" s="60"/>
      <c r="AK149" s="60"/>
      <c r="AL149" s="60"/>
      <c r="AM149" s="60"/>
      <c r="AN149" s="60"/>
      <c r="AO149" s="60"/>
      <c r="AP149" s="60"/>
      <c r="AQ149" s="60"/>
      <c r="AR149" s="60"/>
      <c r="AS149" s="60"/>
      <c r="AT149" s="60"/>
      <c r="AU149" s="60"/>
      <c r="AV149" s="60"/>
      <c r="AW149" s="60"/>
      <c r="AX149" s="60"/>
      <c r="AY149" s="60"/>
      <c r="AZ149" s="60"/>
      <c r="BA149" s="60"/>
      <c r="BB149" s="60"/>
      <c r="BC149" s="60"/>
      <c r="BD149" s="60"/>
      <c r="BE149" s="60"/>
      <c r="BF149" s="60"/>
      <c r="BG149" s="60"/>
      <c r="BH149" s="60"/>
      <c r="BI149" s="60"/>
      <c r="BJ149" s="60"/>
      <c r="BK149" s="60"/>
      <c r="BL149" s="60"/>
      <c r="BM149" s="60"/>
      <c r="BN149" s="60"/>
      <c r="BO149" s="60"/>
      <c r="BP149" s="60"/>
      <c r="BQ149" s="60"/>
      <c r="BR149" s="60"/>
      <c r="BS149" s="60"/>
      <c r="BT149" s="60"/>
      <c r="BU149" s="60"/>
      <c r="BV149" s="60"/>
      <c r="BW149" s="60"/>
      <c r="BX149" s="60"/>
      <c r="BY149" s="60"/>
      <c r="BZ149" s="60"/>
      <c r="CA149" s="60"/>
      <c r="CB149" s="60"/>
      <c r="CC149" s="60"/>
      <c r="CD149" s="60"/>
      <c r="CE149" s="60"/>
      <c r="CF149" s="60"/>
      <c r="CG149" s="60"/>
      <c r="CH149" s="60"/>
      <c r="CI149" s="60"/>
      <c r="CJ149" s="60"/>
      <c r="CK149" s="60"/>
      <c r="CL149" s="60"/>
      <c r="CM149" s="60"/>
      <c r="CN149" s="60"/>
      <c r="CO149" s="60"/>
      <c r="CP149" s="60"/>
      <c r="CQ149" s="60"/>
      <c r="CR149" s="60"/>
      <c r="CS149" s="60"/>
      <c r="CT149" s="60"/>
      <c r="CU149" s="60"/>
      <c r="CV149" s="60"/>
      <c r="CW149" s="60"/>
      <c r="CX149" s="60"/>
      <c r="CY149" s="60"/>
      <c r="CZ149" s="60"/>
      <c r="DA149" s="60"/>
      <c r="DB149" s="60"/>
      <c r="DC149" s="60"/>
      <c r="DD149" s="60"/>
      <c r="DE149" s="60"/>
      <c r="DF149" s="60"/>
      <c r="DG149" s="60"/>
      <c r="DH149" s="60"/>
      <c r="DI149" s="60"/>
      <c r="DJ149" s="60"/>
      <c r="DK149" s="60"/>
      <c r="DL149" s="60"/>
      <c r="DM149" s="60"/>
      <c r="DN149" s="60"/>
      <c r="DO149" s="60"/>
      <c r="DP149" s="60"/>
      <c r="DQ149" s="60"/>
      <c r="DR149" s="60"/>
      <c r="DS149" s="60"/>
      <c r="DT149" s="60"/>
      <c r="DU149" s="60"/>
      <c r="DV149" s="60"/>
      <c r="DW149" s="60"/>
      <c r="DX149" s="60"/>
      <c r="DY149" s="60"/>
      <c r="DZ149" s="60"/>
      <c r="EA149" s="60"/>
      <c r="EB149" s="60"/>
      <c r="EC149" s="60"/>
      <c r="ED149" s="60"/>
      <c r="EE149" s="60"/>
      <c r="EF149" s="60"/>
      <c r="EG149" s="60"/>
      <c r="EH149" s="60"/>
      <c r="EI149" s="60"/>
      <c r="EJ149" s="60"/>
      <c r="EK149" s="60"/>
      <c r="EL149" s="60"/>
      <c r="EM149" s="60"/>
      <c r="EN149" s="60"/>
      <c r="EO149" s="60"/>
      <c r="EP149" s="60"/>
      <c r="EQ149" s="60"/>
      <c r="ER149" s="60"/>
      <c r="ES149" s="60"/>
      <c r="ET149" s="60"/>
      <c r="EU149" s="60"/>
      <c r="EV149" s="60"/>
      <c r="EW149" s="60"/>
      <c r="EX149" s="60"/>
      <c r="EY149" s="60"/>
      <c r="EZ149" s="60"/>
      <c r="FA149" s="60"/>
      <c r="FB149" s="60"/>
      <c r="FC149" s="60"/>
      <c r="FD149" s="60"/>
      <c r="FE149" s="60"/>
      <c r="FF149" s="60"/>
      <c r="FG149" s="60"/>
      <c r="FH149" s="60"/>
      <c r="FI149" s="60"/>
      <c r="FJ149" s="60"/>
      <c r="FK149" s="60"/>
      <c r="FL149" s="60"/>
      <c r="FM149" s="60"/>
      <c r="FN149" s="60"/>
      <c r="FO149" s="60"/>
      <c r="FP149" s="60"/>
      <c r="FQ149" s="60"/>
      <c r="FR149" s="60"/>
      <c r="FS149" s="60"/>
      <c r="FT149" s="60"/>
      <c r="FU149" s="60"/>
      <c r="FV149" s="60"/>
      <c r="FW149" s="60"/>
      <c r="FX149" s="60"/>
      <c r="FY149" s="60"/>
      <c r="FZ149" s="60"/>
      <c r="GA149" s="60"/>
      <c r="GB149" s="60"/>
      <c r="GC149" s="60"/>
      <c r="GD149" s="60"/>
      <c r="GE149" s="60"/>
      <c r="GF149" s="60"/>
      <c r="GG149" s="60"/>
      <c r="GH149" s="60"/>
      <c r="GI149" s="60"/>
      <c r="GJ149" s="60"/>
      <c r="GK149" s="60"/>
      <c r="GL149" s="60"/>
      <c r="GM149" s="60"/>
      <c r="GN149" s="60"/>
      <c r="GO149" s="60"/>
      <c r="GP149" s="60"/>
      <c r="GQ149" s="60"/>
      <c r="GR149" s="60"/>
      <c r="GS149" s="60"/>
      <c r="GT149" s="60"/>
      <c r="GU149" s="60"/>
      <c r="GV149" s="60"/>
      <c r="GW149" s="60"/>
      <c r="GX149" s="60"/>
      <c r="GY149" s="60"/>
      <c r="GZ149" s="60"/>
      <c r="HA149" s="60"/>
      <c r="HB149" s="60"/>
      <c r="HC149" s="60"/>
      <c r="HD149" s="60"/>
      <c r="HE149" s="60"/>
      <c r="HF149" s="60"/>
      <c r="HG149" s="60"/>
      <c r="HH149" s="60"/>
      <c r="HI149" s="60"/>
      <c r="HJ149" s="60"/>
      <c r="HK149" s="60"/>
      <c r="HL149" s="60"/>
      <c r="HM149" s="60"/>
      <c r="HN149" s="60"/>
      <c r="HO149" s="60"/>
      <c r="HP149" s="60"/>
      <c r="HQ149" s="60"/>
      <c r="HR149" s="60"/>
      <c r="HS149" s="60"/>
      <c r="HT149" s="60"/>
      <c r="HU149" s="60"/>
      <c r="HV149" s="60"/>
      <c r="HW149" s="60"/>
      <c r="HX149" s="60"/>
      <c r="HY149" s="60"/>
      <c r="HZ149" s="60"/>
      <c r="IA149" s="60"/>
      <c r="IB149" s="60"/>
      <c r="IC149" s="60"/>
      <c r="ID149" s="60"/>
      <c r="IE149" s="60"/>
      <c r="IF149" s="60"/>
      <c r="IG149" s="60"/>
      <c r="IH149" s="60"/>
      <c r="II149" s="60"/>
      <c r="IJ149" s="60"/>
      <c r="IK149" s="60"/>
      <c r="IL149" s="60"/>
      <c r="IM149" s="60"/>
      <c r="IN149" s="60"/>
      <c r="IO149" s="60"/>
      <c r="IP149" s="60"/>
      <c r="IQ149" s="60"/>
      <c r="IR149" s="60"/>
      <c r="IS149" s="60"/>
      <c r="IT149" s="60"/>
      <c r="IU149" s="60"/>
      <c r="IV149" s="60"/>
      <c r="IW149" s="60"/>
      <c r="IX149" s="60"/>
      <c r="IY149" s="60"/>
      <c r="IZ149" s="60"/>
      <c r="JA149" s="60"/>
      <c r="JB149" s="60"/>
      <c r="JC149" s="60"/>
      <c r="JD149" s="60"/>
      <c r="JE149" s="60"/>
      <c r="JF149" s="60"/>
      <c r="JG149" s="60"/>
      <c r="JH149" s="60"/>
      <c r="JI149" s="60"/>
      <c r="JJ149" s="60"/>
      <c r="JK149" s="60"/>
      <c r="JL149" s="60"/>
      <c r="JM149" s="60"/>
      <c r="JN149" s="60"/>
      <c r="JO149" s="60"/>
      <c r="JP149" s="60"/>
      <c r="JQ149" s="60"/>
      <c r="JR149" s="60"/>
      <c r="JS149" s="60"/>
      <c r="JT149" s="60"/>
      <c r="JU149" s="60"/>
      <c r="JV149" s="60"/>
      <c r="JW149" s="60"/>
      <c r="JX149" s="60"/>
      <c r="JY149" s="60"/>
      <c r="JZ149" s="60"/>
      <c r="KA149" s="60"/>
      <c r="KB149" s="60"/>
      <c r="KC149" s="60"/>
      <c r="KD149" s="60"/>
      <c r="KE149" s="60"/>
      <c r="KF149" s="60"/>
      <c r="KG149" s="60"/>
      <c r="KH149" s="60"/>
      <c r="KI149" s="60"/>
      <c r="KJ149" s="60"/>
      <c r="KK149" s="60"/>
      <c r="KL149" s="60"/>
      <c r="KM149" s="60"/>
      <c r="KN149" s="60"/>
      <c r="KO149" s="60"/>
      <c r="KP149" s="60"/>
      <c r="KQ149" s="60"/>
      <c r="KR149" s="60"/>
      <c r="KS149" s="60"/>
      <c r="KT149" s="60"/>
      <c r="KU149" s="60"/>
      <c r="KV149" s="60"/>
      <c r="KW149" s="60"/>
      <c r="KX149" s="60"/>
      <c r="KY149" s="60"/>
      <c r="KZ149" s="60"/>
      <c r="LA149" s="60"/>
      <c r="LB149" s="60"/>
      <c r="LC149" s="60"/>
      <c r="LD149" s="60"/>
      <c r="LE149" s="60"/>
      <c r="LF149" s="60"/>
      <c r="LG149" s="60"/>
      <c r="LH149" s="60"/>
    </row>
    <row r="150" spans="1:320" s="146" customFormat="1" ht="14.1" customHeight="1" x14ac:dyDescent="1.35">
      <c r="A150" s="147"/>
      <c r="B150" s="352"/>
      <c r="C150" s="352"/>
      <c r="D150" s="352"/>
      <c r="E150" s="352"/>
      <c r="F150" s="352"/>
      <c r="G150" s="352"/>
      <c r="H150" s="352"/>
      <c r="I150" s="352"/>
      <c r="J150" s="352"/>
      <c r="K150" s="352"/>
      <c r="L150" s="352"/>
      <c r="M150" s="155"/>
      <c r="T150" s="17"/>
      <c r="U150" s="17"/>
      <c r="V150" s="17"/>
      <c r="W150" s="17"/>
      <c r="X150" s="17"/>
      <c r="Y150" s="17"/>
      <c r="Z150" s="17"/>
      <c r="AA150" s="17"/>
      <c r="AB150" s="17"/>
      <c r="AC150" s="60"/>
      <c r="AD150" s="60"/>
      <c r="AE150" s="60"/>
      <c r="AF150" s="60"/>
      <c r="AG150" s="60"/>
      <c r="AH150" s="60"/>
      <c r="AI150" s="60"/>
      <c r="AJ150" s="60"/>
      <c r="AK150" s="60"/>
      <c r="AL150" s="60"/>
      <c r="AM150" s="60"/>
      <c r="AN150" s="60"/>
      <c r="AO150" s="60"/>
      <c r="AP150" s="60"/>
      <c r="AQ150" s="60"/>
      <c r="AR150" s="60"/>
      <c r="AS150" s="60"/>
      <c r="AT150" s="60"/>
      <c r="AU150" s="60"/>
      <c r="AV150" s="60"/>
      <c r="AW150" s="60"/>
      <c r="AX150" s="60"/>
      <c r="AY150" s="60"/>
      <c r="AZ150" s="60"/>
      <c r="BA150" s="60"/>
      <c r="BB150" s="60"/>
      <c r="BC150" s="60"/>
      <c r="BD150" s="60"/>
      <c r="BE150" s="60"/>
      <c r="BF150" s="60"/>
      <c r="BG150" s="60"/>
      <c r="BH150" s="60"/>
      <c r="BI150" s="60"/>
      <c r="BJ150" s="60"/>
      <c r="BK150" s="60"/>
      <c r="BL150" s="60"/>
      <c r="BM150" s="60"/>
      <c r="BN150" s="60"/>
      <c r="BO150" s="60"/>
      <c r="BP150" s="60"/>
      <c r="BQ150" s="60"/>
      <c r="BR150" s="60"/>
      <c r="BS150" s="60"/>
      <c r="BT150" s="60"/>
      <c r="BU150" s="60"/>
      <c r="BV150" s="60"/>
      <c r="BW150" s="60"/>
      <c r="BX150" s="60"/>
      <c r="BY150" s="60"/>
      <c r="BZ150" s="60"/>
      <c r="CA150" s="60"/>
      <c r="CB150" s="60"/>
      <c r="CC150" s="60"/>
      <c r="CD150" s="60"/>
      <c r="CE150" s="60"/>
      <c r="CF150" s="60"/>
      <c r="CG150" s="60"/>
      <c r="CH150" s="60"/>
      <c r="CI150" s="60"/>
      <c r="CJ150" s="60"/>
      <c r="CK150" s="60"/>
      <c r="CL150" s="60"/>
      <c r="CM150" s="60"/>
      <c r="CN150" s="60"/>
      <c r="CO150" s="60"/>
      <c r="CP150" s="60"/>
      <c r="CQ150" s="60"/>
      <c r="CR150" s="60"/>
      <c r="CS150" s="60"/>
      <c r="CT150" s="60"/>
      <c r="CU150" s="60"/>
      <c r="CV150" s="60"/>
      <c r="CW150" s="60"/>
      <c r="CX150" s="60"/>
      <c r="CY150" s="60"/>
      <c r="CZ150" s="60"/>
      <c r="DA150" s="60"/>
      <c r="DB150" s="60"/>
      <c r="DC150" s="60"/>
      <c r="DD150" s="60"/>
      <c r="DE150" s="60"/>
      <c r="DF150" s="60"/>
      <c r="DG150" s="60"/>
      <c r="DH150" s="60"/>
      <c r="DI150" s="60"/>
      <c r="DJ150" s="60"/>
      <c r="DK150" s="60"/>
      <c r="DL150" s="60"/>
      <c r="DM150" s="60"/>
      <c r="DN150" s="60"/>
      <c r="DO150" s="60"/>
      <c r="DP150" s="60"/>
      <c r="DQ150" s="60"/>
      <c r="DR150" s="60"/>
      <c r="DS150" s="60"/>
      <c r="DT150" s="60"/>
      <c r="DU150" s="60"/>
      <c r="DV150" s="60"/>
      <c r="DW150" s="60"/>
      <c r="DX150" s="60"/>
      <c r="DY150" s="60"/>
      <c r="DZ150" s="60"/>
      <c r="EA150" s="60"/>
      <c r="EB150" s="60"/>
      <c r="EC150" s="60"/>
      <c r="ED150" s="60"/>
      <c r="EE150" s="60"/>
      <c r="EF150" s="60"/>
      <c r="EG150" s="60"/>
      <c r="EH150" s="60"/>
      <c r="EI150" s="60"/>
      <c r="EJ150" s="60"/>
      <c r="EK150" s="60"/>
      <c r="EL150" s="60"/>
      <c r="EM150" s="60"/>
      <c r="EN150" s="60"/>
      <c r="EO150" s="60"/>
      <c r="EP150" s="60"/>
      <c r="EQ150" s="60"/>
      <c r="ER150" s="60"/>
      <c r="ES150" s="60"/>
      <c r="ET150" s="60"/>
      <c r="EU150" s="60"/>
      <c r="EV150" s="60"/>
      <c r="EW150" s="60"/>
      <c r="EX150" s="60"/>
      <c r="EY150" s="60"/>
      <c r="EZ150" s="60"/>
      <c r="FA150" s="60"/>
      <c r="FB150" s="60"/>
      <c r="FC150" s="60"/>
      <c r="FD150" s="60"/>
      <c r="FE150" s="60"/>
      <c r="FF150" s="60"/>
      <c r="FG150" s="60"/>
      <c r="FH150" s="60"/>
      <c r="FI150" s="60"/>
      <c r="FJ150" s="60"/>
      <c r="FK150" s="60"/>
      <c r="FL150" s="60"/>
      <c r="FM150" s="60"/>
      <c r="FN150" s="60"/>
      <c r="FO150" s="60"/>
      <c r="FP150" s="60"/>
      <c r="FQ150" s="60"/>
      <c r="FR150" s="60"/>
      <c r="FS150" s="60"/>
      <c r="FT150" s="60"/>
      <c r="FU150" s="60"/>
      <c r="FV150" s="60"/>
      <c r="FW150" s="60"/>
      <c r="FX150" s="60"/>
      <c r="FY150" s="60"/>
      <c r="FZ150" s="60"/>
      <c r="GA150" s="60"/>
      <c r="GB150" s="60"/>
      <c r="GC150" s="60"/>
      <c r="GD150" s="60"/>
      <c r="GE150" s="60"/>
      <c r="GF150" s="60"/>
      <c r="GG150" s="60"/>
      <c r="GH150" s="60"/>
      <c r="GI150" s="60"/>
      <c r="GJ150" s="60"/>
      <c r="GK150" s="60"/>
      <c r="GL150" s="60"/>
      <c r="GM150" s="60"/>
      <c r="GN150" s="60"/>
      <c r="GO150" s="60"/>
      <c r="GP150" s="60"/>
      <c r="GQ150" s="60"/>
      <c r="GR150" s="60"/>
      <c r="GS150" s="60"/>
      <c r="GT150" s="60"/>
      <c r="GU150" s="60"/>
      <c r="GV150" s="60"/>
      <c r="GW150" s="60"/>
      <c r="GX150" s="60"/>
      <c r="GY150" s="60"/>
      <c r="GZ150" s="60"/>
      <c r="HA150" s="60"/>
      <c r="HB150" s="60"/>
      <c r="HC150" s="60"/>
      <c r="HD150" s="60"/>
      <c r="HE150" s="60"/>
      <c r="HF150" s="60"/>
      <c r="HG150" s="60"/>
      <c r="HH150" s="60"/>
      <c r="HI150" s="60"/>
      <c r="HJ150" s="60"/>
      <c r="HK150" s="60"/>
      <c r="HL150" s="60"/>
      <c r="HM150" s="60"/>
      <c r="HN150" s="60"/>
      <c r="HO150" s="60"/>
      <c r="HP150" s="60"/>
      <c r="HQ150" s="60"/>
      <c r="HR150" s="60"/>
      <c r="HS150" s="60"/>
      <c r="HT150" s="60"/>
      <c r="HU150" s="60"/>
      <c r="HV150" s="60"/>
      <c r="HW150" s="60"/>
      <c r="HX150" s="60"/>
      <c r="HY150" s="60"/>
      <c r="HZ150" s="60"/>
      <c r="IA150" s="60"/>
      <c r="IB150" s="60"/>
      <c r="IC150" s="60"/>
      <c r="ID150" s="60"/>
      <c r="IE150" s="60"/>
      <c r="IF150" s="60"/>
      <c r="IG150" s="60"/>
      <c r="IH150" s="60"/>
      <c r="II150" s="60"/>
      <c r="IJ150" s="60"/>
      <c r="IK150" s="60"/>
      <c r="IL150" s="60"/>
      <c r="IM150" s="60"/>
      <c r="IN150" s="60"/>
      <c r="IO150" s="60"/>
      <c r="IP150" s="60"/>
      <c r="IQ150" s="60"/>
      <c r="IR150" s="60"/>
      <c r="IS150" s="60"/>
      <c r="IT150" s="60"/>
      <c r="IU150" s="60"/>
      <c r="IV150" s="60"/>
      <c r="IW150" s="60"/>
      <c r="IX150" s="60"/>
      <c r="IY150" s="60"/>
      <c r="IZ150" s="60"/>
      <c r="JA150" s="60"/>
      <c r="JB150" s="60"/>
      <c r="JC150" s="60"/>
      <c r="JD150" s="60"/>
      <c r="JE150" s="60"/>
      <c r="JF150" s="60"/>
      <c r="JG150" s="60"/>
      <c r="JH150" s="60"/>
      <c r="JI150" s="60"/>
      <c r="JJ150" s="60"/>
      <c r="JK150" s="60"/>
      <c r="JL150" s="60"/>
      <c r="JM150" s="60"/>
      <c r="JN150" s="60"/>
      <c r="JO150" s="60"/>
      <c r="JP150" s="60"/>
      <c r="JQ150" s="60"/>
      <c r="JR150" s="60"/>
      <c r="JS150" s="60"/>
      <c r="JT150" s="60"/>
      <c r="JU150" s="60"/>
      <c r="JV150" s="60"/>
      <c r="JW150" s="60"/>
      <c r="JX150" s="60"/>
      <c r="JY150" s="60"/>
      <c r="JZ150" s="60"/>
      <c r="KA150" s="60"/>
      <c r="KB150" s="60"/>
      <c r="KC150" s="60"/>
      <c r="KD150" s="60"/>
      <c r="KE150" s="60"/>
      <c r="KF150" s="60"/>
      <c r="KG150" s="60"/>
      <c r="KH150" s="60"/>
      <c r="KI150" s="60"/>
      <c r="KJ150" s="60"/>
      <c r="KK150" s="60"/>
      <c r="KL150" s="60"/>
      <c r="KM150" s="60"/>
      <c r="KN150" s="60"/>
      <c r="KO150" s="60"/>
      <c r="KP150" s="60"/>
      <c r="KQ150" s="60"/>
      <c r="KR150" s="60"/>
      <c r="KS150" s="60"/>
      <c r="KT150" s="60"/>
      <c r="KU150" s="60"/>
      <c r="KV150" s="60"/>
      <c r="KW150" s="60"/>
      <c r="KX150" s="60"/>
      <c r="KY150" s="60"/>
      <c r="KZ150" s="60"/>
      <c r="LA150" s="60"/>
      <c r="LB150" s="60"/>
      <c r="LC150" s="60"/>
      <c r="LD150" s="60"/>
      <c r="LE150" s="60"/>
      <c r="LF150" s="60"/>
      <c r="LG150" s="60"/>
      <c r="LH150" s="60"/>
    </row>
    <row r="151" spans="1:320" s="146" customFormat="1" ht="15.75" thickBot="1" x14ac:dyDescent="0.3">
      <c r="A151" s="147"/>
      <c r="B151" s="1"/>
      <c r="C151" s="1"/>
      <c r="D151" s="1"/>
      <c r="T151" s="17"/>
      <c r="U151" s="17"/>
      <c r="V151" s="17"/>
      <c r="W151" s="17"/>
      <c r="X151" s="17"/>
      <c r="Y151" s="17"/>
      <c r="Z151" s="17"/>
      <c r="AA151" s="17"/>
      <c r="AB151" s="17"/>
      <c r="AC151" s="60"/>
      <c r="AD151" s="60"/>
      <c r="AE151" s="60"/>
      <c r="AF151" s="60"/>
      <c r="AG151" s="60"/>
      <c r="AH151" s="60"/>
      <c r="AI151" s="60"/>
      <c r="AJ151" s="60"/>
      <c r="AK151" s="60"/>
      <c r="AL151" s="60"/>
      <c r="AM151" s="60"/>
      <c r="AN151" s="60"/>
      <c r="AO151" s="60"/>
      <c r="AP151" s="60"/>
      <c r="AQ151" s="60"/>
      <c r="AR151" s="60"/>
      <c r="AS151" s="60"/>
      <c r="AT151" s="60"/>
      <c r="AU151" s="60"/>
      <c r="AV151" s="60"/>
      <c r="AW151" s="60"/>
      <c r="AX151" s="60"/>
      <c r="AY151" s="60"/>
      <c r="AZ151" s="60"/>
      <c r="BA151" s="60"/>
      <c r="BB151" s="60"/>
      <c r="BC151" s="60"/>
      <c r="BD151" s="60"/>
      <c r="BE151" s="60"/>
      <c r="BF151" s="60"/>
      <c r="BG151" s="60"/>
      <c r="BH151" s="60"/>
      <c r="BI151" s="60"/>
      <c r="BJ151" s="60"/>
      <c r="BK151" s="60"/>
      <c r="BL151" s="60"/>
      <c r="BM151" s="60"/>
      <c r="BN151" s="60"/>
      <c r="BO151" s="60"/>
      <c r="BP151" s="60"/>
      <c r="BQ151" s="60"/>
      <c r="BR151" s="60"/>
      <c r="BS151" s="60"/>
      <c r="BT151" s="60"/>
      <c r="BU151" s="60"/>
      <c r="BV151" s="60"/>
      <c r="BW151" s="60"/>
      <c r="BX151" s="60"/>
      <c r="BY151" s="60"/>
      <c r="BZ151" s="60"/>
      <c r="CA151" s="60"/>
      <c r="CB151" s="60"/>
      <c r="CC151" s="60"/>
      <c r="CD151" s="60"/>
      <c r="CE151" s="60"/>
      <c r="CF151" s="60"/>
      <c r="CG151" s="60"/>
      <c r="CH151" s="60"/>
      <c r="CI151" s="60"/>
      <c r="CJ151" s="60"/>
      <c r="CK151" s="60"/>
      <c r="CL151" s="60"/>
      <c r="CM151" s="60"/>
      <c r="CN151" s="60"/>
      <c r="CO151" s="60"/>
      <c r="CP151" s="60"/>
      <c r="CQ151" s="60"/>
      <c r="CR151" s="60"/>
      <c r="CS151" s="60"/>
      <c r="CT151" s="60"/>
      <c r="CU151" s="60"/>
      <c r="CV151" s="60"/>
      <c r="CW151" s="60"/>
      <c r="CX151" s="60"/>
      <c r="CY151" s="60"/>
      <c r="CZ151" s="60"/>
      <c r="DA151" s="60"/>
      <c r="DB151" s="60"/>
      <c r="DC151" s="60"/>
      <c r="DD151" s="60"/>
      <c r="DE151" s="60"/>
      <c r="DF151" s="60"/>
      <c r="DG151" s="60"/>
      <c r="DH151" s="60"/>
      <c r="DI151" s="60"/>
      <c r="DJ151" s="60"/>
      <c r="DK151" s="60"/>
      <c r="DL151" s="60"/>
      <c r="DM151" s="60"/>
      <c r="DN151" s="60"/>
      <c r="DO151" s="60"/>
      <c r="DP151" s="60"/>
      <c r="DQ151" s="60"/>
      <c r="DR151" s="60"/>
      <c r="DS151" s="60"/>
      <c r="DT151" s="60"/>
      <c r="DU151" s="60"/>
      <c r="DV151" s="60"/>
      <c r="DW151" s="60"/>
      <c r="DX151" s="60"/>
      <c r="DY151" s="60"/>
      <c r="DZ151" s="60"/>
      <c r="EA151" s="60"/>
      <c r="EB151" s="60"/>
      <c r="EC151" s="60"/>
      <c r="ED151" s="60"/>
      <c r="EE151" s="60"/>
      <c r="EF151" s="60"/>
      <c r="EG151" s="60"/>
      <c r="EH151" s="60"/>
      <c r="EI151" s="60"/>
      <c r="EJ151" s="60"/>
      <c r="EK151" s="60"/>
      <c r="EL151" s="60"/>
      <c r="EM151" s="60"/>
      <c r="EN151" s="60"/>
      <c r="EO151" s="60"/>
      <c r="EP151" s="60"/>
      <c r="EQ151" s="60"/>
      <c r="ER151" s="60"/>
      <c r="ES151" s="60"/>
      <c r="ET151" s="60"/>
      <c r="EU151" s="60"/>
      <c r="EV151" s="60"/>
      <c r="EW151" s="60"/>
      <c r="EX151" s="60"/>
      <c r="EY151" s="60"/>
      <c r="EZ151" s="60"/>
      <c r="FA151" s="60"/>
      <c r="FB151" s="60"/>
      <c r="FC151" s="60"/>
      <c r="FD151" s="60"/>
      <c r="FE151" s="60"/>
      <c r="FF151" s="60"/>
      <c r="FG151" s="60"/>
      <c r="FH151" s="60"/>
      <c r="FI151" s="60"/>
      <c r="FJ151" s="60"/>
      <c r="FK151" s="60"/>
      <c r="FL151" s="60"/>
      <c r="FM151" s="60"/>
      <c r="FN151" s="60"/>
      <c r="FO151" s="60"/>
      <c r="FP151" s="60"/>
      <c r="FQ151" s="60"/>
      <c r="FR151" s="60"/>
      <c r="FS151" s="60"/>
      <c r="FT151" s="60"/>
      <c r="FU151" s="60"/>
      <c r="FV151" s="60"/>
      <c r="FW151" s="60"/>
      <c r="FX151" s="60"/>
      <c r="FY151" s="60"/>
      <c r="FZ151" s="60"/>
      <c r="GA151" s="60"/>
      <c r="GB151" s="60"/>
      <c r="GC151" s="60"/>
      <c r="GD151" s="60"/>
      <c r="GE151" s="60"/>
      <c r="GF151" s="60"/>
      <c r="GG151" s="60"/>
      <c r="GH151" s="60"/>
      <c r="GI151" s="60"/>
      <c r="GJ151" s="60"/>
      <c r="GK151" s="60"/>
      <c r="GL151" s="60"/>
      <c r="GM151" s="60"/>
      <c r="GN151" s="60"/>
      <c r="GO151" s="60"/>
      <c r="GP151" s="60"/>
      <c r="GQ151" s="60"/>
      <c r="GR151" s="60"/>
      <c r="GS151" s="60"/>
      <c r="GT151" s="60"/>
      <c r="GU151" s="60"/>
      <c r="GV151" s="60"/>
      <c r="GW151" s="60"/>
      <c r="GX151" s="60"/>
      <c r="GY151" s="60"/>
      <c r="GZ151" s="60"/>
      <c r="HA151" s="60"/>
      <c r="HB151" s="60"/>
      <c r="HC151" s="60"/>
      <c r="HD151" s="60"/>
      <c r="HE151" s="60"/>
      <c r="HF151" s="60"/>
      <c r="HG151" s="60"/>
      <c r="HH151" s="60"/>
      <c r="HI151" s="60"/>
      <c r="HJ151" s="60"/>
      <c r="HK151" s="60"/>
      <c r="HL151" s="60"/>
      <c r="HM151" s="60"/>
      <c r="HN151" s="60"/>
      <c r="HO151" s="60"/>
      <c r="HP151" s="60"/>
      <c r="HQ151" s="60"/>
      <c r="HR151" s="60"/>
      <c r="HS151" s="60"/>
      <c r="HT151" s="60"/>
      <c r="HU151" s="60"/>
      <c r="HV151" s="60"/>
      <c r="HW151" s="60"/>
      <c r="HX151" s="60"/>
      <c r="HY151" s="60"/>
      <c r="HZ151" s="60"/>
      <c r="IA151" s="60"/>
      <c r="IB151" s="60"/>
      <c r="IC151" s="60"/>
      <c r="ID151" s="60"/>
      <c r="IE151" s="60"/>
      <c r="IF151" s="60"/>
      <c r="IG151" s="60"/>
      <c r="IH151" s="60"/>
      <c r="II151" s="60"/>
      <c r="IJ151" s="60"/>
      <c r="IK151" s="60"/>
      <c r="IL151" s="60"/>
      <c r="IM151" s="60"/>
      <c r="IN151" s="60"/>
      <c r="IO151" s="60"/>
      <c r="IP151" s="60"/>
      <c r="IQ151" s="60"/>
      <c r="IR151" s="60"/>
      <c r="IS151" s="60"/>
      <c r="IT151" s="60"/>
      <c r="IU151" s="60"/>
      <c r="IV151" s="60"/>
      <c r="IW151" s="60"/>
      <c r="IX151" s="60"/>
      <c r="IY151" s="60"/>
      <c r="IZ151" s="60"/>
      <c r="JA151" s="60"/>
      <c r="JB151" s="60"/>
      <c r="JC151" s="60"/>
      <c r="JD151" s="60"/>
      <c r="JE151" s="60"/>
      <c r="JF151" s="60"/>
      <c r="JG151" s="60"/>
      <c r="JH151" s="60"/>
      <c r="JI151" s="60"/>
      <c r="JJ151" s="60"/>
      <c r="JK151" s="60"/>
      <c r="JL151" s="60"/>
      <c r="JM151" s="60"/>
      <c r="JN151" s="60"/>
      <c r="JO151" s="60"/>
      <c r="JP151" s="60"/>
      <c r="JQ151" s="60"/>
      <c r="JR151" s="60"/>
      <c r="JS151" s="60"/>
      <c r="JT151" s="60"/>
      <c r="JU151" s="60"/>
      <c r="JV151" s="60"/>
      <c r="JW151" s="60"/>
      <c r="JX151" s="60"/>
      <c r="JY151" s="60"/>
      <c r="JZ151" s="60"/>
      <c r="KA151" s="60"/>
      <c r="KB151" s="60"/>
      <c r="KC151" s="60"/>
      <c r="KD151" s="60"/>
      <c r="KE151" s="60"/>
      <c r="KF151" s="60"/>
      <c r="KG151" s="60"/>
      <c r="KH151" s="60"/>
      <c r="KI151" s="60"/>
      <c r="KJ151" s="60"/>
      <c r="KK151" s="60"/>
      <c r="KL151" s="60"/>
      <c r="KM151" s="60"/>
      <c r="KN151" s="60"/>
      <c r="KO151" s="60"/>
      <c r="KP151" s="60"/>
      <c r="KQ151" s="60"/>
      <c r="KR151" s="60"/>
      <c r="KS151" s="60"/>
      <c r="KT151" s="60"/>
      <c r="KU151" s="60"/>
      <c r="KV151" s="60"/>
      <c r="KW151" s="60"/>
      <c r="KX151" s="60"/>
      <c r="KY151" s="60"/>
      <c r="KZ151" s="60"/>
      <c r="LA151" s="60"/>
      <c r="LB151" s="60"/>
      <c r="LC151" s="60"/>
      <c r="LD151" s="60"/>
      <c r="LE151" s="60"/>
      <c r="LF151" s="60"/>
      <c r="LG151" s="60"/>
      <c r="LH151" s="60"/>
    </row>
    <row r="152" spans="1:320" s="146" customFormat="1" ht="47.25" thickBot="1" x14ac:dyDescent="0.3">
      <c r="A152" s="147"/>
      <c r="B152" s="353" t="s">
        <v>101</v>
      </c>
      <c r="C152" s="354"/>
      <c r="D152" s="354"/>
      <c r="E152" s="354"/>
      <c r="F152" s="354"/>
      <c r="G152" s="354"/>
      <c r="H152" s="355"/>
      <c r="T152" s="17"/>
      <c r="U152" s="17"/>
      <c r="V152" s="17"/>
      <c r="W152" s="17"/>
      <c r="X152" s="17"/>
      <c r="Y152" s="17"/>
      <c r="Z152" s="17"/>
      <c r="AA152" s="17"/>
      <c r="AB152" s="17"/>
      <c r="AC152" s="60"/>
      <c r="AD152" s="60"/>
      <c r="AE152" s="60"/>
      <c r="AF152" s="60"/>
      <c r="AG152" s="60"/>
      <c r="AH152" s="60"/>
      <c r="AI152" s="60"/>
      <c r="AJ152" s="60"/>
      <c r="AK152" s="60"/>
      <c r="AL152" s="60"/>
      <c r="AM152" s="60"/>
      <c r="AN152" s="60"/>
      <c r="AO152" s="60"/>
      <c r="AP152" s="60"/>
      <c r="AQ152" s="60"/>
      <c r="AR152" s="60"/>
      <c r="AS152" s="60"/>
      <c r="AT152" s="60"/>
      <c r="AU152" s="60"/>
      <c r="AV152" s="60"/>
      <c r="AW152" s="60"/>
      <c r="AX152" s="60"/>
      <c r="AY152" s="60"/>
      <c r="AZ152" s="60"/>
      <c r="BA152" s="60"/>
      <c r="BB152" s="60"/>
      <c r="BC152" s="60"/>
      <c r="BD152" s="60"/>
      <c r="BE152" s="60"/>
      <c r="BF152" s="60"/>
      <c r="BG152" s="60"/>
      <c r="BH152" s="60"/>
      <c r="BI152" s="60"/>
      <c r="BJ152" s="60"/>
      <c r="BK152" s="60"/>
      <c r="BL152" s="60"/>
      <c r="BM152" s="60"/>
      <c r="BN152" s="60"/>
      <c r="BO152" s="60"/>
      <c r="BP152" s="60"/>
      <c r="BQ152" s="60"/>
      <c r="BR152" s="60"/>
      <c r="BS152" s="60"/>
      <c r="BT152" s="60"/>
      <c r="BU152" s="60"/>
      <c r="BV152" s="60"/>
      <c r="BW152" s="60"/>
      <c r="BX152" s="60"/>
      <c r="BY152" s="60"/>
      <c r="BZ152" s="60"/>
      <c r="CA152" s="60"/>
      <c r="CB152" s="60"/>
      <c r="CC152" s="60"/>
      <c r="CD152" s="60"/>
      <c r="CE152" s="60"/>
      <c r="CF152" s="60"/>
      <c r="CG152" s="60"/>
      <c r="CH152" s="60"/>
      <c r="CI152" s="60"/>
      <c r="CJ152" s="60"/>
      <c r="CK152" s="60"/>
      <c r="CL152" s="60"/>
      <c r="CM152" s="60"/>
      <c r="CN152" s="60"/>
      <c r="CO152" s="60"/>
      <c r="CP152" s="60"/>
      <c r="CQ152" s="60"/>
      <c r="CR152" s="60"/>
      <c r="CS152" s="60"/>
      <c r="CT152" s="60"/>
      <c r="CU152" s="60"/>
      <c r="CV152" s="60"/>
      <c r="CW152" s="60"/>
      <c r="CX152" s="60"/>
      <c r="CY152" s="60"/>
      <c r="CZ152" s="60"/>
      <c r="DA152" s="60"/>
      <c r="DB152" s="60"/>
      <c r="DC152" s="60"/>
      <c r="DD152" s="60"/>
      <c r="DE152" s="60"/>
      <c r="DF152" s="60"/>
      <c r="DG152" s="60"/>
      <c r="DH152" s="60"/>
      <c r="DI152" s="60"/>
      <c r="DJ152" s="60"/>
      <c r="DK152" s="60"/>
      <c r="DL152" s="60"/>
      <c r="DM152" s="60"/>
      <c r="DN152" s="60"/>
      <c r="DO152" s="60"/>
      <c r="DP152" s="60"/>
      <c r="DQ152" s="60"/>
      <c r="DR152" s="60"/>
      <c r="DS152" s="60"/>
      <c r="DT152" s="60"/>
      <c r="DU152" s="60"/>
      <c r="DV152" s="60"/>
      <c r="DW152" s="60"/>
      <c r="DX152" s="60"/>
      <c r="DY152" s="60"/>
      <c r="DZ152" s="60"/>
      <c r="EA152" s="60"/>
      <c r="EB152" s="60"/>
      <c r="EC152" s="60"/>
      <c r="ED152" s="60"/>
      <c r="EE152" s="60"/>
      <c r="EF152" s="60"/>
      <c r="EG152" s="60"/>
      <c r="EH152" s="60"/>
      <c r="EI152" s="60"/>
      <c r="EJ152" s="60"/>
      <c r="EK152" s="60"/>
      <c r="EL152" s="60"/>
      <c r="EM152" s="60"/>
      <c r="EN152" s="60"/>
      <c r="EO152" s="60"/>
      <c r="EP152" s="60"/>
      <c r="EQ152" s="60"/>
      <c r="ER152" s="60"/>
      <c r="ES152" s="60"/>
      <c r="ET152" s="60"/>
      <c r="EU152" s="60"/>
      <c r="EV152" s="60"/>
      <c r="EW152" s="60"/>
      <c r="EX152" s="60"/>
      <c r="EY152" s="60"/>
      <c r="EZ152" s="60"/>
      <c r="FA152" s="60"/>
      <c r="FB152" s="60"/>
      <c r="FC152" s="60"/>
      <c r="FD152" s="60"/>
      <c r="FE152" s="60"/>
      <c r="FF152" s="60"/>
      <c r="FG152" s="60"/>
      <c r="FH152" s="60"/>
      <c r="FI152" s="60"/>
      <c r="FJ152" s="60"/>
      <c r="FK152" s="60"/>
      <c r="FL152" s="60"/>
      <c r="FM152" s="60"/>
      <c r="FN152" s="60"/>
      <c r="FO152" s="60"/>
      <c r="FP152" s="60"/>
      <c r="FQ152" s="60"/>
      <c r="FR152" s="60"/>
      <c r="FS152" s="60"/>
      <c r="FT152" s="60"/>
      <c r="FU152" s="60"/>
      <c r="FV152" s="60"/>
      <c r="FW152" s="60"/>
      <c r="FX152" s="60"/>
      <c r="FY152" s="60"/>
      <c r="FZ152" s="60"/>
      <c r="GA152" s="60"/>
      <c r="GB152" s="60"/>
      <c r="GC152" s="60"/>
      <c r="GD152" s="60"/>
      <c r="GE152" s="60"/>
      <c r="GF152" s="60"/>
      <c r="GG152" s="60"/>
      <c r="GH152" s="60"/>
      <c r="GI152" s="60"/>
      <c r="GJ152" s="60"/>
      <c r="GK152" s="60"/>
      <c r="GL152" s="60"/>
      <c r="GM152" s="60"/>
      <c r="GN152" s="60"/>
      <c r="GO152" s="60"/>
      <c r="GP152" s="60"/>
      <c r="GQ152" s="60"/>
      <c r="GR152" s="60"/>
      <c r="GS152" s="60"/>
      <c r="GT152" s="60"/>
      <c r="GU152" s="60"/>
      <c r="GV152" s="60"/>
      <c r="GW152" s="60"/>
      <c r="GX152" s="60"/>
      <c r="GY152" s="60"/>
      <c r="GZ152" s="60"/>
      <c r="HA152" s="60"/>
      <c r="HB152" s="60"/>
      <c r="HC152" s="60"/>
      <c r="HD152" s="60"/>
      <c r="HE152" s="60"/>
      <c r="HF152" s="60"/>
      <c r="HG152" s="60"/>
      <c r="HH152" s="60"/>
      <c r="HI152" s="60"/>
      <c r="HJ152" s="60"/>
      <c r="HK152" s="60"/>
      <c r="HL152" s="60"/>
      <c r="HM152" s="60"/>
      <c r="HN152" s="60"/>
      <c r="HO152" s="60"/>
      <c r="HP152" s="60"/>
      <c r="HQ152" s="60"/>
      <c r="HR152" s="60"/>
      <c r="HS152" s="60"/>
      <c r="HT152" s="60"/>
      <c r="HU152" s="60"/>
      <c r="HV152" s="60"/>
      <c r="HW152" s="60"/>
      <c r="HX152" s="60"/>
      <c r="HY152" s="60"/>
      <c r="HZ152" s="60"/>
      <c r="IA152" s="60"/>
      <c r="IB152" s="60"/>
      <c r="IC152" s="60"/>
      <c r="ID152" s="60"/>
      <c r="IE152" s="60"/>
      <c r="IF152" s="60"/>
      <c r="IG152" s="60"/>
      <c r="IH152" s="60"/>
      <c r="II152" s="60"/>
      <c r="IJ152" s="60"/>
      <c r="IK152" s="60"/>
      <c r="IL152" s="60"/>
      <c r="IM152" s="60"/>
      <c r="IN152" s="60"/>
      <c r="IO152" s="60"/>
      <c r="IP152" s="60"/>
      <c r="IQ152" s="60"/>
      <c r="IR152" s="60"/>
      <c r="IS152" s="60"/>
      <c r="IT152" s="60"/>
      <c r="IU152" s="60"/>
      <c r="IV152" s="60"/>
      <c r="IW152" s="60"/>
      <c r="IX152" s="60"/>
      <c r="IY152" s="60"/>
      <c r="IZ152" s="60"/>
      <c r="JA152" s="60"/>
      <c r="JB152" s="60"/>
      <c r="JC152" s="60"/>
      <c r="JD152" s="60"/>
      <c r="JE152" s="60"/>
      <c r="JF152" s="60"/>
      <c r="JG152" s="60"/>
      <c r="JH152" s="60"/>
      <c r="JI152" s="60"/>
      <c r="JJ152" s="60"/>
      <c r="JK152" s="60"/>
      <c r="JL152" s="60"/>
      <c r="JM152" s="60"/>
      <c r="JN152" s="60"/>
      <c r="JO152" s="60"/>
      <c r="JP152" s="60"/>
      <c r="JQ152" s="60"/>
      <c r="JR152" s="60"/>
      <c r="JS152" s="60"/>
      <c r="JT152" s="60"/>
      <c r="JU152" s="60"/>
      <c r="JV152" s="60"/>
      <c r="JW152" s="60"/>
      <c r="JX152" s="60"/>
      <c r="JY152" s="60"/>
      <c r="JZ152" s="60"/>
      <c r="KA152" s="60"/>
      <c r="KB152" s="60"/>
      <c r="KC152" s="60"/>
      <c r="KD152" s="60"/>
      <c r="KE152" s="60"/>
      <c r="KF152" s="60"/>
      <c r="KG152" s="60"/>
      <c r="KH152" s="60"/>
      <c r="KI152" s="60"/>
      <c r="KJ152" s="60"/>
      <c r="KK152" s="60"/>
      <c r="KL152" s="60"/>
      <c r="KM152" s="60"/>
      <c r="KN152" s="60"/>
      <c r="KO152" s="60"/>
      <c r="KP152" s="60"/>
      <c r="KQ152" s="60"/>
      <c r="KR152" s="60"/>
      <c r="KS152" s="60"/>
      <c r="KT152" s="60"/>
      <c r="KU152" s="60"/>
      <c r="KV152" s="60"/>
      <c r="KW152" s="60"/>
      <c r="KX152" s="60"/>
      <c r="KY152" s="60"/>
      <c r="KZ152" s="60"/>
      <c r="LA152" s="60"/>
      <c r="LB152" s="60"/>
      <c r="LC152" s="60"/>
      <c r="LD152" s="60"/>
      <c r="LE152" s="60"/>
      <c r="LF152" s="60"/>
      <c r="LG152" s="60"/>
      <c r="LH152" s="60"/>
    </row>
    <row r="154" spans="1:320" s="146" customFormat="1" ht="61.5" customHeight="1" x14ac:dyDescent="0.25">
      <c r="A154" s="147"/>
      <c r="C154" s="154"/>
      <c r="D154" s="154"/>
      <c r="E154" s="154"/>
      <c r="G154" s="153"/>
      <c r="H154" s="152"/>
      <c r="I154" s="151" t="str">
        <f>IF(AND(F7&lt;5,F7&gt;=3),"Minimum volume for 8 cycles of a Peggy/Sally/NanoPro run is 5µL",IF(F7&lt;5,"Minimum sample volume for a Jess run is 3µL"," "))</f>
        <v xml:space="preserve"> </v>
      </c>
      <c r="J154" s="150"/>
      <c r="K154" s="150"/>
      <c r="L154" s="149"/>
      <c r="M154" s="149"/>
      <c r="N154" s="149"/>
      <c r="O154" s="149"/>
      <c r="P154" s="149"/>
      <c r="T154" s="17"/>
      <c r="U154" s="17"/>
      <c r="V154" s="17"/>
      <c r="W154" s="17"/>
      <c r="X154" s="17"/>
      <c r="Y154" s="17"/>
      <c r="Z154" s="17"/>
      <c r="AA154" s="17"/>
      <c r="AB154" s="17"/>
      <c r="AC154" s="60"/>
      <c r="AD154" s="60"/>
      <c r="AE154" s="60"/>
      <c r="AF154" s="60"/>
      <c r="AG154" s="60"/>
      <c r="AH154" s="60"/>
      <c r="AI154" s="60"/>
      <c r="AJ154" s="60"/>
      <c r="AK154" s="60"/>
      <c r="AL154" s="60"/>
      <c r="AM154" s="60"/>
      <c r="AN154" s="60"/>
      <c r="AO154" s="60"/>
      <c r="AP154" s="60"/>
      <c r="AQ154" s="60"/>
      <c r="AR154" s="60"/>
      <c r="AS154" s="60"/>
      <c r="AT154" s="60"/>
      <c r="AU154" s="60"/>
      <c r="AV154" s="60"/>
      <c r="AW154" s="60"/>
      <c r="AX154" s="60"/>
      <c r="AY154" s="60"/>
      <c r="AZ154" s="60"/>
      <c r="BA154" s="60"/>
      <c r="BB154" s="60"/>
      <c r="BC154" s="60"/>
      <c r="BD154" s="60"/>
      <c r="BE154" s="60"/>
      <c r="BF154" s="60"/>
      <c r="BG154" s="60"/>
      <c r="BH154" s="60"/>
      <c r="BI154" s="60"/>
      <c r="BJ154" s="60"/>
      <c r="BK154" s="60"/>
      <c r="BL154" s="60"/>
      <c r="BM154" s="60"/>
      <c r="BN154" s="60"/>
      <c r="BO154" s="60"/>
      <c r="BP154" s="60"/>
      <c r="BQ154" s="60"/>
      <c r="BR154" s="60"/>
      <c r="BS154" s="60"/>
      <c r="BT154" s="60"/>
      <c r="BU154" s="60"/>
      <c r="BV154" s="60"/>
      <c r="BW154" s="60"/>
      <c r="BX154" s="60"/>
      <c r="BY154" s="60"/>
      <c r="BZ154" s="60"/>
      <c r="CA154" s="60"/>
      <c r="CB154" s="60"/>
      <c r="CC154" s="60"/>
      <c r="CD154" s="60"/>
      <c r="CE154" s="60"/>
      <c r="CF154" s="60"/>
      <c r="CG154" s="60"/>
      <c r="CH154" s="60"/>
      <c r="CI154" s="60"/>
      <c r="CJ154" s="60"/>
      <c r="CK154" s="60"/>
      <c r="CL154" s="60"/>
      <c r="CM154" s="60"/>
      <c r="CN154" s="60"/>
      <c r="CO154" s="60"/>
      <c r="CP154" s="60"/>
      <c r="CQ154" s="60"/>
      <c r="CR154" s="60"/>
      <c r="CS154" s="60"/>
      <c r="CT154" s="60"/>
      <c r="CU154" s="60"/>
      <c r="CV154" s="60"/>
      <c r="CW154" s="60"/>
      <c r="CX154" s="60"/>
      <c r="CY154" s="60"/>
      <c r="CZ154" s="60"/>
      <c r="DA154" s="60"/>
      <c r="DB154" s="60"/>
      <c r="DC154" s="60"/>
      <c r="DD154" s="60"/>
      <c r="DE154" s="60"/>
      <c r="DF154" s="60"/>
      <c r="DG154" s="60"/>
      <c r="DH154" s="60"/>
      <c r="DI154" s="60"/>
      <c r="DJ154" s="60"/>
      <c r="DK154" s="60"/>
      <c r="DL154" s="60"/>
      <c r="DM154" s="60"/>
      <c r="DN154" s="60"/>
      <c r="DO154" s="60"/>
      <c r="DP154" s="60"/>
      <c r="DQ154" s="60"/>
      <c r="DR154" s="60"/>
      <c r="DS154" s="60"/>
      <c r="DT154" s="60"/>
      <c r="DU154" s="60"/>
      <c r="DV154" s="60"/>
      <c r="DW154" s="60"/>
      <c r="DX154" s="60"/>
      <c r="DY154" s="60"/>
      <c r="DZ154" s="60"/>
      <c r="EA154" s="60"/>
      <c r="EB154" s="60"/>
      <c r="EC154" s="60"/>
      <c r="ED154" s="60"/>
      <c r="EE154" s="60"/>
      <c r="EF154" s="60"/>
      <c r="EG154" s="60"/>
      <c r="EH154" s="60"/>
      <c r="EI154" s="60"/>
      <c r="EJ154" s="60"/>
      <c r="EK154" s="60"/>
      <c r="EL154" s="60"/>
      <c r="EM154" s="60"/>
      <c r="EN154" s="60"/>
      <c r="EO154" s="60"/>
      <c r="EP154" s="60"/>
      <c r="EQ154" s="60"/>
      <c r="ER154" s="60"/>
      <c r="ES154" s="60"/>
      <c r="ET154" s="60"/>
      <c r="EU154" s="60"/>
      <c r="EV154" s="60"/>
      <c r="EW154" s="60"/>
      <c r="EX154" s="60"/>
      <c r="EY154" s="60"/>
      <c r="EZ154" s="60"/>
      <c r="FA154" s="60"/>
      <c r="FB154" s="60"/>
      <c r="FC154" s="60"/>
      <c r="FD154" s="60"/>
      <c r="FE154" s="60"/>
      <c r="FF154" s="60"/>
      <c r="FG154" s="60"/>
      <c r="FH154" s="60"/>
      <c r="FI154" s="60"/>
      <c r="FJ154" s="60"/>
      <c r="FK154" s="60"/>
      <c r="FL154" s="60"/>
      <c r="FM154" s="60"/>
      <c r="FN154" s="60"/>
      <c r="FO154" s="60"/>
      <c r="FP154" s="60"/>
      <c r="FQ154" s="60"/>
      <c r="FR154" s="60"/>
      <c r="FS154" s="60"/>
      <c r="FT154" s="60"/>
      <c r="FU154" s="60"/>
      <c r="FV154" s="60"/>
      <c r="FW154" s="60"/>
      <c r="FX154" s="60"/>
      <c r="FY154" s="60"/>
      <c r="FZ154" s="60"/>
      <c r="GA154" s="60"/>
      <c r="GB154" s="60"/>
      <c r="GC154" s="60"/>
      <c r="GD154" s="60"/>
      <c r="GE154" s="60"/>
      <c r="GF154" s="60"/>
      <c r="GG154" s="60"/>
      <c r="GH154" s="60"/>
      <c r="GI154" s="60"/>
      <c r="GJ154" s="60"/>
      <c r="GK154" s="60"/>
      <c r="GL154" s="60"/>
      <c r="GM154" s="60"/>
      <c r="GN154" s="60"/>
      <c r="GO154" s="60"/>
      <c r="GP154" s="60"/>
      <c r="GQ154" s="60"/>
      <c r="GR154" s="60"/>
      <c r="GS154" s="60"/>
      <c r="GT154" s="60"/>
      <c r="GU154" s="60"/>
      <c r="GV154" s="60"/>
      <c r="GW154" s="60"/>
      <c r="GX154" s="60"/>
      <c r="GY154" s="60"/>
      <c r="GZ154" s="60"/>
      <c r="HA154" s="60"/>
      <c r="HB154" s="60"/>
      <c r="HC154" s="60"/>
      <c r="HD154" s="60"/>
      <c r="HE154" s="60"/>
      <c r="HF154" s="60"/>
      <c r="HG154" s="60"/>
      <c r="HH154" s="60"/>
      <c r="HI154" s="60"/>
      <c r="HJ154" s="60"/>
      <c r="HK154" s="60"/>
      <c r="HL154" s="60"/>
      <c r="HM154" s="60"/>
      <c r="HN154" s="60"/>
      <c r="HO154" s="60"/>
      <c r="HP154" s="60"/>
      <c r="HQ154" s="60"/>
      <c r="HR154" s="60"/>
      <c r="HS154" s="60"/>
      <c r="HT154" s="60"/>
      <c r="HU154" s="60"/>
      <c r="HV154" s="60"/>
      <c r="HW154" s="60"/>
      <c r="HX154" s="60"/>
      <c r="HY154" s="60"/>
      <c r="HZ154" s="60"/>
      <c r="IA154" s="60"/>
      <c r="IB154" s="60"/>
      <c r="IC154" s="60"/>
      <c r="ID154" s="60"/>
      <c r="IE154" s="60"/>
      <c r="IF154" s="60"/>
      <c r="IG154" s="60"/>
      <c r="IH154" s="60"/>
      <c r="II154" s="60"/>
      <c r="IJ154" s="60"/>
      <c r="IK154" s="60"/>
      <c r="IL154" s="60"/>
      <c r="IM154" s="60"/>
      <c r="IN154" s="60"/>
      <c r="IO154" s="60"/>
      <c r="IP154" s="60"/>
      <c r="IQ154" s="60"/>
      <c r="IR154" s="60"/>
      <c r="IS154" s="60"/>
      <c r="IT154" s="60"/>
      <c r="IU154" s="60"/>
      <c r="IV154" s="60"/>
      <c r="IW154" s="60"/>
      <c r="IX154" s="60"/>
      <c r="IY154" s="60"/>
      <c r="IZ154" s="60"/>
      <c r="JA154" s="60"/>
      <c r="JB154" s="60"/>
      <c r="JC154" s="60"/>
      <c r="JD154" s="60"/>
      <c r="JE154" s="60"/>
      <c r="JF154" s="60"/>
      <c r="JG154" s="60"/>
      <c r="JH154" s="60"/>
      <c r="JI154" s="60"/>
      <c r="JJ154" s="60"/>
      <c r="JK154" s="60"/>
      <c r="JL154" s="60"/>
      <c r="JM154" s="60"/>
      <c r="JN154" s="60"/>
      <c r="JO154" s="60"/>
      <c r="JP154" s="60"/>
      <c r="JQ154" s="60"/>
      <c r="JR154" s="60"/>
      <c r="JS154" s="60"/>
      <c r="JT154" s="60"/>
      <c r="JU154" s="60"/>
      <c r="JV154" s="60"/>
      <c r="JW154" s="60"/>
      <c r="JX154" s="60"/>
      <c r="JY154" s="60"/>
      <c r="JZ154" s="60"/>
      <c r="KA154" s="60"/>
      <c r="KB154" s="60"/>
      <c r="KC154" s="60"/>
      <c r="KD154" s="60"/>
      <c r="KE154" s="60"/>
      <c r="KF154" s="60"/>
      <c r="KG154" s="60"/>
      <c r="KH154" s="60"/>
      <c r="KI154" s="60"/>
      <c r="KJ154" s="60"/>
      <c r="KK154" s="60"/>
      <c r="KL154" s="60"/>
      <c r="KM154" s="60"/>
      <c r="KN154" s="60"/>
      <c r="KO154" s="60"/>
      <c r="KP154" s="60"/>
      <c r="KQ154" s="60"/>
      <c r="KR154" s="60"/>
      <c r="KS154" s="60"/>
      <c r="KT154" s="60"/>
      <c r="KU154" s="60"/>
      <c r="KV154" s="60"/>
      <c r="KW154" s="60"/>
      <c r="KX154" s="60"/>
      <c r="KY154" s="60"/>
      <c r="KZ154" s="60"/>
      <c r="LA154" s="60"/>
      <c r="LB154" s="60"/>
      <c r="LC154" s="60"/>
      <c r="LD154" s="60"/>
      <c r="LE154" s="60"/>
      <c r="LF154" s="60"/>
      <c r="LG154" s="60"/>
      <c r="LH154" s="60"/>
    </row>
    <row r="155" spans="1:320" s="146" customFormat="1" x14ac:dyDescent="0.25">
      <c r="A155" s="147"/>
      <c r="B155" s="1"/>
      <c r="C155" s="1"/>
      <c r="D155" s="1"/>
      <c r="E155" s="1"/>
      <c r="F155" s="1"/>
      <c r="G155" s="1"/>
      <c r="H155" s="1"/>
      <c r="T155" s="17"/>
      <c r="U155" s="17"/>
      <c r="V155" s="17"/>
      <c r="W155" s="17"/>
      <c r="X155" s="17"/>
      <c r="Y155" s="17"/>
      <c r="Z155" s="17"/>
      <c r="AA155" s="17"/>
      <c r="AB155" s="17"/>
      <c r="AC155" s="60"/>
      <c r="AD155" s="60"/>
      <c r="AE155" s="60"/>
      <c r="AF155" s="60"/>
      <c r="AG155" s="60"/>
      <c r="AH155" s="60"/>
      <c r="AI155" s="60"/>
      <c r="AJ155" s="60"/>
      <c r="AK155" s="60"/>
      <c r="AL155" s="60"/>
      <c r="AM155" s="60"/>
      <c r="AN155" s="60"/>
      <c r="AO155" s="60"/>
      <c r="AP155" s="60"/>
      <c r="AQ155" s="60"/>
      <c r="AR155" s="60"/>
      <c r="AS155" s="60"/>
      <c r="AT155" s="60"/>
      <c r="AU155" s="60"/>
      <c r="AV155" s="60"/>
      <c r="AW155" s="60"/>
      <c r="AX155" s="60"/>
      <c r="AY155" s="60"/>
      <c r="AZ155" s="60"/>
      <c r="BA155" s="60"/>
      <c r="BB155" s="60"/>
      <c r="BC155" s="60"/>
      <c r="BD155" s="60"/>
      <c r="BE155" s="60"/>
      <c r="BF155" s="60"/>
      <c r="BG155" s="60"/>
      <c r="BH155" s="60"/>
      <c r="BI155" s="60"/>
      <c r="BJ155" s="60"/>
      <c r="BK155" s="60"/>
      <c r="BL155" s="60"/>
      <c r="BM155" s="60"/>
      <c r="BN155" s="60"/>
      <c r="BO155" s="60"/>
      <c r="BP155" s="60"/>
      <c r="BQ155" s="60"/>
      <c r="BR155" s="60"/>
      <c r="BS155" s="60"/>
      <c r="BT155" s="60"/>
      <c r="BU155" s="60"/>
      <c r="BV155" s="60"/>
      <c r="BW155" s="60"/>
      <c r="BX155" s="60"/>
      <c r="BY155" s="60"/>
      <c r="BZ155" s="60"/>
      <c r="CA155" s="60"/>
      <c r="CB155" s="60"/>
      <c r="CC155" s="60"/>
      <c r="CD155" s="60"/>
      <c r="CE155" s="60"/>
      <c r="CF155" s="60"/>
      <c r="CG155" s="60"/>
      <c r="CH155" s="60"/>
      <c r="CI155" s="60"/>
      <c r="CJ155" s="60"/>
      <c r="CK155" s="60"/>
      <c r="CL155" s="60"/>
      <c r="CM155" s="60"/>
      <c r="CN155" s="60"/>
      <c r="CO155" s="60"/>
      <c r="CP155" s="60"/>
      <c r="CQ155" s="60"/>
      <c r="CR155" s="60"/>
      <c r="CS155" s="60"/>
      <c r="CT155" s="60"/>
      <c r="CU155" s="60"/>
      <c r="CV155" s="60"/>
      <c r="CW155" s="60"/>
      <c r="CX155" s="60"/>
      <c r="CY155" s="60"/>
      <c r="CZ155" s="60"/>
      <c r="DA155" s="60"/>
      <c r="DB155" s="60"/>
      <c r="DC155" s="60"/>
      <c r="DD155" s="60"/>
      <c r="DE155" s="60"/>
      <c r="DF155" s="60"/>
      <c r="DG155" s="60"/>
      <c r="DH155" s="60"/>
      <c r="DI155" s="60"/>
      <c r="DJ155" s="60"/>
      <c r="DK155" s="60"/>
      <c r="DL155" s="60"/>
      <c r="DM155" s="60"/>
      <c r="DN155" s="60"/>
      <c r="DO155" s="60"/>
      <c r="DP155" s="60"/>
      <c r="DQ155" s="60"/>
      <c r="DR155" s="60"/>
      <c r="DS155" s="60"/>
      <c r="DT155" s="60"/>
      <c r="DU155" s="60"/>
      <c r="DV155" s="60"/>
      <c r="DW155" s="60"/>
      <c r="DX155" s="60"/>
      <c r="DY155" s="60"/>
      <c r="DZ155" s="60"/>
      <c r="EA155" s="60"/>
      <c r="EB155" s="60"/>
      <c r="EC155" s="60"/>
      <c r="ED155" s="60"/>
      <c r="EE155" s="60"/>
      <c r="EF155" s="60"/>
      <c r="EG155" s="60"/>
      <c r="EH155" s="60"/>
      <c r="EI155" s="60"/>
      <c r="EJ155" s="60"/>
      <c r="EK155" s="60"/>
      <c r="EL155" s="60"/>
      <c r="EM155" s="60"/>
      <c r="EN155" s="60"/>
      <c r="EO155" s="60"/>
      <c r="EP155" s="60"/>
      <c r="EQ155" s="60"/>
      <c r="ER155" s="60"/>
      <c r="ES155" s="60"/>
      <c r="ET155" s="60"/>
      <c r="EU155" s="60"/>
      <c r="EV155" s="60"/>
      <c r="EW155" s="60"/>
      <c r="EX155" s="60"/>
      <c r="EY155" s="60"/>
      <c r="EZ155" s="60"/>
      <c r="FA155" s="60"/>
      <c r="FB155" s="60"/>
      <c r="FC155" s="60"/>
      <c r="FD155" s="60"/>
      <c r="FE155" s="60"/>
      <c r="FF155" s="60"/>
      <c r="FG155" s="60"/>
      <c r="FH155" s="60"/>
      <c r="FI155" s="60"/>
      <c r="FJ155" s="60"/>
      <c r="FK155" s="60"/>
      <c r="FL155" s="60"/>
      <c r="FM155" s="60"/>
      <c r="FN155" s="60"/>
      <c r="FO155" s="60"/>
      <c r="FP155" s="60"/>
      <c r="FQ155" s="60"/>
      <c r="FR155" s="60"/>
      <c r="FS155" s="60"/>
      <c r="FT155" s="60"/>
      <c r="FU155" s="60"/>
      <c r="FV155" s="60"/>
      <c r="FW155" s="60"/>
      <c r="FX155" s="60"/>
      <c r="FY155" s="60"/>
      <c r="FZ155" s="60"/>
      <c r="GA155" s="60"/>
      <c r="GB155" s="60"/>
      <c r="GC155" s="60"/>
      <c r="GD155" s="60"/>
      <c r="GE155" s="60"/>
      <c r="GF155" s="60"/>
      <c r="GG155" s="60"/>
      <c r="GH155" s="60"/>
      <c r="GI155" s="60"/>
      <c r="GJ155" s="60"/>
      <c r="GK155" s="60"/>
      <c r="GL155" s="60"/>
      <c r="GM155" s="60"/>
      <c r="GN155" s="60"/>
      <c r="GO155" s="60"/>
      <c r="GP155" s="60"/>
      <c r="GQ155" s="60"/>
      <c r="GR155" s="60"/>
      <c r="GS155" s="60"/>
      <c r="GT155" s="60"/>
      <c r="GU155" s="60"/>
      <c r="GV155" s="60"/>
      <c r="GW155" s="60"/>
      <c r="GX155" s="60"/>
      <c r="GY155" s="60"/>
      <c r="GZ155" s="60"/>
      <c r="HA155" s="60"/>
      <c r="HB155" s="60"/>
      <c r="HC155" s="60"/>
      <c r="HD155" s="60"/>
      <c r="HE155" s="60"/>
      <c r="HF155" s="60"/>
      <c r="HG155" s="60"/>
      <c r="HH155" s="60"/>
      <c r="HI155" s="60"/>
      <c r="HJ155" s="60"/>
      <c r="HK155" s="60"/>
      <c r="HL155" s="60"/>
      <c r="HM155" s="60"/>
      <c r="HN155" s="60"/>
      <c r="HO155" s="60"/>
      <c r="HP155" s="60"/>
      <c r="HQ155" s="60"/>
      <c r="HR155" s="60"/>
      <c r="HS155" s="60"/>
      <c r="HT155" s="60"/>
      <c r="HU155" s="60"/>
      <c r="HV155" s="60"/>
      <c r="HW155" s="60"/>
      <c r="HX155" s="60"/>
      <c r="HY155" s="60"/>
      <c r="HZ155" s="60"/>
      <c r="IA155" s="60"/>
      <c r="IB155" s="60"/>
      <c r="IC155" s="60"/>
      <c r="ID155" s="60"/>
      <c r="IE155" s="60"/>
      <c r="IF155" s="60"/>
      <c r="IG155" s="60"/>
      <c r="IH155" s="60"/>
      <c r="II155" s="60"/>
      <c r="IJ155" s="60"/>
      <c r="IK155" s="60"/>
      <c r="IL155" s="60"/>
      <c r="IM155" s="60"/>
      <c r="IN155" s="60"/>
      <c r="IO155" s="60"/>
      <c r="IP155" s="60"/>
      <c r="IQ155" s="60"/>
      <c r="IR155" s="60"/>
      <c r="IS155" s="60"/>
      <c r="IT155" s="60"/>
      <c r="IU155" s="60"/>
      <c r="IV155" s="60"/>
      <c r="IW155" s="60"/>
      <c r="IX155" s="60"/>
      <c r="IY155" s="60"/>
      <c r="IZ155" s="60"/>
      <c r="JA155" s="60"/>
      <c r="JB155" s="60"/>
      <c r="JC155" s="60"/>
      <c r="JD155" s="60"/>
      <c r="JE155" s="60"/>
      <c r="JF155" s="60"/>
      <c r="JG155" s="60"/>
      <c r="JH155" s="60"/>
      <c r="JI155" s="60"/>
      <c r="JJ155" s="60"/>
      <c r="JK155" s="60"/>
      <c r="JL155" s="60"/>
      <c r="JM155" s="60"/>
      <c r="JN155" s="60"/>
      <c r="JO155" s="60"/>
      <c r="JP155" s="60"/>
      <c r="JQ155" s="60"/>
      <c r="JR155" s="60"/>
      <c r="JS155" s="60"/>
      <c r="JT155" s="60"/>
      <c r="JU155" s="60"/>
      <c r="JV155" s="60"/>
      <c r="JW155" s="60"/>
      <c r="JX155" s="60"/>
      <c r="JY155" s="60"/>
      <c r="JZ155" s="60"/>
      <c r="KA155" s="60"/>
      <c r="KB155" s="60"/>
      <c r="KC155" s="60"/>
      <c r="KD155" s="60"/>
      <c r="KE155" s="60"/>
      <c r="KF155" s="60"/>
      <c r="KG155" s="60"/>
      <c r="KH155" s="60"/>
      <c r="KI155" s="60"/>
      <c r="KJ155" s="60"/>
      <c r="KK155" s="60"/>
      <c r="KL155" s="60"/>
      <c r="KM155" s="60"/>
      <c r="KN155" s="60"/>
      <c r="KO155" s="60"/>
      <c r="KP155" s="60"/>
      <c r="KQ155" s="60"/>
      <c r="KR155" s="60"/>
      <c r="KS155" s="60"/>
      <c r="KT155" s="60"/>
      <c r="KU155" s="60"/>
      <c r="KV155" s="60"/>
      <c r="KW155" s="60"/>
      <c r="KX155" s="60"/>
      <c r="KY155" s="60"/>
      <c r="KZ155" s="60"/>
      <c r="LA155" s="60"/>
      <c r="LB155" s="60"/>
      <c r="LC155" s="60"/>
      <c r="LD155" s="60"/>
      <c r="LE155" s="60"/>
      <c r="LF155" s="60"/>
      <c r="LG155" s="60"/>
      <c r="LH155" s="60"/>
    </row>
    <row r="187" spans="1:320" s="146" customFormat="1" ht="23.25" x14ac:dyDescent="0.25">
      <c r="A187" s="147"/>
      <c r="B187" s="346" t="s">
        <v>100</v>
      </c>
      <c r="C187" s="346"/>
      <c r="D187" s="346"/>
      <c r="E187" s="346"/>
      <c r="F187" s="347" t="e">
        <f>IF(#REF!="No Master Mix",1,1-(1/#REF!))</f>
        <v>#REF!</v>
      </c>
      <c r="G187" s="347"/>
      <c r="H187" s="347"/>
      <c r="T187" s="17"/>
      <c r="U187" s="17"/>
      <c r="V187" s="17"/>
      <c r="W187" s="17"/>
      <c r="X187" s="17"/>
      <c r="Y187" s="17"/>
      <c r="Z187" s="17"/>
      <c r="AA187" s="17"/>
      <c r="AB187" s="17"/>
      <c r="AC187" s="60"/>
      <c r="AD187" s="60"/>
      <c r="AE187" s="60"/>
      <c r="AF187" s="60"/>
      <c r="AG187" s="60"/>
      <c r="AH187" s="60"/>
      <c r="AI187" s="60"/>
      <c r="AJ187" s="60"/>
      <c r="AK187" s="60"/>
      <c r="AL187" s="60"/>
      <c r="AM187" s="60"/>
      <c r="AN187" s="60"/>
      <c r="AO187" s="60"/>
      <c r="AP187" s="60"/>
      <c r="AQ187" s="60"/>
      <c r="AR187" s="60"/>
      <c r="AS187" s="60"/>
      <c r="AT187" s="60"/>
      <c r="AU187" s="60"/>
      <c r="AV187" s="60"/>
      <c r="AW187" s="60"/>
      <c r="AX187" s="60"/>
      <c r="AY187" s="60"/>
      <c r="AZ187" s="60"/>
      <c r="BA187" s="60"/>
      <c r="BB187" s="60"/>
      <c r="BC187" s="60"/>
      <c r="BD187" s="60"/>
      <c r="BE187" s="60"/>
      <c r="BF187" s="60"/>
      <c r="BG187" s="60"/>
      <c r="BH187" s="60"/>
      <c r="BI187" s="60"/>
      <c r="BJ187" s="60"/>
      <c r="BK187" s="60"/>
      <c r="BL187" s="60"/>
      <c r="BM187" s="60"/>
      <c r="BN187" s="60"/>
      <c r="BO187" s="60"/>
      <c r="BP187" s="60"/>
      <c r="BQ187" s="60"/>
      <c r="BR187" s="60"/>
      <c r="BS187" s="60"/>
      <c r="BT187" s="60"/>
      <c r="BU187" s="60"/>
      <c r="BV187" s="60"/>
      <c r="BW187" s="60"/>
      <c r="BX187" s="60"/>
      <c r="BY187" s="60"/>
      <c r="BZ187" s="60"/>
      <c r="CA187" s="60"/>
      <c r="CB187" s="60"/>
      <c r="CC187" s="60"/>
      <c r="CD187" s="60"/>
      <c r="CE187" s="60"/>
      <c r="CF187" s="60"/>
      <c r="CG187" s="60"/>
      <c r="CH187" s="60"/>
      <c r="CI187" s="60"/>
      <c r="CJ187" s="60"/>
      <c r="CK187" s="60"/>
      <c r="CL187" s="60"/>
      <c r="CM187" s="60"/>
      <c r="CN187" s="60"/>
      <c r="CO187" s="60"/>
      <c r="CP187" s="60"/>
      <c r="CQ187" s="60"/>
      <c r="CR187" s="60"/>
      <c r="CS187" s="60"/>
      <c r="CT187" s="60"/>
      <c r="CU187" s="60"/>
      <c r="CV187" s="60"/>
      <c r="CW187" s="60"/>
      <c r="CX187" s="60"/>
      <c r="CY187" s="60"/>
      <c r="CZ187" s="60"/>
      <c r="DA187" s="60"/>
      <c r="DB187" s="60"/>
      <c r="DC187" s="60"/>
      <c r="DD187" s="60"/>
      <c r="DE187" s="60"/>
      <c r="DF187" s="60"/>
      <c r="DG187" s="60"/>
      <c r="DH187" s="60"/>
      <c r="DI187" s="60"/>
      <c r="DJ187" s="60"/>
      <c r="DK187" s="60"/>
      <c r="DL187" s="60"/>
      <c r="DM187" s="60"/>
      <c r="DN187" s="60"/>
      <c r="DO187" s="60"/>
      <c r="DP187" s="60"/>
      <c r="DQ187" s="60"/>
      <c r="DR187" s="60"/>
      <c r="DS187" s="60"/>
      <c r="DT187" s="60"/>
      <c r="DU187" s="60"/>
      <c r="DV187" s="60"/>
      <c r="DW187" s="60"/>
      <c r="DX187" s="60"/>
      <c r="DY187" s="60"/>
      <c r="DZ187" s="60"/>
      <c r="EA187" s="60"/>
      <c r="EB187" s="60"/>
      <c r="EC187" s="60"/>
      <c r="ED187" s="60"/>
      <c r="EE187" s="60"/>
      <c r="EF187" s="60"/>
      <c r="EG187" s="60"/>
      <c r="EH187" s="60"/>
      <c r="EI187" s="60"/>
      <c r="EJ187" s="60"/>
      <c r="EK187" s="60"/>
      <c r="EL187" s="60"/>
      <c r="EM187" s="60"/>
      <c r="EN187" s="60"/>
      <c r="EO187" s="60"/>
      <c r="EP187" s="60"/>
      <c r="EQ187" s="60"/>
      <c r="ER187" s="60"/>
      <c r="ES187" s="60"/>
      <c r="ET187" s="60"/>
      <c r="EU187" s="60"/>
      <c r="EV187" s="60"/>
      <c r="EW187" s="60"/>
      <c r="EX187" s="60"/>
      <c r="EY187" s="60"/>
      <c r="EZ187" s="60"/>
      <c r="FA187" s="60"/>
      <c r="FB187" s="60"/>
      <c r="FC187" s="60"/>
      <c r="FD187" s="60"/>
      <c r="FE187" s="60"/>
      <c r="FF187" s="60"/>
      <c r="FG187" s="60"/>
      <c r="FH187" s="60"/>
      <c r="FI187" s="60"/>
      <c r="FJ187" s="60"/>
      <c r="FK187" s="60"/>
      <c r="FL187" s="60"/>
      <c r="FM187" s="60"/>
      <c r="FN187" s="60"/>
      <c r="FO187" s="60"/>
      <c r="FP187" s="60"/>
      <c r="FQ187" s="60"/>
      <c r="FR187" s="60"/>
      <c r="FS187" s="60"/>
      <c r="FT187" s="60"/>
      <c r="FU187" s="60"/>
      <c r="FV187" s="60"/>
      <c r="FW187" s="60"/>
      <c r="FX187" s="60"/>
      <c r="FY187" s="60"/>
      <c r="FZ187" s="60"/>
      <c r="GA187" s="60"/>
      <c r="GB187" s="60"/>
      <c r="GC187" s="60"/>
      <c r="GD187" s="60"/>
      <c r="GE187" s="60"/>
      <c r="GF187" s="60"/>
      <c r="GG187" s="60"/>
      <c r="GH187" s="60"/>
      <c r="GI187" s="60"/>
      <c r="GJ187" s="60"/>
      <c r="GK187" s="60"/>
      <c r="GL187" s="60"/>
      <c r="GM187" s="60"/>
      <c r="GN187" s="60"/>
      <c r="GO187" s="60"/>
      <c r="GP187" s="60"/>
      <c r="GQ187" s="60"/>
      <c r="GR187" s="60"/>
      <c r="GS187" s="60"/>
      <c r="GT187" s="60"/>
      <c r="GU187" s="60"/>
      <c r="GV187" s="60"/>
      <c r="GW187" s="60"/>
      <c r="GX187" s="60"/>
      <c r="GY187" s="60"/>
      <c r="GZ187" s="60"/>
      <c r="HA187" s="60"/>
      <c r="HB187" s="60"/>
      <c r="HC187" s="60"/>
      <c r="HD187" s="60"/>
      <c r="HE187" s="60"/>
      <c r="HF187" s="60"/>
      <c r="HG187" s="60"/>
      <c r="HH187" s="60"/>
      <c r="HI187" s="60"/>
      <c r="HJ187" s="60"/>
      <c r="HK187" s="60"/>
      <c r="HL187" s="60"/>
      <c r="HM187" s="60"/>
      <c r="HN187" s="60"/>
      <c r="HO187" s="60"/>
      <c r="HP187" s="60"/>
      <c r="HQ187" s="60"/>
      <c r="HR187" s="60"/>
      <c r="HS187" s="60"/>
      <c r="HT187" s="60"/>
      <c r="HU187" s="60"/>
      <c r="HV187" s="60"/>
      <c r="HW187" s="60"/>
      <c r="HX187" s="60"/>
      <c r="HY187" s="60"/>
      <c r="HZ187" s="60"/>
      <c r="IA187" s="60"/>
      <c r="IB187" s="60"/>
      <c r="IC187" s="60"/>
      <c r="ID187" s="60"/>
      <c r="IE187" s="60"/>
      <c r="IF187" s="60"/>
      <c r="IG187" s="60"/>
      <c r="IH187" s="60"/>
      <c r="II187" s="60"/>
      <c r="IJ187" s="60"/>
      <c r="IK187" s="60"/>
      <c r="IL187" s="60"/>
      <c r="IM187" s="60"/>
      <c r="IN187" s="60"/>
      <c r="IO187" s="60"/>
      <c r="IP187" s="60"/>
      <c r="IQ187" s="60"/>
      <c r="IR187" s="60"/>
      <c r="IS187" s="60"/>
      <c r="IT187" s="60"/>
      <c r="IU187" s="60"/>
      <c r="IV187" s="60"/>
      <c r="IW187" s="60"/>
      <c r="IX187" s="60"/>
      <c r="IY187" s="60"/>
      <c r="IZ187" s="60"/>
      <c r="JA187" s="60"/>
      <c r="JB187" s="60"/>
      <c r="JC187" s="60"/>
      <c r="JD187" s="60"/>
      <c r="JE187" s="60"/>
      <c r="JF187" s="60"/>
      <c r="JG187" s="60"/>
      <c r="JH187" s="60"/>
      <c r="JI187" s="60"/>
      <c r="JJ187" s="60"/>
      <c r="JK187" s="60"/>
      <c r="JL187" s="60"/>
      <c r="JM187" s="60"/>
      <c r="JN187" s="60"/>
      <c r="JO187" s="60"/>
      <c r="JP187" s="60"/>
      <c r="JQ187" s="60"/>
      <c r="JR187" s="60"/>
      <c r="JS187" s="60"/>
      <c r="JT187" s="60"/>
      <c r="JU187" s="60"/>
      <c r="JV187" s="60"/>
      <c r="JW187" s="60"/>
      <c r="JX187" s="60"/>
      <c r="JY187" s="60"/>
      <c r="JZ187" s="60"/>
      <c r="KA187" s="60"/>
      <c r="KB187" s="60"/>
      <c r="KC187" s="60"/>
      <c r="KD187" s="60"/>
      <c r="KE187" s="60"/>
      <c r="KF187" s="60"/>
      <c r="KG187" s="60"/>
      <c r="KH187" s="60"/>
      <c r="KI187" s="60"/>
      <c r="KJ187" s="60"/>
      <c r="KK187" s="60"/>
      <c r="KL187" s="60"/>
      <c r="KM187" s="60"/>
      <c r="KN187" s="60"/>
      <c r="KO187" s="60"/>
      <c r="KP187" s="60"/>
      <c r="KQ187" s="60"/>
      <c r="KR187" s="60"/>
      <c r="KS187" s="60"/>
      <c r="KT187" s="60"/>
      <c r="KU187" s="60"/>
      <c r="KV187" s="60"/>
      <c r="KW187" s="60"/>
      <c r="KX187" s="60"/>
      <c r="KY187" s="60"/>
      <c r="KZ187" s="60"/>
      <c r="LA187" s="60"/>
      <c r="LB187" s="60"/>
      <c r="LC187" s="60"/>
      <c r="LD187" s="60"/>
      <c r="LE187" s="60"/>
      <c r="LF187" s="60"/>
      <c r="LG187" s="60"/>
      <c r="LH187" s="60"/>
    </row>
    <row r="188" spans="1:320" s="146" customFormat="1" ht="23.25" x14ac:dyDescent="0.25">
      <c r="A188" s="147"/>
      <c r="B188" s="346" t="s">
        <v>99</v>
      </c>
      <c r="C188" s="346"/>
      <c r="D188" s="346"/>
      <c r="E188" s="346"/>
      <c r="F188" s="347" t="e">
        <f>10/F187</f>
        <v>#REF!</v>
      </c>
      <c r="G188" s="347"/>
      <c r="H188" s="347"/>
      <c r="T188" s="17"/>
      <c r="U188" s="17"/>
      <c r="V188" s="17"/>
      <c r="W188" s="17"/>
      <c r="X188" s="17"/>
      <c r="Y188" s="17"/>
      <c r="Z188" s="17"/>
      <c r="AA188" s="17"/>
      <c r="AB188" s="17"/>
      <c r="AC188" s="60"/>
      <c r="AD188" s="60"/>
      <c r="AE188" s="60"/>
      <c r="AF188" s="60"/>
      <c r="AG188" s="60"/>
      <c r="AH188" s="60"/>
      <c r="AI188" s="60"/>
      <c r="AJ188" s="60"/>
      <c r="AK188" s="60"/>
      <c r="AL188" s="60"/>
      <c r="AM188" s="60"/>
      <c r="AN188" s="60"/>
      <c r="AO188" s="60"/>
      <c r="AP188" s="60"/>
      <c r="AQ188" s="60"/>
      <c r="AR188" s="60"/>
      <c r="AS188" s="60"/>
      <c r="AT188" s="60"/>
      <c r="AU188" s="60"/>
      <c r="AV188" s="60"/>
      <c r="AW188" s="60"/>
      <c r="AX188" s="60"/>
      <c r="AY188" s="60"/>
      <c r="AZ188" s="60"/>
      <c r="BA188" s="60"/>
      <c r="BB188" s="60"/>
      <c r="BC188" s="60"/>
      <c r="BD188" s="60"/>
      <c r="BE188" s="60"/>
      <c r="BF188" s="60"/>
      <c r="BG188" s="60"/>
      <c r="BH188" s="60"/>
      <c r="BI188" s="60"/>
      <c r="BJ188" s="60"/>
      <c r="BK188" s="60"/>
      <c r="BL188" s="60"/>
      <c r="BM188" s="60"/>
      <c r="BN188" s="60"/>
      <c r="BO188" s="60"/>
      <c r="BP188" s="60"/>
      <c r="BQ188" s="60"/>
      <c r="BR188" s="60"/>
      <c r="BS188" s="60"/>
      <c r="BT188" s="60"/>
      <c r="BU188" s="60"/>
      <c r="BV188" s="60"/>
      <c r="BW188" s="60"/>
      <c r="BX188" s="60"/>
      <c r="BY188" s="60"/>
      <c r="BZ188" s="60"/>
      <c r="CA188" s="60"/>
      <c r="CB188" s="60"/>
      <c r="CC188" s="60"/>
      <c r="CD188" s="60"/>
      <c r="CE188" s="60"/>
      <c r="CF188" s="60"/>
      <c r="CG188" s="60"/>
      <c r="CH188" s="60"/>
      <c r="CI188" s="60"/>
      <c r="CJ188" s="60"/>
      <c r="CK188" s="60"/>
      <c r="CL188" s="60"/>
      <c r="CM188" s="60"/>
      <c r="CN188" s="60"/>
      <c r="CO188" s="60"/>
      <c r="CP188" s="60"/>
      <c r="CQ188" s="60"/>
      <c r="CR188" s="60"/>
      <c r="CS188" s="60"/>
      <c r="CT188" s="60"/>
      <c r="CU188" s="60"/>
      <c r="CV188" s="60"/>
      <c r="CW188" s="60"/>
      <c r="CX188" s="60"/>
      <c r="CY188" s="60"/>
      <c r="CZ188" s="60"/>
      <c r="DA188" s="60"/>
      <c r="DB188" s="60"/>
      <c r="DC188" s="60"/>
      <c r="DD188" s="60"/>
      <c r="DE188" s="60"/>
      <c r="DF188" s="60"/>
      <c r="DG188" s="60"/>
      <c r="DH188" s="60"/>
      <c r="DI188" s="60"/>
      <c r="DJ188" s="60"/>
      <c r="DK188" s="60"/>
      <c r="DL188" s="60"/>
      <c r="DM188" s="60"/>
      <c r="DN188" s="60"/>
      <c r="DO188" s="60"/>
      <c r="DP188" s="60"/>
      <c r="DQ188" s="60"/>
      <c r="DR188" s="60"/>
      <c r="DS188" s="60"/>
      <c r="DT188" s="60"/>
      <c r="DU188" s="60"/>
      <c r="DV188" s="60"/>
      <c r="DW188" s="60"/>
      <c r="DX188" s="60"/>
      <c r="DY188" s="60"/>
      <c r="DZ188" s="60"/>
      <c r="EA188" s="60"/>
      <c r="EB188" s="60"/>
      <c r="EC188" s="60"/>
      <c r="ED188" s="60"/>
      <c r="EE188" s="60"/>
      <c r="EF188" s="60"/>
      <c r="EG188" s="60"/>
      <c r="EH188" s="60"/>
      <c r="EI188" s="60"/>
      <c r="EJ188" s="60"/>
      <c r="EK188" s="60"/>
      <c r="EL188" s="60"/>
      <c r="EM188" s="60"/>
      <c r="EN188" s="60"/>
      <c r="EO188" s="60"/>
      <c r="EP188" s="60"/>
      <c r="EQ188" s="60"/>
      <c r="ER188" s="60"/>
      <c r="ES188" s="60"/>
      <c r="ET188" s="60"/>
      <c r="EU188" s="60"/>
      <c r="EV188" s="60"/>
      <c r="EW188" s="60"/>
      <c r="EX188" s="60"/>
      <c r="EY188" s="60"/>
      <c r="EZ188" s="60"/>
      <c r="FA188" s="60"/>
      <c r="FB188" s="60"/>
      <c r="FC188" s="60"/>
      <c r="FD188" s="60"/>
      <c r="FE188" s="60"/>
      <c r="FF188" s="60"/>
      <c r="FG188" s="60"/>
      <c r="FH188" s="60"/>
      <c r="FI188" s="60"/>
      <c r="FJ188" s="60"/>
      <c r="FK188" s="60"/>
      <c r="FL188" s="60"/>
      <c r="FM188" s="60"/>
      <c r="FN188" s="60"/>
      <c r="FO188" s="60"/>
      <c r="FP188" s="60"/>
      <c r="FQ188" s="60"/>
      <c r="FR188" s="60"/>
      <c r="FS188" s="60"/>
      <c r="FT188" s="60"/>
      <c r="FU188" s="60"/>
      <c r="FV188" s="60"/>
      <c r="FW188" s="60"/>
      <c r="FX188" s="60"/>
      <c r="FY188" s="60"/>
      <c r="FZ188" s="60"/>
      <c r="GA188" s="60"/>
      <c r="GB188" s="60"/>
      <c r="GC188" s="60"/>
      <c r="GD188" s="60"/>
      <c r="GE188" s="60"/>
      <c r="GF188" s="60"/>
      <c r="GG188" s="60"/>
      <c r="GH188" s="60"/>
      <c r="GI188" s="60"/>
      <c r="GJ188" s="60"/>
      <c r="GK188" s="60"/>
      <c r="GL188" s="60"/>
      <c r="GM188" s="60"/>
      <c r="GN188" s="60"/>
      <c r="GO188" s="60"/>
      <c r="GP188" s="60"/>
      <c r="GQ188" s="60"/>
      <c r="GR188" s="60"/>
      <c r="GS188" s="60"/>
      <c r="GT188" s="60"/>
      <c r="GU188" s="60"/>
      <c r="GV188" s="60"/>
      <c r="GW188" s="60"/>
      <c r="GX188" s="60"/>
      <c r="GY188" s="60"/>
      <c r="GZ188" s="60"/>
      <c r="HA188" s="60"/>
      <c r="HB188" s="60"/>
      <c r="HC188" s="60"/>
      <c r="HD188" s="60"/>
      <c r="HE188" s="60"/>
      <c r="HF188" s="60"/>
      <c r="HG188" s="60"/>
      <c r="HH188" s="60"/>
      <c r="HI188" s="60"/>
      <c r="HJ188" s="60"/>
      <c r="HK188" s="60"/>
      <c r="HL188" s="60"/>
      <c r="HM188" s="60"/>
      <c r="HN188" s="60"/>
      <c r="HO188" s="60"/>
      <c r="HP188" s="60"/>
      <c r="HQ188" s="60"/>
      <c r="HR188" s="60"/>
      <c r="HS188" s="60"/>
      <c r="HT188" s="60"/>
      <c r="HU188" s="60"/>
      <c r="HV188" s="60"/>
      <c r="HW188" s="60"/>
      <c r="HX188" s="60"/>
      <c r="HY188" s="60"/>
      <c r="HZ188" s="60"/>
      <c r="IA188" s="60"/>
      <c r="IB188" s="60"/>
      <c r="IC188" s="60"/>
      <c r="ID188" s="60"/>
      <c r="IE188" s="60"/>
      <c r="IF188" s="60"/>
      <c r="IG188" s="60"/>
      <c r="IH188" s="60"/>
      <c r="II188" s="60"/>
      <c r="IJ188" s="60"/>
      <c r="IK188" s="60"/>
      <c r="IL188" s="60"/>
      <c r="IM188" s="60"/>
      <c r="IN188" s="60"/>
      <c r="IO188" s="60"/>
      <c r="IP188" s="60"/>
      <c r="IQ188" s="60"/>
      <c r="IR188" s="60"/>
      <c r="IS188" s="60"/>
      <c r="IT188" s="60"/>
      <c r="IU188" s="60"/>
      <c r="IV188" s="60"/>
      <c r="IW188" s="60"/>
      <c r="IX188" s="60"/>
      <c r="IY188" s="60"/>
      <c r="IZ188" s="60"/>
      <c r="JA188" s="60"/>
      <c r="JB188" s="60"/>
      <c r="JC188" s="60"/>
      <c r="JD188" s="60"/>
      <c r="JE188" s="60"/>
      <c r="JF188" s="60"/>
      <c r="JG188" s="60"/>
      <c r="JH188" s="60"/>
      <c r="JI188" s="60"/>
      <c r="JJ188" s="60"/>
      <c r="JK188" s="60"/>
      <c r="JL188" s="60"/>
      <c r="JM188" s="60"/>
      <c r="JN188" s="60"/>
      <c r="JO188" s="60"/>
      <c r="JP188" s="60"/>
      <c r="JQ188" s="60"/>
      <c r="JR188" s="60"/>
      <c r="JS188" s="60"/>
      <c r="JT188" s="60"/>
      <c r="JU188" s="60"/>
      <c r="JV188" s="60"/>
      <c r="JW188" s="60"/>
      <c r="JX188" s="60"/>
      <c r="JY188" s="60"/>
      <c r="JZ188" s="60"/>
      <c r="KA188" s="60"/>
      <c r="KB188" s="60"/>
      <c r="KC188" s="60"/>
      <c r="KD188" s="60"/>
      <c r="KE188" s="60"/>
      <c r="KF188" s="60"/>
      <c r="KG188" s="60"/>
      <c r="KH188" s="60"/>
      <c r="KI188" s="60"/>
      <c r="KJ188" s="60"/>
      <c r="KK188" s="60"/>
      <c r="KL188" s="60"/>
      <c r="KM188" s="60"/>
      <c r="KN188" s="60"/>
      <c r="KO188" s="60"/>
      <c r="KP188" s="60"/>
      <c r="KQ188" s="60"/>
      <c r="KR188" s="60"/>
      <c r="KS188" s="60"/>
      <c r="KT188" s="60"/>
      <c r="KU188" s="60"/>
      <c r="KV188" s="60"/>
      <c r="KW188" s="60"/>
      <c r="KX188" s="60"/>
      <c r="KY188" s="60"/>
      <c r="KZ188" s="60"/>
      <c r="LA188" s="60"/>
      <c r="LB188" s="60"/>
      <c r="LC188" s="60"/>
      <c r="LD188" s="60"/>
      <c r="LE188" s="60"/>
      <c r="LF188" s="60"/>
      <c r="LG188" s="60"/>
      <c r="LH188" s="60"/>
    </row>
    <row r="217" spans="1:320" s="146" customFormat="1" x14ac:dyDescent="0.25">
      <c r="A217" s="147"/>
      <c r="B217" s="1"/>
      <c r="C217" s="1"/>
      <c r="D217" s="1"/>
      <c r="F217" s="148"/>
      <c r="G217" s="148"/>
      <c r="T217" s="17"/>
      <c r="U217" s="17"/>
      <c r="V217" s="17"/>
      <c r="W217" s="17"/>
      <c r="X217" s="17"/>
      <c r="Y217" s="17"/>
      <c r="Z217" s="17"/>
      <c r="AA217" s="17"/>
      <c r="AB217" s="17"/>
      <c r="AC217" s="60"/>
      <c r="AD217" s="60"/>
      <c r="AE217" s="60"/>
      <c r="AF217" s="60"/>
      <c r="AG217" s="60"/>
      <c r="AH217" s="60"/>
      <c r="AI217" s="60"/>
      <c r="AJ217" s="60"/>
      <c r="AK217" s="60"/>
      <c r="AL217" s="60"/>
      <c r="AM217" s="60"/>
      <c r="AN217" s="60"/>
      <c r="AO217" s="60"/>
      <c r="AP217" s="60"/>
      <c r="AQ217" s="60"/>
      <c r="AR217" s="60"/>
      <c r="AS217" s="60"/>
      <c r="AT217" s="60"/>
      <c r="AU217" s="60"/>
      <c r="AV217" s="60"/>
      <c r="AW217" s="60"/>
      <c r="AX217" s="60"/>
      <c r="AY217" s="60"/>
      <c r="AZ217" s="60"/>
      <c r="BA217" s="60"/>
      <c r="BB217" s="60"/>
      <c r="BC217" s="60"/>
      <c r="BD217" s="60"/>
      <c r="BE217" s="60"/>
      <c r="BF217" s="60"/>
      <c r="BG217" s="60"/>
      <c r="BH217" s="60"/>
      <c r="BI217" s="60"/>
      <c r="BJ217" s="60"/>
      <c r="BK217" s="60"/>
      <c r="BL217" s="60"/>
      <c r="BM217" s="60"/>
      <c r="BN217" s="60"/>
      <c r="BO217" s="60"/>
      <c r="BP217" s="60"/>
      <c r="BQ217" s="60"/>
      <c r="BR217" s="60"/>
      <c r="BS217" s="60"/>
      <c r="BT217" s="60"/>
      <c r="BU217" s="60"/>
      <c r="BV217" s="60"/>
      <c r="BW217" s="60"/>
      <c r="BX217" s="60"/>
      <c r="BY217" s="60"/>
      <c r="BZ217" s="60"/>
      <c r="CA217" s="60"/>
      <c r="CB217" s="60"/>
      <c r="CC217" s="60"/>
      <c r="CD217" s="60"/>
      <c r="CE217" s="60"/>
      <c r="CF217" s="60"/>
      <c r="CG217" s="60"/>
      <c r="CH217" s="60"/>
      <c r="CI217" s="60"/>
      <c r="CJ217" s="60"/>
      <c r="CK217" s="60"/>
      <c r="CL217" s="60"/>
      <c r="CM217" s="60"/>
      <c r="CN217" s="60"/>
      <c r="CO217" s="60"/>
      <c r="CP217" s="60"/>
      <c r="CQ217" s="60"/>
      <c r="CR217" s="60"/>
      <c r="CS217" s="60"/>
      <c r="CT217" s="60"/>
      <c r="CU217" s="60"/>
      <c r="CV217" s="60"/>
      <c r="CW217" s="60"/>
      <c r="CX217" s="60"/>
      <c r="CY217" s="60"/>
      <c r="CZ217" s="60"/>
      <c r="DA217" s="60"/>
      <c r="DB217" s="60"/>
      <c r="DC217" s="60"/>
      <c r="DD217" s="60"/>
      <c r="DE217" s="60"/>
      <c r="DF217" s="60"/>
      <c r="DG217" s="60"/>
      <c r="DH217" s="60"/>
      <c r="DI217" s="60"/>
      <c r="DJ217" s="60"/>
      <c r="DK217" s="60"/>
      <c r="DL217" s="60"/>
      <c r="DM217" s="60"/>
      <c r="DN217" s="60"/>
      <c r="DO217" s="60"/>
      <c r="DP217" s="60"/>
      <c r="DQ217" s="60"/>
      <c r="DR217" s="60"/>
      <c r="DS217" s="60"/>
      <c r="DT217" s="60"/>
      <c r="DU217" s="60"/>
      <c r="DV217" s="60"/>
      <c r="DW217" s="60"/>
      <c r="DX217" s="60"/>
      <c r="DY217" s="60"/>
      <c r="DZ217" s="60"/>
      <c r="EA217" s="60"/>
      <c r="EB217" s="60"/>
      <c r="EC217" s="60"/>
      <c r="ED217" s="60"/>
      <c r="EE217" s="60"/>
      <c r="EF217" s="60"/>
      <c r="EG217" s="60"/>
      <c r="EH217" s="60"/>
      <c r="EI217" s="60"/>
      <c r="EJ217" s="60"/>
      <c r="EK217" s="60"/>
      <c r="EL217" s="60"/>
      <c r="EM217" s="60"/>
      <c r="EN217" s="60"/>
      <c r="EO217" s="60"/>
      <c r="EP217" s="60"/>
      <c r="EQ217" s="60"/>
      <c r="ER217" s="60"/>
      <c r="ES217" s="60"/>
      <c r="ET217" s="60"/>
      <c r="EU217" s="60"/>
      <c r="EV217" s="60"/>
      <c r="EW217" s="60"/>
      <c r="EX217" s="60"/>
      <c r="EY217" s="60"/>
      <c r="EZ217" s="60"/>
      <c r="FA217" s="60"/>
      <c r="FB217" s="60"/>
      <c r="FC217" s="60"/>
      <c r="FD217" s="60"/>
      <c r="FE217" s="60"/>
      <c r="FF217" s="60"/>
      <c r="FG217" s="60"/>
      <c r="FH217" s="60"/>
      <c r="FI217" s="60"/>
      <c r="FJ217" s="60"/>
      <c r="FK217" s="60"/>
      <c r="FL217" s="60"/>
      <c r="FM217" s="60"/>
      <c r="FN217" s="60"/>
      <c r="FO217" s="60"/>
      <c r="FP217" s="60"/>
      <c r="FQ217" s="60"/>
      <c r="FR217" s="60"/>
      <c r="FS217" s="60"/>
      <c r="FT217" s="60"/>
      <c r="FU217" s="60"/>
      <c r="FV217" s="60"/>
      <c r="FW217" s="60"/>
      <c r="FX217" s="60"/>
      <c r="FY217" s="60"/>
      <c r="FZ217" s="60"/>
      <c r="GA217" s="60"/>
      <c r="GB217" s="60"/>
      <c r="GC217" s="60"/>
      <c r="GD217" s="60"/>
      <c r="GE217" s="60"/>
      <c r="GF217" s="60"/>
      <c r="GG217" s="60"/>
      <c r="GH217" s="60"/>
      <c r="GI217" s="60"/>
      <c r="GJ217" s="60"/>
      <c r="GK217" s="60"/>
      <c r="GL217" s="60"/>
      <c r="GM217" s="60"/>
      <c r="GN217" s="60"/>
      <c r="GO217" s="60"/>
      <c r="GP217" s="60"/>
      <c r="GQ217" s="60"/>
      <c r="GR217" s="60"/>
      <c r="GS217" s="60"/>
      <c r="GT217" s="60"/>
      <c r="GU217" s="60"/>
      <c r="GV217" s="60"/>
      <c r="GW217" s="60"/>
      <c r="GX217" s="60"/>
      <c r="GY217" s="60"/>
      <c r="GZ217" s="60"/>
      <c r="HA217" s="60"/>
      <c r="HB217" s="60"/>
      <c r="HC217" s="60"/>
      <c r="HD217" s="60"/>
      <c r="HE217" s="60"/>
      <c r="HF217" s="60"/>
      <c r="HG217" s="60"/>
      <c r="HH217" s="60"/>
      <c r="HI217" s="60"/>
      <c r="HJ217" s="60"/>
      <c r="HK217" s="60"/>
      <c r="HL217" s="60"/>
      <c r="HM217" s="60"/>
      <c r="HN217" s="60"/>
      <c r="HO217" s="60"/>
      <c r="HP217" s="60"/>
      <c r="HQ217" s="60"/>
      <c r="HR217" s="60"/>
      <c r="HS217" s="60"/>
      <c r="HT217" s="60"/>
      <c r="HU217" s="60"/>
      <c r="HV217" s="60"/>
      <c r="HW217" s="60"/>
      <c r="HX217" s="60"/>
      <c r="HY217" s="60"/>
      <c r="HZ217" s="60"/>
      <c r="IA217" s="60"/>
      <c r="IB217" s="60"/>
      <c r="IC217" s="60"/>
      <c r="ID217" s="60"/>
      <c r="IE217" s="60"/>
      <c r="IF217" s="60"/>
      <c r="IG217" s="60"/>
      <c r="IH217" s="60"/>
      <c r="II217" s="60"/>
      <c r="IJ217" s="60"/>
      <c r="IK217" s="60"/>
      <c r="IL217" s="60"/>
      <c r="IM217" s="60"/>
      <c r="IN217" s="60"/>
      <c r="IO217" s="60"/>
      <c r="IP217" s="60"/>
      <c r="IQ217" s="60"/>
      <c r="IR217" s="60"/>
      <c r="IS217" s="60"/>
      <c r="IT217" s="60"/>
      <c r="IU217" s="60"/>
      <c r="IV217" s="60"/>
      <c r="IW217" s="60"/>
      <c r="IX217" s="60"/>
      <c r="IY217" s="60"/>
      <c r="IZ217" s="60"/>
      <c r="JA217" s="60"/>
      <c r="JB217" s="60"/>
      <c r="JC217" s="60"/>
      <c r="JD217" s="60"/>
      <c r="JE217" s="60"/>
      <c r="JF217" s="60"/>
      <c r="JG217" s="60"/>
      <c r="JH217" s="60"/>
      <c r="JI217" s="60"/>
      <c r="JJ217" s="60"/>
      <c r="JK217" s="60"/>
      <c r="JL217" s="60"/>
      <c r="JM217" s="60"/>
      <c r="JN217" s="60"/>
      <c r="JO217" s="60"/>
      <c r="JP217" s="60"/>
      <c r="JQ217" s="60"/>
      <c r="JR217" s="60"/>
      <c r="JS217" s="60"/>
      <c r="JT217" s="60"/>
      <c r="JU217" s="60"/>
      <c r="JV217" s="60"/>
      <c r="JW217" s="60"/>
      <c r="JX217" s="60"/>
      <c r="JY217" s="60"/>
      <c r="JZ217" s="60"/>
      <c r="KA217" s="60"/>
      <c r="KB217" s="60"/>
      <c r="KC217" s="60"/>
      <c r="KD217" s="60"/>
      <c r="KE217" s="60"/>
      <c r="KF217" s="60"/>
      <c r="KG217" s="60"/>
      <c r="KH217" s="60"/>
      <c r="KI217" s="60"/>
      <c r="KJ217" s="60"/>
      <c r="KK217" s="60"/>
      <c r="KL217" s="60"/>
      <c r="KM217" s="60"/>
      <c r="KN217" s="60"/>
      <c r="KO217" s="60"/>
      <c r="KP217" s="60"/>
      <c r="KQ217" s="60"/>
      <c r="KR217" s="60"/>
      <c r="KS217" s="60"/>
      <c r="KT217" s="60"/>
      <c r="KU217" s="60"/>
      <c r="KV217" s="60"/>
      <c r="KW217" s="60"/>
      <c r="KX217" s="60"/>
      <c r="KY217" s="60"/>
      <c r="KZ217" s="60"/>
      <c r="LA217" s="60"/>
      <c r="LB217" s="60"/>
      <c r="LC217" s="60"/>
      <c r="LD217" s="60"/>
      <c r="LE217" s="60"/>
      <c r="LF217" s="60"/>
      <c r="LG217" s="60"/>
      <c r="LH217" s="60"/>
    </row>
    <row r="218" spans="1:320" s="146" customFormat="1" x14ac:dyDescent="0.25">
      <c r="A218" s="147"/>
      <c r="B218" s="1"/>
      <c r="C218" s="1"/>
      <c r="D218" s="1"/>
      <c r="F218" s="148"/>
      <c r="G218" s="148"/>
      <c r="T218" s="17"/>
      <c r="U218" s="17"/>
      <c r="V218" s="17"/>
      <c r="W218" s="17"/>
      <c r="X218" s="17"/>
      <c r="Y218" s="17"/>
      <c r="Z218" s="17"/>
      <c r="AA218" s="17"/>
      <c r="AB218" s="17"/>
      <c r="AC218" s="60"/>
      <c r="AD218" s="60"/>
      <c r="AE218" s="60"/>
      <c r="AF218" s="60"/>
      <c r="AG218" s="60"/>
      <c r="AH218" s="60"/>
      <c r="AI218" s="60"/>
      <c r="AJ218" s="60"/>
      <c r="AK218" s="60"/>
      <c r="AL218" s="60"/>
      <c r="AM218" s="60"/>
      <c r="AN218" s="60"/>
      <c r="AO218" s="60"/>
      <c r="AP218" s="60"/>
      <c r="AQ218" s="60"/>
      <c r="AR218" s="60"/>
      <c r="AS218" s="60"/>
      <c r="AT218" s="60"/>
      <c r="AU218" s="60"/>
      <c r="AV218" s="60"/>
      <c r="AW218" s="60"/>
      <c r="AX218" s="60"/>
      <c r="AY218" s="60"/>
      <c r="AZ218" s="60"/>
      <c r="BA218" s="60"/>
      <c r="BB218" s="60"/>
      <c r="BC218" s="60"/>
      <c r="BD218" s="60"/>
      <c r="BE218" s="60"/>
      <c r="BF218" s="60"/>
      <c r="BG218" s="60"/>
      <c r="BH218" s="60"/>
      <c r="BI218" s="60"/>
      <c r="BJ218" s="60"/>
      <c r="BK218" s="60"/>
      <c r="BL218" s="60"/>
      <c r="BM218" s="60"/>
      <c r="BN218" s="60"/>
      <c r="BO218" s="60"/>
      <c r="BP218" s="60"/>
      <c r="BQ218" s="60"/>
      <c r="BR218" s="60"/>
      <c r="BS218" s="60"/>
      <c r="BT218" s="60"/>
      <c r="BU218" s="60"/>
      <c r="BV218" s="60"/>
      <c r="BW218" s="60"/>
      <c r="BX218" s="60"/>
      <c r="BY218" s="60"/>
      <c r="BZ218" s="60"/>
      <c r="CA218" s="60"/>
      <c r="CB218" s="60"/>
      <c r="CC218" s="60"/>
      <c r="CD218" s="60"/>
      <c r="CE218" s="60"/>
      <c r="CF218" s="60"/>
      <c r="CG218" s="60"/>
      <c r="CH218" s="60"/>
      <c r="CI218" s="60"/>
      <c r="CJ218" s="60"/>
      <c r="CK218" s="60"/>
      <c r="CL218" s="60"/>
      <c r="CM218" s="60"/>
      <c r="CN218" s="60"/>
      <c r="CO218" s="60"/>
      <c r="CP218" s="60"/>
      <c r="CQ218" s="60"/>
      <c r="CR218" s="60"/>
      <c r="CS218" s="60"/>
      <c r="CT218" s="60"/>
      <c r="CU218" s="60"/>
      <c r="CV218" s="60"/>
      <c r="CW218" s="60"/>
      <c r="CX218" s="60"/>
      <c r="CY218" s="60"/>
      <c r="CZ218" s="60"/>
      <c r="DA218" s="60"/>
      <c r="DB218" s="60"/>
      <c r="DC218" s="60"/>
      <c r="DD218" s="60"/>
      <c r="DE218" s="60"/>
      <c r="DF218" s="60"/>
      <c r="DG218" s="60"/>
      <c r="DH218" s="60"/>
      <c r="DI218" s="60"/>
      <c r="DJ218" s="60"/>
      <c r="DK218" s="60"/>
      <c r="DL218" s="60"/>
      <c r="DM218" s="60"/>
      <c r="DN218" s="60"/>
      <c r="DO218" s="60"/>
      <c r="DP218" s="60"/>
      <c r="DQ218" s="60"/>
      <c r="DR218" s="60"/>
      <c r="DS218" s="60"/>
      <c r="DT218" s="60"/>
      <c r="DU218" s="60"/>
      <c r="DV218" s="60"/>
      <c r="DW218" s="60"/>
      <c r="DX218" s="60"/>
      <c r="DY218" s="60"/>
      <c r="DZ218" s="60"/>
      <c r="EA218" s="60"/>
      <c r="EB218" s="60"/>
      <c r="EC218" s="60"/>
      <c r="ED218" s="60"/>
      <c r="EE218" s="60"/>
      <c r="EF218" s="60"/>
      <c r="EG218" s="60"/>
      <c r="EH218" s="60"/>
      <c r="EI218" s="60"/>
      <c r="EJ218" s="60"/>
      <c r="EK218" s="60"/>
      <c r="EL218" s="60"/>
      <c r="EM218" s="60"/>
      <c r="EN218" s="60"/>
      <c r="EO218" s="60"/>
      <c r="EP218" s="60"/>
      <c r="EQ218" s="60"/>
      <c r="ER218" s="60"/>
      <c r="ES218" s="60"/>
      <c r="ET218" s="60"/>
      <c r="EU218" s="60"/>
      <c r="EV218" s="60"/>
      <c r="EW218" s="60"/>
      <c r="EX218" s="60"/>
      <c r="EY218" s="60"/>
      <c r="EZ218" s="60"/>
      <c r="FA218" s="60"/>
      <c r="FB218" s="60"/>
      <c r="FC218" s="60"/>
      <c r="FD218" s="60"/>
      <c r="FE218" s="60"/>
      <c r="FF218" s="60"/>
      <c r="FG218" s="60"/>
      <c r="FH218" s="60"/>
      <c r="FI218" s="60"/>
      <c r="FJ218" s="60"/>
      <c r="FK218" s="60"/>
      <c r="FL218" s="60"/>
      <c r="FM218" s="60"/>
      <c r="FN218" s="60"/>
      <c r="FO218" s="60"/>
      <c r="FP218" s="60"/>
      <c r="FQ218" s="60"/>
      <c r="FR218" s="60"/>
      <c r="FS218" s="60"/>
      <c r="FT218" s="60"/>
      <c r="FU218" s="60"/>
      <c r="FV218" s="60"/>
      <c r="FW218" s="60"/>
      <c r="FX218" s="60"/>
      <c r="FY218" s="60"/>
      <c r="FZ218" s="60"/>
      <c r="GA218" s="60"/>
      <c r="GB218" s="60"/>
      <c r="GC218" s="60"/>
      <c r="GD218" s="60"/>
      <c r="GE218" s="60"/>
      <c r="GF218" s="60"/>
      <c r="GG218" s="60"/>
      <c r="GH218" s="60"/>
      <c r="GI218" s="60"/>
      <c r="GJ218" s="60"/>
      <c r="GK218" s="60"/>
      <c r="GL218" s="60"/>
      <c r="GM218" s="60"/>
      <c r="GN218" s="60"/>
      <c r="GO218" s="60"/>
      <c r="GP218" s="60"/>
      <c r="GQ218" s="60"/>
      <c r="GR218" s="60"/>
      <c r="GS218" s="60"/>
      <c r="GT218" s="60"/>
      <c r="GU218" s="60"/>
      <c r="GV218" s="60"/>
      <c r="GW218" s="60"/>
      <c r="GX218" s="60"/>
      <c r="GY218" s="60"/>
      <c r="GZ218" s="60"/>
      <c r="HA218" s="60"/>
      <c r="HB218" s="60"/>
      <c r="HC218" s="60"/>
      <c r="HD218" s="60"/>
      <c r="HE218" s="60"/>
      <c r="HF218" s="60"/>
      <c r="HG218" s="60"/>
      <c r="HH218" s="60"/>
      <c r="HI218" s="60"/>
      <c r="HJ218" s="60"/>
      <c r="HK218" s="60"/>
      <c r="HL218" s="60"/>
      <c r="HM218" s="60"/>
      <c r="HN218" s="60"/>
      <c r="HO218" s="60"/>
      <c r="HP218" s="60"/>
      <c r="HQ218" s="60"/>
      <c r="HR218" s="60"/>
      <c r="HS218" s="60"/>
      <c r="HT218" s="60"/>
      <c r="HU218" s="60"/>
      <c r="HV218" s="60"/>
      <c r="HW218" s="60"/>
      <c r="HX218" s="60"/>
      <c r="HY218" s="60"/>
      <c r="HZ218" s="60"/>
      <c r="IA218" s="60"/>
      <c r="IB218" s="60"/>
      <c r="IC218" s="60"/>
      <c r="ID218" s="60"/>
      <c r="IE218" s="60"/>
      <c r="IF218" s="60"/>
      <c r="IG218" s="60"/>
      <c r="IH218" s="60"/>
      <c r="II218" s="60"/>
      <c r="IJ218" s="60"/>
      <c r="IK218" s="60"/>
      <c r="IL218" s="60"/>
      <c r="IM218" s="60"/>
      <c r="IN218" s="60"/>
      <c r="IO218" s="60"/>
      <c r="IP218" s="60"/>
      <c r="IQ218" s="60"/>
      <c r="IR218" s="60"/>
      <c r="IS218" s="60"/>
      <c r="IT218" s="60"/>
      <c r="IU218" s="60"/>
      <c r="IV218" s="60"/>
      <c r="IW218" s="60"/>
      <c r="IX218" s="60"/>
      <c r="IY218" s="60"/>
      <c r="IZ218" s="60"/>
      <c r="JA218" s="60"/>
      <c r="JB218" s="60"/>
      <c r="JC218" s="60"/>
      <c r="JD218" s="60"/>
      <c r="JE218" s="60"/>
      <c r="JF218" s="60"/>
      <c r="JG218" s="60"/>
      <c r="JH218" s="60"/>
      <c r="JI218" s="60"/>
      <c r="JJ218" s="60"/>
      <c r="JK218" s="60"/>
      <c r="JL218" s="60"/>
      <c r="JM218" s="60"/>
      <c r="JN218" s="60"/>
      <c r="JO218" s="60"/>
      <c r="JP218" s="60"/>
      <c r="JQ218" s="60"/>
      <c r="JR218" s="60"/>
      <c r="JS218" s="60"/>
      <c r="JT218" s="60"/>
      <c r="JU218" s="60"/>
      <c r="JV218" s="60"/>
      <c r="JW218" s="60"/>
      <c r="JX218" s="60"/>
      <c r="JY218" s="60"/>
      <c r="JZ218" s="60"/>
      <c r="KA218" s="60"/>
      <c r="KB218" s="60"/>
      <c r="KC218" s="60"/>
      <c r="KD218" s="60"/>
      <c r="KE218" s="60"/>
      <c r="KF218" s="60"/>
      <c r="KG218" s="60"/>
      <c r="KH218" s="60"/>
      <c r="KI218" s="60"/>
      <c r="KJ218" s="60"/>
      <c r="KK218" s="60"/>
      <c r="KL218" s="60"/>
      <c r="KM218" s="60"/>
      <c r="KN218" s="60"/>
      <c r="KO218" s="60"/>
      <c r="KP218" s="60"/>
      <c r="KQ218" s="60"/>
      <c r="KR218" s="60"/>
      <c r="KS218" s="60"/>
      <c r="KT218" s="60"/>
      <c r="KU218" s="60"/>
      <c r="KV218" s="60"/>
      <c r="KW218" s="60"/>
      <c r="KX218" s="60"/>
      <c r="KY218" s="60"/>
      <c r="KZ218" s="60"/>
      <c r="LA218" s="60"/>
      <c r="LB218" s="60"/>
      <c r="LC218" s="60"/>
      <c r="LD218" s="60"/>
      <c r="LE218" s="60"/>
      <c r="LF218" s="60"/>
      <c r="LG218" s="60"/>
      <c r="LH218" s="60"/>
    </row>
    <row r="219" spans="1:320" s="146" customFormat="1" x14ac:dyDescent="0.25">
      <c r="A219" s="147"/>
      <c r="B219" s="1"/>
      <c r="C219" s="1"/>
      <c r="D219" s="1"/>
      <c r="F219" s="1"/>
      <c r="G219" s="1"/>
      <c r="T219" s="17"/>
      <c r="U219" s="17"/>
      <c r="V219" s="17"/>
      <c r="W219" s="17"/>
      <c r="X219" s="17"/>
      <c r="Y219" s="17"/>
      <c r="Z219" s="17"/>
      <c r="AA219" s="17"/>
      <c r="AB219" s="17"/>
      <c r="AC219" s="60"/>
      <c r="AD219" s="60"/>
      <c r="AE219" s="60"/>
      <c r="AF219" s="60"/>
      <c r="AG219" s="60"/>
      <c r="AH219" s="60"/>
      <c r="AI219" s="60"/>
      <c r="AJ219" s="60"/>
      <c r="AK219" s="60"/>
      <c r="AL219" s="60"/>
      <c r="AM219" s="60"/>
      <c r="AN219" s="60"/>
      <c r="AO219" s="60"/>
      <c r="AP219" s="60"/>
      <c r="AQ219" s="60"/>
      <c r="AR219" s="60"/>
      <c r="AS219" s="60"/>
      <c r="AT219" s="60"/>
      <c r="AU219" s="60"/>
      <c r="AV219" s="60"/>
      <c r="AW219" s="60"/>
      <c r="AX219" s="60"/>
      <c r="AY219" s="60"/>
      <c r="AZ219" s="60"/>
      <c r="BA219" s="60"/>
      <c r="BB219" s="60"/>
      <c r="BC219" s="60"/>
      <c r="BD219" s="60"/>
      <c r="BE219" s="60"/>
      <c r="BF219" s="60"/>
      <c r="BG219" s="60"/>
      <c r="BH219" s="60"/>
      <c r="BI219" s="60"/>
      <c r="BJ219" s="60"/>
      <c r="BK219" s="60"/>
      <c r="BL219" s="60"/>
      <c r="BM219" s="60"/>
      <c r="BN219" s="60"/>
      <c r="BO219" s="60"/>
      <c r="BP219" s="60"/>
      <c r="BQ219" s="60"/>
      <c r="BR219" s="60"/>
      <c r="BS219" s="60"/>
      <c r="BT219" s="60"/>
      <c r="BU219" s="60"/>
      <c r="BV219" s="60"/>
      <c r="BW219" s="60"/>
      <c r="BX219" s="60"/>
      <c r="BY219" s="60"/>
      <c r="BZ219" s="60"/>
      <c r="CA219" s="60"/>
      <c r="CB219" s="60"/>
      <c r="CC219" s="60"/>
      <c r="CD219" s="60"/>
      <c r="CE219" s="60"/>
      <c r="CF219" s="60"/>
      <c r="CG219" s="60"/>
      <c r="CH219" s="60"/>
      <c r="CI219" s="60"/>
      <c r="CJ219" s="60"/>
      <c r="CK219" s="60"/>
      <c r="CL219" s="60"/>
      <c r="CM219" s="60"/>
      <c r="CN219" s="60"/>
      <c r="CO219" s="60"/>
      <c r="CP219" s="60"/>
      <c r="CQ219" s="60"/>
      <c r="CR219" s="60"/>
      <c r="CS219" s="60"/>
      <c r="CT219" s="60"/>
      <c r="CU219" s="60"/>
      <c r="CV219" s="60"/>
      <c r="CW219" s="60"/>
      <c r="CX219" s="60"/>
      <c r="CY219" s="60"/>
      <c r="CZ219" s="60"/>
      <c r="DA219" s="60"/>
      <c r="DB219" s="60"/>
      <c r="DC219" s="60"/>
      <c r="DD219" s="60"/>
      <c r="DE219" s="60"/>
      <c r="DF219" s="60"/>
      <c r="DG219" s="60"/>
      <c r="DH219" s="60"/>
      <c r="DI219" s="60"/>
      <c r="DJ219" s="60"/>
      <c r="DK219" s="60"/>
      <c r="DL219" s="60"/>
      <c r="DM219" s="60"/>
      <c r="DN219" s="60"/>
      <c r="DO219" s="60"/>
      <c r="DP219" s="60"/>
      <c r="DQ219" s="60"/>
      <c r="DR219" s="60"/>
      <c r="DS219" s="60"/>
      <c r="DT219" s="60"/>
      <c r="DU219" s="60"/>
      <c r="DV219" s="60"/>
      <c r="DW219" s="60"/>
      <c r="DX219" s="60"/>
      <c r="DY219" s="60"/>
      <c r="DZ219" s="60"/>
      <c r="EA219" s="60"/>
      <c r="EB219" s="60"/>
      <c r="EC219" s="60"/>
      <c r="ED219" s="60"/>
      <c r="EE219" s="60"/>
      <c r="EF219" s="60"/>
      <c r="EG219" s="60"/>
      <c r="EH219" s="60"/>
      <c r="EI219" s="60"/>
      <c r="EJ219" s="60"/>
      <c r="EK219" s="60"/>
      <c r="EL219" s="60"/>
      <c r="EM219" s="60"/>
      <c r="EN219" s="60"/>
      <c r="EO219" s="60"/>
      <c r="EP219" s="60"/>
      <c r="EQ219" s="60"/>
      <c r="ER219" s="60"/>
      <c r="ES219" s="60"/>
      <c r="ET219" s="60"/>
      <c r="EU219" s="60"/>
      <c r="EV219" s="60"/>
      <c r="EW219" s="60"/>
      <c r="EX219" s="60"/>
      <c r="EY219" s="60"/>
      <c r="EZ219" s="60"/>
      <c r="FA219" s="60"/>
      <c r="FB219" s="60"/>
      <c r="FC219" s="60"/>
      <c r="FD219" s="60"/>
      <c r="FE219" s="60"/>
      <c r="FF219" s="60"/>
      <c r="FG219" s="60"/>
      <c r="FH219" s="60"/>
      <c r="FI219" s="60"/>
      <c r="FJ219" s="60"/>
      <c r="FK219" s="60"/>
      <c r="FL219" s="60"/>
      <c r="FM219" s="60"/>
      <c r="FN219" s="60"/>
      <c r="FO219" s="60"/>
      <c r="FP219" s="60"/>
      <c r="FQ219" s="60"/>
      <c r="FR219" s="60"/>
      <c r="FS219" s="60"/>
      <c r="FT219" s="60"/>
      <c r="FU219" s="60"/>
      <c r="FV219" s="60"/>
      <c r="FW219" s="60"/>
      <c r="FX219" s="60"/>
      <c r="FY219" s="60"/>
      <c r="FZ219" s="60"/>
      <c r="GA219" s="60"/>
      <c r="GB219" s="60"/>
      <c r="GC219" s="60"/>
      <c r="GD219" s="60"/>
      <c r="GE219" s="60"/>
      <c r="GF219" s="60"/>
      <c r="GG219" s="60"/>
      <c r="GH219" s="60"/>
      <c r="GI219" s="60"/>
      <c r="GJ219" s="60"/>
      <c r="GK219" s="60"/>
      <c r="GL219" s="60"/>
      <c r="GM219" s="60"/>
      <c r="GN219" s="60"/>
      <c r="GO219" s="60"/>
      <c r="GP219" s="60"/>
      <c r="GQ219" s="60"/>
      <c r="GR219" s="60"/>
      <c r="GS219" s="60"/>
      <c r="GT219" s="60"/>
      <c r="GU219" s="60"/>
      <c r="GV219" s="60"/>
      <c r="GW219" s="60"/>
      <c r="GX219" s="60"/>
      <c r="GY219" s="60"/>
      <c r="GZ219" s="60"/>
      <c r="HA219" s="60"/>
      <c r="HB219" s="60"/>
      <c r="HC219" s="60"/>
      <c r="HD219" s="60"/>
      <c r="HE219" s="60"/>
      <c r="HF219" s="60"/>
      <c r="HG219" s="60"/>
      <c r="HH219" s="60"/>
      <c r="HI219" s="60"/>
      <c r="HJ219" s="60"/>
      <c r="HK219" s="60"/>
      <c r="HL219" s="60"/>
      <c r="HM219" s="60"/>
      <c r="HN219" s="60"/>
      <c r="HO219" s="60"/>
      <c r="HP219" s="60"/>
      <c r="HQ219" s="60"/>
      <c r="HR219" s="60"/>
      <c r="HS219" s="60"/>
      <c r="HT219" s="60"/>
      <c r="HU219" s="60"/>
      <c r="HV219" s="60"/>
      <c r="HW219" s="60"/>
      <c r="HX219" s="60"/>
      <c r="HY219" s="60"/>
      <c r="HZ219" s="60"/>
      <c r="IA219" s="60"/>
      <c r="IB219" s="60"/>
      <c r="IC219" s="60"/>
      <c r="ID219" s="60"/>
      <c r="IE219" s="60"/>
      <c r="IF219" s="60"/>
      <c r="IG219" s="60"/>
      <c r="IH219" s="60"/>
      <c r="II219" s="60"/>
      <c r="IJ219" s="60"/>
      <c r="IK219" s="60"/>
      <c r="IL219" s="60"/>
      <c r="IM219" s="60"/>
      <c r="IN219" s="60"/>
      <c r="IO219" s="60"/>
      <c r="IP219" s="60"/>
      <c r="IQ219" s="60"/>
      <c r="IR219" s="60"/>
      <c r="IS219" s="60"/>
      <c r="IT219" s="60"/>
      <c r="IU219" s="60"/>
      <c r="IV219" s="60"/>
      <c r="IW219" s="60"/>
      <c r="IX219" s="60"/>
      <c r="IY219" s="60"/>
      <c r="IZ219" s="60"/>
      <c r="JA219" s="60"/>
      <c r="JB219" s="60"/>
      <c r="JC219" s="60"/>
      <c r="JD219" s="60"/>
      <c r="JE219" s="60"/>
      <c r="JF219" s="60"/>
      <c r="JG219" s="60"/>
      <c r="JH219" s="60"/>
      <c r="JI219" s="60"/>
      <c r="JJ219" s="60"/>
      <c r="JK219" s="60"/>
      <c r="JL219" s="60"/>
      <c r="JM219" s="60"/>
      <c r="JN219" s="60"/>
      <c r="JO219" s="60"/>
      <c r="JP219" s="60"/>
      <c r="JQ219" s="60"/>
      <c r="JR219" s="60"/>
      <c r="JS219" s="60"/>
      <c r="JT219" s="60"/>
      <c r="JU219" s="60"/>
      <c r="JV219" s="60"/>
      <c r="JW219" s="60"/>
      <c r="JX219" s="60"/>
      <c r="JY219" s="60"/>
      <c r="JZ219" s="60"/>
      <c r="KA219" s="60"/>
      <c r="KB219" s="60"/>
      <c r="KC219" s="60"/>
      <c r="KD219" s="60"/>
      <c r="KE219" s="60"/>
      <c r="KF219" s="60"/>
      <c r="KG219" s="60"/>
      <c r="KH219" s="60"/>
      <c r="KI219" s="60"/>
      <c r="KJ219" s="60"/>
      <c r="KK219" s="60"/>
      <c r="KL219" s="60"/>
      <c r="KM219" s="60"/>
      <c r="KN219" s="60"/>
      <c r="KO219" s="60"/>
      <c r="KP219" s="60"/>
      <c r="KQ219" s="60"/>
      <c r="KR219" s="60"/>
      <c r="KS219" s="60"/>
      <c r="KT219" s="60"/>
      <c r="KU219" s="60"/>
      <c r="KV219" s="60"/>
      <c r="KW219" s="60"/>
      <c r="KX219" s="60"/>
      <c r="KY219" s="60"/>
      <c r="KZ219" s="60"/>
      <c r="LA219" s="60"/>
      <c r="LB219" s="60"/>
      <c r="LC219" s="60"/>
      <c r="LD219" s="60"/>
      <c r="LE219" s="60"/>
      <c r="LF219" s="60"/>
      <c r="LG219" s="60"/>
      <c r="LH219" s="60"/>
    </row>
    <row r="220" spans="1:320" s="146" customFormat="1" x14ac:dyDescent="0.25">
      <c r="A220" s="147"/>
      <c r="B220" s="1"/>
      <c r="C220" s="1"/>
      <c r="D220" s="1"/>
      <c r="F220" s="148" t="s">
        <v>94</v>
      </c>
      <c r="G220" s="148"/>
      <c r="T220" s="17"/>
      <c r="U220" s="17"/>
      <c r="V220" s="17"/>
      <c r="W220" s="17"/>
      <c r="X220" s="17"/>
      <c r="Y220" s="17"/>
      <c r="Z220" s="17"/>
      <c r="AA220" s="17"/>
      <c r="AB220" s="17"/>
      <c r="AC220" s="60"/>
      <c r="AD220" s="60"/>
      <c r="AE220" s="60"/>
      <c r="AF220" s="60"/>
      <c r="AG220" s="60"/>
      <c r="AH220" s="60"/>
      <c r="AI220" s="60"/>
      <c r="AJ220" s="60"/>
      <c r="AK220" s="60"/>
      <c r="AL220" s="60"/>
      <c r="AM220" s="60"/>
      <c r="AN220" s="60"/>
      <c r="AO220" s="60"/>
      <c r="AP220" s="60"/>
      <c r="AQ220" s="60"/>
      <c r="AR220" s="60"/>
      <c r="AS220" s="60"/>
      <c r="AT220" s="60"/>
      <c r="AU220" s="60"/>
      <c r="AV220" s="60"/>
      <c r="AW220" s="60"/>
      <c r="AX220" s="60"/>
      <c r="AY220" s="60"/>
      <c r="AZ220" s="60"/>
      <c r="BA220" s="60"/>
      <c r="BB220" s="60"/>
      <c r="BC220" s="60"/>
      <c r="BD220" s="60"/>
      <c r="BE220" s="60"/>
      <c r="BF220" s="60"/>
      <c r="BG220" s="60"/>
      <c r="BH220" s="60"/>
      <c r="BI220" s="60"/>
      <c r="BJ220" s="60"/>
      <c r="BK220" s="60"/>
      <c r="BL220" s="60"/>
      <c r="BM220" s="60"/>
      <c r="BN220" s="60"/>
      <c r="BO220" s="60"/>
      <c r="BP220" s="60"/>
      <c r="BQ220" s="60"/>
      <c r="BR220" s="60"/>
      <c r="BS220" s="60"/>
      <c r="BT220" s="60"/>
      <c r="BU220" s="60"/>
      <c r="BV220" s="60"/>
      <c r="BW220" s="60"/>
      <c r="BX220" s="60"/>
      <c r="BY220" s="60"/>
      <c r="BZ220" s="60"/>
      <c r="CA220" s="60"/>
      <c r="CB220" s="60"/>
      <c r="CC220" s="60"/>
      <c r="CD220" s="60"/>
      <c r="CE220" s="60"/>
      <c r="CF220" s="60"/>
      <c r="CG220" s="60"/>
      <c r="CH220" s="60"/>
      <c r="CI220" s="60"/>
      <c r="CJ220" s="60"/>
      <c r="CK220" s="60"/>
      <c r="CL220" s="60"/>
      <c r="CM220" s="60"/>
      <c r="CN220" s="60"/>
      <c r="CO220" s="60"/>
      <c r="CP220" s="60"/>
      <c r="CQ220" s="60"/>
      <c r="CR220" s="60"/>
      <c r="CS220" s="60"/>
      <c r="CT220" s="60"/>
      <c r="CU220" s="60"/>
      <c r="CV220" s="60"/>
      <c r="CW220" s="60"/>
      <c r="CX220" s="60"/>
      <c r="CY220" s="60"/>
      <c r="CZ220" s="60"/>
      <c r="DA220" s="60"/>
      <c r="DB220" s="60"/>
      <c r="DC220" s="60"/>
      <c r="DD220" s="60"/>
      <c r="DE220" s="60"/>
      <c r="DF220" s="60"/>
      <c r="DG220" s="60"/>
      <c r="DH220" s="60"/>
      <c r="DI220" s="60"/>
      <c r="DJ220" s="60"/>
      <c r="DK220" s="60"/>
      <c r="DL220" s="60"/>
      <c r="DM220" s="60"/>
      <c r="DN220" s="60"/>
      <c r="DO220" s="60"/>
      <c r="DP220" s="60"/>
      <c r="DQ220" s="60"/>
      <c r="DR220" s="60"/>
      <c r="DS220" s="60"/>
      <c r="DT220" s="60"/>
      <c r="DU220" s="60"/>
      <c r="DV220" s="60"/>
      <c r="DW220" s="60"/>
      <c r="DX220" s="60"/>
      <c r="DY220" s="60"/>
      <c r="DZ220" s="60"/>
      <c r="EA220" s="60"/>
      <c r="EB220" s="60"/>
      <c r="EC220" s="60"/>
      <c r="ED220" s="60"/>
      <c r="EE220" s="60"/>
      <c r="EF220" s="60"/>
      <c r="EG220" s="60"/>
      <c r="EH220" s="60"/>
      <c r="EI220" s="60"/>
      <c r="EJ220" s="60"/>
      <c r="EK220" s="60"/>
      <c r="EL220" s="60"/>
      <c r="EM220" s="60"/>
      <c r="EN220" s="60"/>
      <c r="EO220" s="60"/>
      <c r="EP220" s="60"/>
      <c r="EQ220" s="60"/>
      <c r="ER220" s="60"/>
      <c r="ES220" s="60"/>
      <c r="ET220" s="60"/>
      <c r="EU220" s="60"/>
      <c r="EV220" s="60"/>
      <c r="EW220" s="60"/>
      <c r="EX220" s="60"/>
      <c r="EY220" s="60"/>
      <c r="EZ220" s="60"/>
      <c r="FA220" s="60"/>
      <c r="FB220" s="60"/>
      <c r="FC220" s="60"/>
      <c r="FD220" s="60"/>
      <c r="FE220" s="60"/>
      <c r="FF220" s="60"/>
      <c r="FG220" s="60"/>
      <c r="FH220" s="60"/>
      <c r="FI220" s="60"/>
      <c r="FJ220" s="60"/>
      <c r="FK220" s="60"/>
      <c r="FL220" s="60"/>
      <c r="FM220" s="60"/>
      <c r="FN220" s="60"/>
      <c r="FO220" s="60"/>
      <c r="FP220" s="60"/>
      <c r="FQ220" s="60"/>
      <c r="FR220" s="60"/>
      <c r="FS220" s="60"/>
      <c r="FT220" s="60"/>
      <c r="FU220" s="60"/>
      <c r="FV220" s="60"/>
      <c r="FW220" s="60"/>
      <c r="FX220" s="60"/>
      <c r="FY220" s="60"/>
      <c r="FZ220" s="60"/>
      <c r="GA220" s="60"/>
      <c r="GB220" s="60"/>
      <c r="GC220" s="60"/>
      <c r="GD220" s="60"/>
      <c r="GE220" s="60"/>
      <c r="GF220" s="60"/>
      <c r="GG220" s="60"/>
      <c r="GH220" s="60"/>
      <c r="GI220" s="60"/>
      <c r="GJ220" s="60"/>
      <c r="GK220" s="60"/>
      <c r="GL220" s="60"/>
      <c r="GM220" s="60"/>
      <c r="GN220" s="60"/>
      <c r="GO220" s="60"/>
      <c r="GP220" s="60"/>
      <c r="GQ220" s="60"/>
      <c r="GR220" s="60"/>
      <c r="GS220" s="60"/>
      <c r="GT220" s="60"/>
      <c r="GU220" s="60"/>
      <c r="GV220" s="60"/>
      <c r="GW220" s="60"/>
      <c r="GX220" s="60"/>
      <c r="GY220" s="60"/>
      <c r="GZ220" s="60"/>
      <c r="HA220" s="60"/>
      <c r="HB220" s="60"/>
      <c r="HC220" s="60"/>
      <c r="HD220" s="60"/>
      <c r="HE220" s="60"/>
      <c r="HF220" s="60"/>
      <c r="HG220" s="60"/>
      <c r="HH220" s="60"/>
      <c r="HI220" s="60"/>
      <c r="HJ220" s="60"/>
      <c r="HK220" s="60"/>
      <c r="HL220" s="60"/>
      <c r="HM220" s="60"/>
      <c r="HN220" s="60"/>
      <c r="HO220" s="60"/>
      <c r="HP220" s="60"/>
      <c r="HQ220" s="60"/>
      <c r="HR220" s="60"/>
      <c r="HS220" s="60"/>
      <c r="HT220" s="60"/>
      <c r="HU220" s="60"/>
      <c r="HV220" s="60"/>
      <c r="HW220" s="60"/>
      <c r="HX220" s="60"/>
      <c r="HY220" s="60"/>
      <c r="HZ220" s="60"/>
      <c r="IA220" s="60"/>
      <c r="IB220" s="60"/>
      <c r="IC220" s="60"/>
      <c r="ID220" s="60"/>
      <c r="IE220" s="60"/>
      <c r="IF220" s="60"/>
      <c r="IG220" s="60"/>
      <c r="IH220" s="60"/>
      <c r="II220" s="60"/>
      <c r="IJ220" s="60"/>
      <c r="IK220" s="60"/>
      <c r="IL220" s="60"/>
      <c r="IM220" s="60"/>
      <c r="IN220" s="60"/>
      <c r="IO220" s="60"/>
      <c r="IP220" s="60"/>
      <c r="IQ220" s="60"/>
      <c r="IR220" s="60"/>
      <c r="IS220" s="60"/>
      <c r="IT220" s="60"/>
      <c r="IU220" s="60"/>
      <c r="IV220" s="60"/>
      <c r="IW220" s="60"/>
      <c r="IX220" s="60"/>
      <c r="IY220" s="60"/>
      <c r="IZ220" s="60"/>
      <c r="JA220" s="60"/>
      <c r="JB220" s="60"/>
      <c r="JC220" s="60"/>
      <c r="JD220" s="60"/>
      <c r="JE220" s="60"/>
      <c r="JF220" s="60"/>
      <c r="JG220" s="60"/>
      <c r="JH220" s="60"/>
      <c r="JI220" s="60"/>
      <c r="JJ220" s="60"/>
      <c r="JK220" s="60"/>
      <c r="JL220" s="60"/>
      <c r="JM220" s="60"/>
      <c r="JN220" s="60"/>
      <c r="JO220" s="60"/>
      <c r="JP220" s="60"/>
      <c r="JQ220" s="60"/>
      <c r="JR220" s="60"/>
      <c r="JS220" s="60"/>
      <c r="JT220" s="60"/>
      <c r="JU220" s="60"/>
      <c r="JV220" s="60"/>
      <c r="JW220" s="60"/>
      <c r="JX220" s="60"/>
      <c r="JY220" s="60"/>
      <c r="JZ220" s="60"/>
      <c r="KA220" s="60"/>
      <c r="KB220" s="60"/>
      <c r="KC220" s="60"/>
      <c r="KD220" s="60"/>
      <c r="KE220" s="60"/>
      <c r="KF220" s="60"/>
      <c r="KG220" s="60"/>
      <c r="KH220" s="60"/>
      <c r="KI220" s="60"/>
      <c r="KJ220" s="60"/>
      <c r="KK220" s="60"/>
      <c r="KL220" s="60"/>
      <c r="KM220" s="60"/>
      <c r="KN220" s="60"/>
      <c r="KO220" s="60"/>
      <c r="KP220" s="60"/>
      <c r="KQ220" s="60"/>
      <c r="KR220" s="60"/>
      <c r="KS220" s="60"/>
      <c r="KT220" s="60"/>
      <c r="KU220" s="60"/>
      <c r="KV220" s="60"/>
      <c r="KW220" s="60"/>
      <c r="KX220" s="60"/>
      <c r="KY220" s="60"/>
      <c r="KZ220" s="60"/>
      <c r="LA220" s="60"/>
      <c r="LB220" s="60"/>
      <c r="LC220" s="60"/>
      <c r="LD220" s="60"/>
      <c r="LE220" s="60"/>
      <c r="LF220" s="60"/>
      <c r="LG220" s="60"/>
      <c r="LH220" s="60"/>
    </row>
    <row r="221" spans="1:320" s="146" customFormat="1" x14ac:dyDescent="0.25">
      <c r="A221" s="147"/>
      <c r="B221" s="1"/>
      <c r="C221" s="1"/>
      <c r="D221" s="1"/>
      <c r="F221" s="148">
        <v>2</v>
      </c>
      <c r="G221" s="148"/>
      <c r="T221" s="17"/>
      <c r="U221" s="17"/>
      <c r="V221" s="17"/>
      <c r="W221" s="17"/>
      <c r="X221" s="17"/>
      <c r="Y221" s="17"/>
      <c r="Z221" s="17"/>
      <c r="AA221" s="17"/>
      <c r="AB221" s="17"/>
      <c r="AC221" s="60"/>
      <c r="AD221" s="60"/>
      <c r="AE221" s="60"/>
      <c r="AF221" s="60"/>
      <c r="AG221" s="60"/>
      <c r="AH221" s="60"/>
      <c r="AI221" s="60"/>
      <c r="AJ221" s="60"/>
      <c r="AK221" s="60"/>
      <c r="AL221" s="60"/>
      <c r="AM221" s="60"/>
      <c r="AN221" s="60"/>
      <c r="AO221" s="60"/>
      <c r="AP221" s="60"/>
      <c r="AQ221" s="60"/>
      <c r="AR221" s="60"/>
      <c r="AS221" s="60"/>
      <c r="AT221" s="60"/>
      <c r="AU221" s="60"/>
      <c r="AV221" s="60"/>
      <c r="AW221" s="60"/>
      <c r="AX221" s="60"/>
      <c r="AY221" s="60"/>
      <c r="AZ221" s="60"/>
      <c r="BA221" s="60"/>
      <c r="BB221" s="60"/>
      <c r="BC221" s="60"/>
      <c r="BD221" s="60"/>
      <c r="BE221" s="60"/>
      <c r="BF221" s="60"/>
      <c r="BG221" s="60"/>
      <c r="BH221" s="60"/>
      <c r="BI221" s="60"/>
      <c r="BJ221" s="60"/>
      <c r="BK221" s="60"/>
      <c r="BL221" s="60"/>
      <c r="BM221" s="60"/>
      <c r="BN221" s="60"/>
      <c r="BO221" s="60"/>
      <c r="BP221" s="60"/>
      <c r="BQ221" s="60"/>
      <c r="BR221" s="60"/>
      <c r="BS221" s="60"/>
      <c r="BT221" s="60"/>
      <c r="BU221" s="60"/>
      <c r="BV221" s="60"/>
      <c r="BW221" s="60"/>
      <c r="BX221" s="60"/>
      <c r="BY221" s="60"/>
      <c r="BZ221" s="60"/>
      <c r="CA221" s="60"/>
      <c r="CB221" s="60"/>
      <c r="CC221" s="60"/>
      <c r="CD221" s="60"/>
      <c r="CE221" s="60"/>
      <c r="CF221" s="60"/>
      <c r="CG221" s="60"/>
      <c r="CH221" s="60"/>
      <c r="CI221" s="60"/>
      <c r="CJ221" s="60"/>
      <c r="CK221" s="60"/>
      <c r="CL221" s="60"/>
      <c r="CM221" s="60"/>
      <c r="CN221" s="60"/>
      <c r="CO221" s="60"/>
      <c r="CP221" s="60"/>
      <c r="CQ221" s="60"/>
      <c r="CR221" s="60"/>
      <c r="CS221" s="60"/>
      <c r="CT221" s="60"/>
      <c r="CU221" s="60"/>
      <c r="CV221" s="60"/>
      <c r="CW221" s="60"/>
      <c r="CX221" s="60"/>
      <c r="CY221" s="60"/>
      <c r="CZ221" s="60"/>
      <c r="DA221" s="60"/>
      <c r="DB221" s="60"/>
      <c r="DC221" s="60"/>
      <c r="DD221" s="60"/>
      <c r="DE221" s="60"/>
      <c r="DF221" s="60"/>
      <c r="DG221" s="60"/>
      <c r="DH221" s="60"/>
      <c r="DI221" s="60"/>
      <c r="DJ221" s="60"/>
      <c r="DK221" s="60"/>
      <c r="DL221" s="60"/>
      <c r="DM221" s="60"/>
      <c r="DN221" s="60"/>
      <c r="DO221" s="60"/>
      <c r="DP221" s="60"/>
      <c r="DQ221" s="60"/>
      <c r="DR221" s="60"/>
      <c r="DS221" s="60"/>
      <c r="DT221" s="60"/>
      <c r="DU221" s="60"/>
      <c r="DV221" s="60"/>
      <c r="DW221" s="60"/>
      <c r="DX221" s="60"/>
      <c r="DY221" s="60"/>
      <c r="DZ221" s="60"/>
      <c r="EA221" s="60"/>
      <c r="EB221" s="60"/>
      <c r="EC221" s="60"/>
      <c r="ED221" s="60"/>
      <c r="EE221" s="60"/>
      <c r="EF221" s="60"/>
      <c r="EG221" s="60"/>
      <c r="EH221" s="60"/>
      <c r="EI221" s="60"/>
      <c r="EJ221" s="60"/>
      <c r="EK221" s="60"/>
      <c r="EL221" s="60"/>
      <c r="EM221" s="60"/>
      <c r="EN221" s="60"/>
      <c r="EO221" s="60"/>
      <c r="EP221" s="60"/>
      <c r="EQ221" s="60"/>
      <c r="ER221" s="60"/>
      <c r="ES221" s="60"/>
      <c r="ET221" s="60"/>
      <c r="EU221" s="60"/>
      <c r="EV221" s="60"/>
      <c r="EW221" s="60"/>
      <c r="EX221" s="60"/>
      <c r="EY221" s="60"/>
      <c r="EZ221" s="60"/>
      <c r="FA221" s="60"/>
      <c r="FB221" s="60"/>
      <c r="FC221" s="60"/>
      <c r="FD221" s="60"/>
      <c r="FE221" s="60"/>
      <c r="FF221" s="60"/>
      <c r="FG221" s="60"/>
      <c r="FH221" s="60"/>
      <c r="FI221" s="60"/>
      <c r="FJ221" s="60"/>
      <c r="FK221" s="60"/>
      <c r="FL221" s="60"/>
      <c r="FM221" s="60"/>
      <c r="FN221" s="60"/>
      <c r="FO221" s="60"/>
      <c r="FP221" s="60"/>
      <c r="FQ221" s="60"/>
      <c r="FR221" s="60"/>
      <c r="FS221" s="60"/>
      <c r="FT221" s="60"/>
      <c r="FU221" s="60"/>
      <c r="FV221" s="60"/>
      <c r="FW221" s="60"/>
      <c r="FX221" s="60"/>
      <c r="FY221" s="60"/>
      <c r="FZ221" s="60"/>
      <c r="GA221" s="60"/>
      <c r="GB221" s="60"/>
      <c r="GC221" s="60"/>
      <c r="GD221" s="60"/>
      <c r="GE221" s="60"/>
      <c r="GF221" s="60"/>
      <c r="GG221" s="60"/>
      <c r="GH221" s="60"/>
      <c r="GI221" s="60"/>
      <c r="GJ221" s="60"/>
      <c r="GK221" s="60"/>
      <c r="GL221" s="60"/>
      <c r="GM221" s="60"/>
      <c r="GN221" s="60"/>
      <c r="GO221" s="60"/>
      <c r="GP221" s="60"/>
      <c r="GQ221" s="60"/>
      <c r="GR221" s="60"/>
      <c r="GS221" s="60"/>
      <c r="GT221" s="60"/>
      <c r="GU221" s="60"/>
      <c r="GV221" s="60"/>
      <c r="GW221" s="60"/>
      <c r="GX221" s="60"/>
      <c r="GY221" s="60"/>
      <c r="GZ221" s="60"/>
      <c r="HA221" s="60"/>
      <c r="HB221" s="60"/>
      <c r="HC221" s="60"/>
      <c r="HD221" s="60"/>
      <c r="HE221" s="60"/>
      <c r="HF221" s="60"/>
      <c r="HG221" s="60"/>
      <c r="HH221" s="60"/>
      <c r="HI221" s="60"/>
      <c r="HJ221" s="60"/>
      <c r="HK221" s="60"/>
      <c r="HL221" s="60"/>
      <c r="HM221" s="60"/>
      <c r="HN221" s="60"/>
      <c r="HO221" s="60"/>
      <c r="HP221" s="60"/>
      <c r="HQ221" s="60"/>
      <c r="HR221" s="60"/>
      <c r="HS221" s="60"/>
      <c r="HT221" s="60"/>
      <c r="HU221" s="60"/>
      <c r="HV221" s="60"/>
      <c r="HW221" s="60"/>
      <c r="HX221" s="60"/>
      <c r="HY221" s="60"/>
      <c r="HZ221" s="60"/>
      <c r="IA221" s="60"/>
      <c r="IB221" s="60"/>
      <c r="IC221" s="60"/>
      <c r="ID221" s="60"/>
      <c r="IE221" s="60"/>
      <c r="IF221" s="60"/>
      <c r="IG221" s="60"/>
      <c r="IH221" s="60"/>
      <c r="II221" s="60"/>
      <c r="IJ221" s="60"/>
      <c r="IK221" s="60"/>
      <c r="IL221" s="60"/>
      <c r="IM221" s="60"/>
      <c r="IN221" s="60"/>
      <c r="IO221" s="60"/>
      <c r="IP221" s="60"/>
      <c r="IQ221" s="60"/>
      <c r="IR221" s="60"/>
      <c r="IS221" s="60"/>
      <c r="IT221" s="60"/>
      <c r="IU221" s="60"/>
      <c r="IV221" s="60"/>
      <c r="IW221" s="60"/>
      <c r="IX221" s="60"/>
      <c r="IY221" s="60"/>
      <c r="IZ221" s="60"/>
      <c r="JA221" s="60"/>
      <c r="JB221" s="60"/>
      <c r="JC221" s="60"/>
      <c r="JD221" s="60"/>
      <c r="JE221" s="60"/>
      <c r="JF221" s="60"/>
      <c r="JG221" s="60"/>
      <c r="JH221" s="60"/>
      <c r="JI221" s="60"/>
      <c r="JJ221" s="60"/>
      <c r="JK221" s="60"/>
      <c r="JL221" s="60"/>
      <c r="JM221" s="60"/>
      <c r="JN221" s="60"/>
      <c r="JO221" s="60"/>
      <c r="JP221" s="60"/>
      <c r="JQ221" s="60"/>
      <c r="JR221" s="60"/>
      <c r="JS221" s="60"/>
      <c r="JT221" s="60"/>
      <c r="JU221" s="60"/>
      <c r="JV221" s="60"/>
      <c r="JW221" s="60"/>
      <c r="JX221" s="60"/>
      <c r="JY221" s="60"/>
      <c r="JZ221" s="60"/>
      <c r="KA221" s="60"/>
      <c r="KB221" s="60"/>
      <c r="KC221" s="60"/>
      <c r="KD221" s="60"/>
      <c r="KE221" s="60"/>
      <c r="KF221" s="60"/>
      <c r="KG221" s="60"/>
      <c r="KH221" s="60"/>
      <c r="KI221" s="60"/>
      <c r="KJ221" s="60"/>
      <c r="KK221" s="60"/>
      <c r="KL221" s="60"/>
      <c r="KM221" s="60"/>
      <c r="KN221" s="60"/>
      <c r="KO221" s="60"/>
      <c r="KP221" s="60"/>
      <c r="KQ221" s="60"/>
      <c r="KR221" s="60"/>
      <c r="KS221" s="60"/>
      <c r="KT221" s="60"/>
      <c r="KU221" s="60"/>
      <c r="KV221" s="60"/>
      <c r="KW221" s="60"/>
      <c r="KX221" s="60"/>
      <c r="KY221" s="60"/>
      <c r="KZ221" s="60"/>
      <c r="LA221" s="60"/>
      <c r="LB221" s="60"/>
      <c r="LC221" s="60"/>
      <c r="LD221" s="60"/>
      <c r="LE221" s="60"/>
      <c r="LF221" s="60"/>
      <c r="LG221" s="60"/>
      <c r="LH221" s="60"/>
    </row>
    <row r="222" spans="1:320" s="146" customFormat="1" x14ac:dyDescent="0.25">
      <c r="A222" s="147"/>
      <c r="B222" s="1"/>
      <c r="C222" s="1"/>
      <c r="D222" s="1"/>
      <c r="F222" s="148">
        <v>3</v>
      </c>
      <c r="G222" s="148"/>
      <c r="T222" s="17"/>
      <c r="U222" s="17"/>
      <c r="V222" s="17"/>
      <c r="W222" s="17"/>
      <c r="X222" s="17"/>
      <c r="Y222" s="17"/>
      <c r="Z222" s="17"/>
      <c r="AA222" s="17"/>
      <c r="AB222" s="17"/>
      <c r="AC222" s="60"/>
      <c r="AD222" s="60"/>
      <c r="AE222" s="60"/>
      <c r="AF222" s="60"/>
      <c r="AG222" s="60"/>
      <c r="AH222" s="60"/>
      <c r="AI222" s="60"/>
      <c r="AJ222" s="60"/>
      <c r="AK222" s="60"/>
      <c r="AL222" s="60"/>
      <c r="AM222" s="60"/>
      <c r="AN222" s="60"/>
      <c r="AO222" s="60"/>
      <c r="AP222" s="60"/>
      <c r="AQ222" s="60"/>
      <c r="AR222" s="60"/>
      <c r="AS222" s="60"/>
      <c r="AT222" s="60"/>
      <c r="AU222" s="60"/>
      <c r="AV222" s="60"/>
      <c r="AW222" s="60"/>
      <c r="AX222" s="60"/>
      <c r="AY222" s="60"/>
      <c r="AZ222" s="60"/>
      <c r="BA222" s="60"/>
      <c r="BB222" s="60"/>
      <c r="BC222" s="60"/>
      <c r="BD222" s="60"/>
      <c r="BE222" s="60"/>
      <c r="BF222" s="60"/>
      <c r="BG222" s="60"/>
      <c r="BH222" s="60"/>
      <c r="BI222" s="60"/>
      <c r="BJ222" s="60"/>
      <c r="BK222" s="60"/>
      <c r="BL222" s="60"/>
      <c r="BM222" s="60"/>
      <c r="BN222" s="60"/>
      <c r="BO222" s="60"/>
      <c r="BP222" s="60"/>
      <c r="BQ222" s="60"/>
      <c r="BR222" s="60"/>
      <c r="BS222" s="60"/>
      <c r="BT222" s="60"/>
      <c r="BU222" s="60"/>
      <c r="BV222" s="60"/>
      <c r="BW222" s="60"/>
      <c r="BX222" s="60"/>
      <c r="BY222" s="60"/>
      <c r="BZ222" s="60"/>
      <c r="CA222" s="60"/>
      <c r="CB222" s="60"/>
      <c r="CC222" s="60"/>
      <c r="CD222" s="60"/>
      <c r="CE222" s="60"/>
      <c r="CF222" s="60"/>
      <c r="CG222" s="60"/>
      <c r="CH222" s="60"/>
      <c r="CI222" s="60"/>
      <c r="CJ222" s="60"/>
      <c r="CK222" s="60"/>
      <c r="CL222" s="60"/>
      <c r="CM222" s="60"/>
      <c r="CN222" s="60"/>
      <c r="CO222" s="60"/>
      <c r="CP222" s="60"/>
      <c r="CQ222" s="60"/>
      <c r="CR222" s="60"/>
      <c r="CS222" s="60"/>
      <c r="CT222" s="60"/>
      <c r="CU222" s="60"/>
      <c r="CV222" s="60"/>
      <c r="CW222" s="60"/>
      <c r="CX222" s="60"/>
      <c r="CY222" s="60"/>
      <c r="CZ222" s="60"/>
      <c r="DA222" s="60"/>
      <c r="DB222" s="60"/>
      <c r="DC222" s="60"/>
      <c r="DD222" s="60"/>
      <c r="DE222" s="60"/>
      <c r="DF222" s="60"/>
      <c r="DG222" s="60"/>
      <c r="DH222" s="60"/>
      <c r="DI222" s="60"/>
      <c r="DJ222" s="60"/>
      <c r="DK222" s="60"/>
      <c r="DL222" s="60"/>
      <c r="DM222" s="60"/>
      <c r="DN222" s="60"/>
      <c r="DO222" s="60"/>
      <c r="DP222" s="60"/>
      <c r="DQ222" s="60"/>
      <c r="DR222" s="60"/>
      <c r="DS222" s="60"/>
      <c r="DT222" s="60"/>
      <c r="DU222" s="60"/>
      <c r="DV222" s="60"/>
      <c r="DW222" s="60"/>
      <c r="DX222" s="60"/>
      <c r="DY222" s="60"/>
      <c r="DZ222" s="60"/>
      <c r="EA222" s="60"/>
      <c r="EB222" s="60"/>
      <c r="EC222" s="60"/>
      <c r="ED222" s="60"/>
      <c r="EE222" s="60"/>
      <c r="EF222" s="60"/>
      <c r="EG222" s="60"/>
      <c r="EH222" s="60"/>
      <c r="EI222" s="60"/>
      <c r="EJ222" s="60"/>
      <c r="EK222" s="60"/>
      <c r="EL222" s="60"/>
      <c r="EM222" s="60"/>
      <c r="EN222" s="60"/>
      <c r="EO222" s="60"/>
      <c r="EP222" s="60"/>
      <c r="EQ222" s="60"/>
      <c r="ER222" s="60"/>
      <c r="ES222" s="60"/>
      <c r="ET222" s="60"/>
      <c r="EU222" s="60"/>
      <c r="EV222" s="60"/>
      <c r="EW222" s="60"/>
      <c r="EX222" s="60"/>
      <c r="EY222" s="60"/>
      <c r="EZ222" s="60"/>
      <c r="FA222" s="60"/>
      <c r="FB222" s="60"/>
      <c r="FC222" s="60"/>
      <c r="FD222" s="60"/>
      <c r="FE222" s="60"/>
      <c r="FF222" s="60"/>
      <c r="FG222" s="60"/>
      <c r="FH222" s="60"/>
      <c r="FI222" s="60"/>
      <c r="FJ222" s="60"/>
      <c r="FK222" s="60"/>
      <c r="FL222" s="60"/>
      <c r="FM222" s="60"/>
      <c r="FN222" s="60"/>
      <c r="FO222" s="60"/>
      <c r="FP222" s="60"/>
      <c r="FQ222" s="60"/>
      <c r="FR222" s="60"/>
      <c r="FS222" s="60"/>
      <c r="FT222" s="60"/>
      <c r="FU222" s="60"/>
      <c r="FV222" s="60"/>
      <c r="FW222" s="60"/>
      <c r="FX222" s="60"/>
      <c r="FY222" s="60"/>
      <c r="FZ222" s="60"/>
      <c r="GA222" s="60"/>
      <c r="GB222" s="60"/>
      <c r="GC222" s="60"/>
      <c r="GD222" s="60"/>
      <c r="GE222" s="60"/>
      <c r="GF222" s="60"/>
      <c r="GG222" s="60"/>
      <c r="GH222" s="60"/>
      <c r="GI222" s="60"/>
      <c r="GJ222" s="60"/>
      <c r="GK222" s="60"/>
      <c r="GL222" s="60"/>
      <c r="GM222" s="60"/>
      <c r="GN222" s="60"/>
      <c r="GO222" s="60"/>
      <c r="GP222" s="60"/>
      <c r="GQ222" s="60"/>
      <c r="GR222" s="60"/>
      <c r="GS222" s="60"/>
      <c r="GT222" s="60"/>
      <c r="GU222" s="60"/>
      <c r="GV222" s="60"/>
      <c r="GW222" s="60"/>
      <c r="GX222" s="60"/>
      <c r="GY222" s="60"/>
      <c r="GZ222" s="60"/>
      <c r="HA222" s="60"/>
      <c r="HB222" s="60"/>
      <c r="HC222" s="60"/>
      <c r="HD222" s="60"/>
      <c r="HE222" s="60"/>
      <c r="HF222" s="60"/>
      <c r="HG222" s="60"/>
      <c r="HH222" s="60"/>
      <c r="HI222" s="60"/>
      <c r="HJ222" s="60"/>
      <c r="HK222" s="60"/>
      <c r="HL222" s="60"/>
      <c r="HM222" s="60"/>
      <c r="HN222" s="60"/>
      <c r="HO222" s="60"/>
      <c r="HP222" s="60"/>
      <c r="HQ222" s="60"/>
      <c r="HR222" s="60"/>
      <c r="HS222" s="60"/>
      <c r="HT222" s="60"/>
      <c r="HU222" s="60"/>
      <c r="HV222" s="60"/>
      <c r="HW222" s="60"/>
      <c r="HX222" s="60"/>
      <c r="HY222" s="60"/>
      <c r="HZ222" s="60"/>
      <c r="IA222" s="60"/>
      <c r="IB222" s="60"/>
      <c r="IC222" s="60"/>
      <c r="ID222" s="60"/>
      <c r="IE222" s="60"/>
      <c r="IF222" s="60"/>
      <c r="IG222" s="60"/>
      <c r="IH222" s="60"/>
      <c r="II222" s="60"/>
      <c r="IJ222" s="60"/>
      <c r="IK222" s="60"/>
      <c r="IL222" s="60"/>
      <c r="IM222" s="60"/>
      <c r="IN222" s="60"/>
      <c r="IO222" s="60"/>
      <c r="IP222" s="60"/>
      <c r="IQ222" s="60"/>
      <c r="IR222" s="60"/>
      <c r="IS222" s="60"/>
      <c r="IT222" s="60"/>
      <c r="IU222" s="60"/>
      <c r="IV222" s="60"/>
      <c r="IW222" s="60"/>
      <c r="IX222" s="60"/>
      <c r="IY222" s="60"/>
      <c r="IZ222" s="60"/>
      <c r="JA222" s="60"/>
      <c r="JB222" s="60"/>
      <c r="JC222" s="60"/>
      <c r="JD222" s="60"/>
      <c r="JE222" s="60"/>
      <c r="JF222" s="60"/>
      <c r="JG222" s="60"/>
      <c r="JH222" s="60"/>
      <c r="JI222" s="60"/>
      <c r="JJ222" s="60"/>
      <c r="JK222" s="60"/>
      <c r="JL222" s="60"/>
      <c r="JM222" s="60"/>
      <c r="JN222" s="60"/>
      <c r="JO222" s="60"/>
      <c r="JP222" s="60"/>
      <c r="JQ222" s="60"/>
      <c r="JR222" s="60"/>
      <c r="JS222" s="60"/>
      <c r="JT222" s="60"/>
      <c r="JU222" s="60"/>
      <c r="JV222" s="60"/>
      <c r="JW222" s="60"/>
      <c r="JX222" s="60"/>
      <c r="JY222" s="60"/>
      <c r="JZ222" s="60"/>
      <c r="KA222" s="60"/>
      <c r="KB222" s="60"/>
      <c r="KC222" s="60"/>
      <c r="KD222" s="60"/>
      <c r="KE222" s="60"/>
      <c r="KF222" s="60"/>
      <c r="KG222" s="60"/>
      <c r="KH222" s="60"/>
      <c r="KI222" s="60"/>
      <c r="KJ222" s="60"/>
      <c r="KK222" s="60"/>
      <c r="KL222" s="60"/>
      <c r="KM222" s="60"/>
      <c r="KN222" s="60"/>
      <c r="KO222" s="60"/>
      <c r="KP222" s="60"/>
      <c r="KQ222" s="60"/>
      <c r="KR222" s="60"/>
      <c r="KS222" s="60"/>
      <c r="KT222" s="60"/>
      <c r="KU222" s="60"/>
      <c r="KV222" s="60"/>
      <c r="KW222" s="60"/>
      <c r="KX222" s="60"/>
      <c r="KY222" s="60"/>
      <c r="KZ222" s="60"/>
      <c r="LA222" s="60"/>
      <c r="LB222" s="60"/>
      <c r="LC222" s="60"/>
      <c r="LD222" s="60"/>
      <c r="LE222" s="60"/>
      <c r="LF222" s="60"/>
      <c r="LG222" s="60"/>
      <c r="LH222" s="60"/>
    </row>
    <row r="223" spans="1:320" s="146" customFormat="1" x14ac:dyDescent="0.25">
      <c r="A223" s="147"/>
      <c r="B223" s="1"/>
      <c r="C223" s="1"/>
      <c r="D223" s="1"/>
      <c r="F223" s="148">
        <v>4</v>
      </c>
      <c r="G223" s="148"/>
      <c r="T223" s="17"/>
      <c r="U223" s="17"/>
      <c r="V223" s="17"/>
      <c r="W223" s="17"/>
      <c r="X223" s="17"/>
      <c r="Y223" s="17"/>
      <c r="Z223" s="17"/>
      <c r="AA223" s="17"/>
      <c r="AB223" s="17"/>
      <c r="AC223" s="60"/>
      <c r="AD223" s="60"/>
      <c r="AE223" s="60"/>
      <c r="AF223" s="60"/>
      <c r="AG223" s="60"/>
      <c r="AH223" s="60"/>
      <c r="AI223" s="60"/>
      <c r="AJ223" s="60"/>
      <c r="AK223" s="60"/>
      <c r="AL223" s="60"/>
      <c r="AM223" s="60"/>
      <c r="AN223" s="60"/>
      <c r="AO223" s="60"/>
      <c r="AP223" s="60"/>
      <c r="AQ223" s="60"/>
      <c r="AR223" s="60"/>
      <c r="AS223" s="60"/>
      <c r="AT223" s="60"/>
      <c r="AU223" s="60"/>
      <c r="AV223" s="60"/>
      <c r="AW223" s="60"/>
      <c r="AX223" s="60"/>
      <c r="AY223" s="60"/>
      <c r="AZ223" s="60"/>
      <c r="BA223" s="60"/>
      <c r="BB223" s="60"/>
      <c r="BC223" s="60"/>
      <c r="BD223" s="60"/>
      <c r="BE223" s="60"/>
      <c r="BF223" s="60"/>
      <c r="BG223" s="60"/>
      <c r="BH223" s="60"/>
      <c r="BI223" s="60"/>
      <c r="BJ223" s="60"/>
      <c r="BK223" s="60"/>
      <c r="BL223" s="60"/>
      <c r="BM223" s="60"/>
      <c r="BN223" s="60"/>
      <c r="BO223" s="60"/>
      <c r="BP223" s="60"/>
      <c r="BQ223" s="60"/>
      <c r="BR223" s="60"/>
      <c r="BS223" s="60"/>
      <c r="BT223" s="60"/>
      <c r="BU223" s="60"/>
      <c r="BV223" s="60"/>
      <c r="BW223" s="60"/>
      <c r="BX223" s="60"/>
      <c r="BY223" s="60"/>
      <c r="BZ223" s="60"/>
      <c r="CA223" s="60"/>
      <c r="CB223" s="60"/>
      <c r="CC223" s="60"/>
      <c r="CD223" s="60"/>
      <c r="CE223" s="60"/>
      <c r="CF223" s="60"/>
      <c r="CG223" s="60"/>
      <c r="CH223" s="60"/>
      <c r="CI223" s="60"/>
      <c r="CJ223" s="60"/>
      <c r="CK223" s="60"/>
      <c r="CL223" s="60"/>
      <c r="CM223" s="60"/>
      <c r="CN223" s="60"/>
      <c r="CO223" s="60"/>
      <c r="CP223" s="60"/>
      <c r="CQ223" s="60"/>
      <c r="CR223" s="60"/>
      <c r="CS223" s="60"/>
      <c r="CT223" s="60"/>
      <c r="CU223" s="60"/>
      <c r="CV223" s="60"/>
      <c r="CW223" s="60"/>
      <c r="CX223" s="60"/>
      <c r="CY223" s="60"/>
      <c r="CZ223" s="60"/>
      <c r="DA223" s="60"/>
      <c r="DB223" s="60"/>
      <c r="DC223" s="60"/>
      <c r="DD223" s="60"/>
      <c r="DE223" s="60"/>
      <c r="DF223" s="60"/>
      <c r="DG223" s="60"/>
      <c r="DH223" s="60"/>
      <c r="DI223" s="60"/>
      <c r="DJ223" s="60"/>
      <c r="DK223" s="60"/>
      <c r="DL223" s="60"/>
      <c r="DM223" s="60"/>
      <c r="DN223" s="60"/>
      <c r="DO223" s="60"/>
      <c r="DP223" s="60"/>
      <c r="DQ223" s="60"/>
      <c r="DR223" s="60"/>
      <c r="DS223" s="60"/>
      <c r="DT223" s="60"/>
      <c r="DU223" s="60"/>
      <c r="DV223" s="60"/>
      <c r="DW223" s="60"/>
      <c r="DX223" s="60"/>
      <c r="DY223" s="60"/>
      <c r="DZ223" s="60"/>
      <c r="EA223" s="60"/>
      <c r="EB223" s="60"/>
      <c r="EC223" s="60"/>
      <c r="ED223" s="60"/>
      <c r="EE223" s="60"/>
      <c r="EF223" s="60"/>
      <c r="EG223" s="60"/>
      <c r="EH223" s="60"/>
      <c r="EI223" s="60"/>
      <c r="EJ223" s="60"/>
      <c r="EK223" s="60"/>
      <c r="EL223" s="60"/>
      <c r="EM223" s="60"/>
      <c r="EN223" s="60"/>
      <c r="EO223" s="60"/>
      <c r="EP223" s="60"/>
      <c r="EQ223" s="60"/>
      <c r="ER223" s="60"/>
      <c r="ES223" s="60"/>
      <c r="ET223" s="60"/>
      <c r="EU223" s="60"/>
      <c r="EV223" s="60"/>
      <c r="EW223" s="60"/>
      <c r="EX223" s="60"/>
      <c r="EY223" s="60"/>
      <c r="EZ223" s="60"/>
      <c r="FA223" s="60"/>
      <c r="FB223" s="60"/>
      <c r="FC223" s="60"/>
      <c r="FD223" s="60"/>
      <c r="FE223" s="60"/>
      <c r="FF223" s="60"/>
      <c r="FG223" s="60"/>
      <c r="FH223" s="60"/>
      <c r="FI223" s="60"/>
      <c r="FJ223" s="60"/>
      <c r="FK223" s="60"/>
      <c r="FL223" s="60"/>
      <c r="FM223" s="60"/>
      <c r="FN223" s="60"/>
      <c r="FO223" s="60"/>
      <c r="FP223" s="60"/>
      <c r="FQ223" s="60"/>
      <c r="FR223" s="60"/>
      <c r="FS223" s="60"/>
      <c r="FT223" s="60"/>
      <c r="FU223" s="60"/>
      <c r="FV223" s="60"/>
      <c r="FW223" s="60"/>
      <c r="FX223" s="60"/>
      <c r="FY223" s="60"/>
      <c r="FZ223" s="60"/>
      <c r="GA223" s="60"/>
      <c r="GB223" s="60"/>
      <c r="GC223" s="60"/>
      <c r="GD223" s="60"/>
      <c r="GE223" s="60"/>
      <c r="GF223" s="60"/>
      <c r="GG223" s="60"/>
      <c r="GH223" s="60"/>
      <c r="GI223" s="60"/>
      <c r="GJ223" s="60"/>
      <c r="GK223" s="60"/>
      <c r="GL223" s="60"/>
      <c r="GM223" s="60"/>
      <c r="GN223" s="60"/>
      <c r="GO223" s="60"/>
      <c r="GP223" s="60"/>
      <c r="GQ223" s="60"/>
      <c r="GR223" s="60"/>
      <c r="GS223" s="60"/>
      <c r="GT223" s="60"/>
      <c r="GU223" s="60"/>
      <c r="GV223" s="60"/>
      <c r="GW223" s="60"/>
      <c r="GX223" s="60"/>
      <c r="GY223" s="60"/>
      <c r="GZ223" s="60"/>
      <c r="HA223" s="60"/>
      <c r="HB223" s="60"/>
      <c r="HC223" s="60"/>
      <c r="HD223" s="60"/>
      <c r="HE223" s="60"/>
      <c r="HF223" s="60"/>
      <c r="HG223" s="60"/>
      <c r="HH223" s="60"/>
      <c r="HI223" s="60"/>
      <c r="HJ223" s="60"/>
      <c r="HK223" s="60"/>
      <c r="HL223" s="60"/>
      <c r="HM223" s="60"/>
      <c r="HN223" s="60"/>
      <c r="HO223" s="60"/>
      <c r="HP223" s="60"/>
      <c r="HQ223" s="60"/>
      <c r="HR223" s="60"/>
      <c r="HS223" s="60"/>
      <c r="HT223" s="60"/>
      <c r="HU223" s="60"/>
      <c r="HV223" s="60"/>
      <c r="HW223" s="60"/>
      <c r="HX223" s="60"/>
      <c r="HY223" s="60"/>
      <c r="HZ223" s="60"/>
      <c r="IA223" s="60"/>
      <c r="IB223" s="60"/>
      <c r="IC223" s="60"/>
      <c r="ID223" s="60"/>
      <c r="IE223" s="60"/>
      <c r="IF223" s="60"/>
      <c r="IG223" s="60"/>
      <c r="IH223" s="60"/>
      <c r="II223" s="60"/>
      <c r="IJ223" s="60"/>
      <c r="IK223" s="60"/>
      <c r="IL223" s="60"/>
      <c r="IM223" s="60"/>
      <c r="IN223" s="60"/>
      <c r="IO223" s="60"/>
      <c r="IP223" s="60"/>
      <c r="IQ223" s="60"/>
      <c r="IR223" s="60"/>
      <c r="IS223" s="60"/>
      <c r="IT223" s="60"/>
      <c r="IU223" s="60"/>
      <c r="IV223" s="60"/>
      <c r="IW223" s="60"/>
      <c r="IX223" s="60"/>
      <c r="IY223" s="60"/>
      <c r="IZ223" s="60"/>
      <c r="JA223" s="60"/>
      <c r="JB223" s="60"/>
      <c r="JC223" s="60"/>
      <c r="JD223" s="60"/>
      <c r="JE223" s="60"/>
      <c r="JF223" s="60"/>
      <c r="JG223" s="60"/>
      <c r="JH223" s="60"/>
      <c r="JI223" s="60"/>
      <c r="JJ223" s="60"/>
      <c r="JK223" s="60"/>
      <c r="JL223" s="60"/>
      <c r="JM223" s="60"/>
      <c r="JN223" s="60"/>
      <c r="JO223" s="60"/>
      <c r="JP223" s="60"/>
      <c r="JQ223" s="60"/>
      <c r="JR223" s="60"/>
      <c r="JS223" s="60"/>
      <c r="JT223" s="60"/>
      <c r="JU223" s="60"/>
      <c r="JV223" s="60"/>
      <c r="JW223" s="60"/>
      <c r="JX223" s="60"/>
      <c r="JY223" s="60"/>
      <c r="JZ223" s="60"/>
      <c r="KA223" s="60"/>
      <c r="KB223" s="60"/>
      <c r="KC223" s="60"/>
      <c r="KD223" s="60"/>
      <c r="KE223" s="60"/>
      <c r="KF223" s="60"/>
      <c r="KG223" s="60"/>
      <c r="KH223" s="60"/>
      <c r="KI223" s="60"/>
      <c r="KJ223" s="60"/>
      <c r="KK223" s="60"/>
      <c r="KL223" s="60"/>
      <c r="KM223" s="60"/>
      <c r="KN223" s="60"/>
      <c r="KO223" s="60"/>
      <c r="KP223" s="60"/>
      <c r="KQ223" s="60"/>
      <c r="KR223" s="60"/>
      <c r="KS223" s="60"/>
      <c r="KT223" s="60"/>
      <c r="KU223" s="60"/>
      <c r="KV223" s="60"/>
      <c r="KW223" s="60"/>
      <c r="KX223" s="60"/>
      <c r="KY223" s="60"/>
      <c r="KZ223" s="60"/>
      <c r="LA223" s="60"/>
      <c r="LB223" s="60"/>
      <c r="LC223" s="60"/>
      <c r="LD223" s="60"/>
      <c r="LE223" s="60"/>
      <c r="LF223" s="60"/>
      <c r="LG223" s="60"/>
      <c r="LH223" s="60"/>
    </row>
    <row r="224" spans="1:320" s="146" customFormat="1" x14ac:dyDescent="0.25">
      <c r="A224" s="147"/>
      <c r="B224" s="1"/>
      <c r="C224" s="1"/>
      <c r="D224" s="1"/>
      <c r="F224" s="148">
        <v>5</v>
      </c>
      <c r="G224" s="148"/>
      <c r="T224" s="17"/>
      <c r="U224" s="17"/>
      <c r="V224" s="17"/>
      <c r="W224" s="17"/>
      <c r="X224" s="17"/>
      <c r="Y224" s="17"/>
      <c r="Z224" s="17"/>
      <c r="AA224" s="17"/>
      <c r="AB224" s="17"/>
      <c r="AC224" s="60"/>
      <c r="AD224" s="60"/>
      <c r="AE224" s="60"/>
      <c r="AF224" s="60"/>
      <c r="AG224" s="60"/>
      <c r="AH224" s="60"/>
      <c r="AI224" s="60"/>
      <c r="AJ224" s="60"/>
      <c r="AK224" s="60"/>
      <c r="AL224" s="60"/>
      <c r="AM224" s="60"/>
      <c r="AN224" s="60"/>
      <c r="AO224" s="60"/>
      <c r="AP224" s="60"/>
      <c r="AQ224" s="60"/>
      <c r="AR224" s="60"/>
      <c r="AS224" s="60"/>
      <c r="AT224" s="60"/>
      <c r="AU224" s="60"/>
      <c r="AV224" s="60"/>
      <c r="AW224" s="60"/>
      <c r="AX224" s="60"/>
      <c r="AY224" s="60"/>
      <c r="AZ224" s="60"/>
      <c r="BA224" s="60"/>
      <c r="BB224" s="60"/>
      <c r="BC224" s="60"/>
      <c r="BD224" s="60"/>
      <c r="BE224" s="60"/>
      <c r="BF224" s="60"/>
      <c r="BG224" s="60"/>
      <c r="BH224" s="60"/>
      <c r="BI224" s="60"/>
      <c r="BJ224" s="60"/>
      <c r="BK224" s="60"/>
      <c r="BL224" s="60"/>
      <c r="BM224" s="60"/>
      <c r="BN224" s="60"/>
      <c r="BO224" s="60"/>
      <c r="BP224" s="60"/>
      <c r="BQ224" s="60"/>
      <c r="BR224" s="60"/>
      <c r="BS224" s="60"/>
      <c r="BT224" s="60"/>
      <c r="BU224" s="60"/>
      <c r="BV224" s="60"/>
      <c r="BW224" s="60"/>
      <c r="BX224" s="60"/>
      <c r="BY224" s="60"/>
      <c r="BZ224" s="60"/>
      <c r="CA224" s="60"/>
      <c r="CB224" s="60"/>
      <c r="CC224" s="60"/>
      <c r="CD224" s="60"/>
      <c r="CE224" s="60"/>
      <c r="CF224" s="60"/>
      <c r="CG224" s="60"/>
      <c r="CH224" s="60"/>
      <c r="CI224" s="60"/>
      <c r="CJ224" s="60"/>
      <c r="CK224" s="60"/>
      <c r="CL224" s="60"/>
      <c r="CM224" s="60"/>
      <c r="CN224" s="60"/>
      <c r="CO224" s="60"/>
      <c r="CP224" s="60"/>
      <c r="CQ224" s="60"/>
      <c r="CR224" s="60"/>
      <c r="CS224" s="60"/>
      <c r="CT224" s="60"/>
      <c r="CU224" s="60"/>
      <c r="CV224" s="60"/>
      <c r="CW224" s="60"/>
      <c r="CX224" s="60"/>
      <c r="CY224" s="60"/>
      <c r="CZ224" s="60"/>
      <c r="DA224" s="60"/>
      <c r="DB224" s="60"/>
      <c r="DC224" s="60"/>
      <c r="DD224" s="60"/>
      <c r="DE224" s="60"/>
      <c r="DF224" s="60"/>
      <c r="DG224" s="60"/>
      <c r="DH224" s="60"/>
      <c r="DI224" s="60"/>
      <c r="DJ224" s="60"/>
      <c r="DK224" s="60"/>
      <c r="DL224" s="60"/>
      <c r="DM224" s="60"/>
      <c r="DN224" s="60"/>
      <c r="DO224" s="60"/>
      <c r="DP224" s="60"/>
      <c r="DQ224" s="60"/>
      <c r="DR224" s="60"/>
      <c r="DS224" s="60"/>
      <c r="DT224" s="60"/>
      <c r="DU224" s="60"/>
      <c r="DV224" s="60"/>
      <c r="DW224" s="60"/>
      <c r="DX224" s="60"/>
      <c r="DY224" s="60"/>
      <c r="DZ224" s="60"/>
      <c r="EA224" s="60"/>
      <c r="EB224" s="60"/>
      <c r="EC224" s="60"/>
      <c r="ED224" s="60"/>
      <c r="EE224" s="60"/>
      <c r="EF224" s="60"/>
      <c r="EG224" s="60"/>
      <c r="EH224" s="60"/>
      <c r="EI224" s="60"/>
      <c r="EJ224" s="60"/>
      <c r="EK224" s="60"/>
      <c r="EL224" s="60"/>
      <c r="EM224" s="60"/>
      <c r="EN224" s="60"/>
      <c r="EO224" s="60"/>
      <c r="EP224" s="60"/>
      <c r="EQ224" s="60"/>
      <c r="ER224" s="60"/>
      <c r="ES224" s="60"/>
      <c r="ET224" s="60"/>
      <c r="EU224" s="60"/>
      <c r="EV224" s="60"/>
      <c r="EW224" s="60"/>
      <c r="EX224" s="60"/>
      <c r="EY224" s="60"/>
      <c r="EZ224" s="60"/>
      <c r="FA224" s="60"/>
      <c r="FB224" s="60"/>
      <c r="FC224" s="60"/>
      <c r="FD224" s="60"/>
      <c r="FE224" s="60"/>
      <c r="FF224" s="60"/>
      <c r="FG224" s="60"/>
      <c r="FH224" s="60"/>
      <c r="FI224" s="60"/>
      <c r="FJ224" s="60"/>
      <c r="FK224" s="60"/>
      <c r="FL224" s="60"/>
      <c r="FM224" s="60"/>
      <c r="FN224" s="60"/>
      <c r="FO224" s="60"/>
      <c r="FP224" s="60"/>
      <c r="FQ224" s="60"/>
      <c r="FR224" s="60"/>
      <c r="FS224" s="60"/>
      <c r="FT224" s="60"/>
      <c r="FU224" s="60"/>
      <c r="FV224" s="60"/>
      <c r="FW224" s="60"/>
      <c r="FX224" s="60"/>
      <c r="FY224" s="60"/>
      <c r="FZ224" s="60"/>
      <c r="GA224" s="60"/>
      <c r="GB224" s="60"/>
      <c r="GC224" s="60"/>
      <c r="GD224" s="60"/>
      <c r="GE224" s="60"/>
      <c r="GF224" s="60"/>
      <c r="GG224" s="60"/>
      <c r="GH224" s="60"/>
      <c r="GI224" s="60"/>
      <c r="GJ224" s="60"/>
      <c r="GK224" s="60"/>
      <c r="GL224" s="60"/>
      <c r="GM224" s="60"/>
      <c r="GN224" s="60"/>
      <c r="GO224" s="60"/>
      <c r="GP224" s="60"/>
      <c r="GQ224" s="60"/>
      <c r="GR224" s="60"/>
      <c r="GS224" s="60"/>
      <c r="GT224" s="60"/>
      <c r="GU224" s="60"/>
      <c r="GV224" s="60"/>
      <c r="GW224" s="60"/>
      <c r="GX224" s="60"/>
      <c r="GY224" s="60"/>
      <c r="GZ224" s="60"/>
      <c r="HA224" s="60"/>
      <c r="HB224" s="60"/>
      <c r="HC224" s="60"/>
      <c r="HD224" s="60"/>
      <c r="HE224" s="60"/>
      <c r="HF224" s="60"/>
      <c r="HG224" s="60"/>
      <c r="HH224" s="60"/>
      <c r="HI224" s="60"/>
      <c r="HJ224" s="60"/>
      <c r="HK224" s="60"/>
      <c r="HL224" s="60"/>
      <c r="HM224" s="60"/>
      <c r="HN224" s="60"/>
      <c r="HO224" s="60"/>
      <c r="HP224" s="60"/>
      <c r="HQ224" s="60"/>
      <c r="HR224" s="60"/>
      <c r="HS224" s="60"/>
      <c r="HT224" s="60"/>
      <c r="HU224" s="60"/>
      <c r="HV224" s="60"/>
      <c r="HW224" s="60"/>
      <c r="HX224" s="60"/>
      <c r="HY224" s="60"/>
      <c r="HZ224" s="60"/>
      <c r="IA224" s="60"/>
      <c r="IB224" s="60"/>
      <c r="IC224" s="60"/>
      <c r="ID224" s="60"/>
      <c r="IE224" s="60"/>
      <c r="IF224" s="60"/>
      <c r="IG224" s="60"/>
      <c r="IH224" s="60"/>
      <c r="II224" s="60"/>
      <c r="IJ224" s="60"/>
      <c r="IK224" s="60"/>
      <c r="IL224" s="60"/>
      <c r="IM224" s="60"/>
      <c r="IN224" s="60"/>
      <c r="IO224" s="60"/>
      <c r="IP224" s="60"/>
      <c r="IQ224" s="60"/>
      <c r="IR224" s="60"/>
      <c r="IS224" s="60"/>
      <c r="IT224" s="60"/>
      <c r="IU224" s="60"/>
      <c r="IV224" s="60"/>
      <c r="IW224" s="60"/>
      <c r="IX224" s="60"/>
      <c r="IY224" s="60"/>
      <c r="IZ224" s="60"/>
      <c r="JA224" s="60"/>
      <c r="JB224" s="60"/>
      <c r="JC224" s="60"/>
      <c r="JD224" s="60"/>
      <c r="JE224" s="60"/>
      <c r="JF224" s="60"/>
      <c r="JG224" s="60"/>
      <c r="JH224" s="60"/>
      <c r="JI224" s="60"/>
      <c r="JJ224" s="60"/>
      <c r="JK224" s="60"/>
      <c r="JL224" s="60"/>
      <c r="JM224" s="60"/>
      <c r="JN224" s="60"/>
      <c r="JO224" s="60"/>
      <c r="JP224" s="60"/>
      <c r="JQ224" s="60"/>
      <c r="JR224" s="60"/>
      <c r="JS224" s="60"/>
      <c r="JT224" s="60"/>
      <c r="JU224" s="60"/>
      <c r="JV224" s="60"/>
      <c r="JW224" s="60"/>
      <c r="JX224" s="60"/>
      <c r="JY224" s="60"/>
      <c r="JZ224" s="60"/>
      <c r="KA224" s="60"/>
      <c r="KB224" s="60"/>
      <c r="KC224" s="60"/>
      <c r="KD224" s="60"/>
      <c r="KE224" s="60"/>
      <c r="KF224" s="60"/>
      <c r="KG224" s="60"/>
      <c r="KH224" s="60"/>
      <c r="KI224" s="60"/>
      <c r="KJ224" s="60"/>
      <c r="KK224" s="60"/>
      <c r="KL224" s="60"/>
      <c r="KM224" s="60"/>
      <c r="KN224" s="60"/>
      <c r="KO224" s="60"/>
      <c r="KP224" s="60"/>
      <c r="KQ224" s="60"/>
      <c r="KR224" s="60"/>
      <c r="KS224" s="60"/>
      <c r="KT224" s="60"/>
      <c r="KU224" s="60"/>
      <c r="KV224" s="60"/>
      <c r="KW224" s="60"/>
      <c r="KX224" s="60"/>
      <c r="KY224" s="60"/>
      <c r="KZ224" s="60"/>
      <c r="LA224" s="60"/>
      <c r="LB224" s="60"/>
      <c r="LC224" s="60"/>
      <c r="LD224" s="60"/>
      <c r="LE224" s="60"/>
      <c r="LF224" s="60"/>
      <c r="LG224" s="60"/>
      <c r="LH224" s="60"/>
    </row>
    <row r="225" spans="1:320" s="146" customFormat="1" x14ac:dyDescent="0.25">
      <c r="A225" s="147"/>
      <c r="B225" s="1"/>
      <c r="C225" s="1"/>
      <c r="D225" s="1"/>
      <c r="F225" s="148">
        <v>6</v>
      </c>
      <c r="G225" s="148"/>
      <c r="T225" s="17"/>
      <c r="U225" s="17"/>
      <c r="V225" s="17"/>
      <c r="W225" s="17"/>
      <c r="X225" s="17"/>
      <c r="Y225" s="17"/>
      <c r="Z225" s="17"/>
      <c r="AA225" s="17"/>
      <c r="AB225" s="17"/>
      <c r="AC225" s="60"/>
      <c r="AD225" s="60"/>
      <c r="AE225" s="60"/>
      <c r="AF225" s="60"/>
      <c r="AG225" s="60"/>
      <c r="AH225" s="60"/>
      <c r="AI225" s="60"/>
      <c r="AJ225" s="60"/>
      <c r="AK225" s="60"/>
      <c r="AL225" s="60"/>
      <c r="AM225" s="60"/>
      <c r="AN225" s="60"/>
      <c r="AO225" s="60"/>
      <c r="AP225" s="60"/>
      <c r="AQ225" s="60"/>
      <c r="AR225" s="60"/>
      <c r="AS225" s="60"/>
      <c r="AT225" s="60"/>
      <c r="AU225" s="60"/>
      <c r="AV225" s="60"/>
      <c r="AW225" s="60"/>
      <c r="AX225" s="60"/>
      <c r="AY225" s="60"/>
      <c r="AZ225" s="60"/>
      <c r="BA225" s="60"/>
      <c r="BB225" s="60"/>
      <c r="BC225" s="60"/>
      <c r="BD225" s="60"/>
      <c r="BE225" s="60"/>
      <c r="BF225" s="60"/>
      <c r="BG225" s="60"/>
      <c r="BH225" s="60"/>
      <c r="BI225" s="60"/>
      <c r="BJ225" s="60"/>
      <c r="BK225" s="60"/>
      <c r="BL225" s="60"/>
      <c r="BM225" s="60"/>
      <c r="BN225" s="60"/>
      <c r="BO225" s="60"/>
      <c r="BP225" s="60"/>
      <c r="BQ225" s="60"/>
      <c r="BR225" s="60"/>
      <c r="BS225" s="60"/>
      <c r="BT225" s="60"/>
      <c r="BU225" s="60"/>
      <c r="BV225" s="60"/>
      <c r="BW225" s="60"/>
      <c r="BX225" s="60"/>
      <c r="BY225" s="60"/>
      <c r="BZ225" s="60"/>
      <c r="CA225" s="60"/>
      <c r="CB225" s="60"/>
      <c r="CC225" s="60"/>
      <c r="CD225" s="60"/>
      <c r="CE225" s="60"/>
      <c r="CF225" s="60"/>
      <c r="CG225" s="60"/>
      <c r="CH225" s="60"/>
      <c r="CI225" s="60"/>
      <c r="CJ225" s="60"/>
      <c r="CK225" s="60"/>
      <c r="CL225" s="60"/>
      <c r="CM225" s="60"/>
      <c r="CN225" s="60"/>
      <c r="CO225" s="60"/>
      <c r="CP225" s="60"/>
      <c r="CQ225" s="60"/>
      <c r="CR225" s="60"/>
      <c r="CS225" s="60"/>
      <c r="CT225" s="60"/>
      <c r="CU225" s="60"/>
      <c r="CV225" s="60"/>
      <c r="CW225" s="60"/>
      <c r="CX225" s="60"/>
      <c r="CY225" s="60"/>
      <c r="CZ225" s="60"/>
      <c r="DA225" s="60"/>
      <c r="DB225" s="60"/>
      <c r="DC225" s="60"/>
      <c r="DD225" s="60"/>
      <c r="DE225" s="60"/>
      <c r="DF225" s="60"/>
      <c r="DG225" s="60"/>
      <c r="DH225" s="60"/>
      <c r="DI225" s="60"/>
      <c r="DJ225" s="60"/>
      <c r="DK225" s="60"/>
      <c r="DL225" s="60"/>
      <c r="DM225" s="60"/>
      <c r="DN225" s="60"/>
      <c r="DO225" s="60"/>
      <c r="DP225" s="60"/>
      <c r="DQ225" s="60"/>
      <c r="DR225" s="60"/>
      <c r="DS225" s="60"/>
      <c r="DT225" s="60"/>
      <c r="DU225" s="60"/>
      <c r="DV225" s="60"/>
      <c r="DW225" s="60"/>
      <c r="DX225" s="60"/>
      <c r="DY225" s="60"/>
      <c r="DZ225" s="60"/>
      <c r="EA225" s="60"/>
      <c r="EB225" s="60"/>
      <c r="EC225" s="60"/>
      <c r="ED225" s="60"/>
      <c r="EE225" s="60"/>
      <c r="EF225" s="60"/>
      <c r="EG225" s="60"/>
      <c r="EH225" s="60"/>
      <c r="EI225" s="60"/>
      <c r="EJ225" s="60"/>
      <c r="EK225" s="60"/>
      <c r="EL225" s="60"/>
      <c r="EM225" s="60"/>
      <c r="EN225" s="60"/>
      <c r="EO225" s="60"/>
      <c r="EP225" s="60"/>
      <c r="EQ225" s="60"/>
      <c r="ER225" s="60"/>
      <c r="ES225" s="60"/>
      <c r="ET225" s="60"/>
      <c r="EU225" s="60"/>
      <c r="EV225" s="60"/>
      <c r="EW225" s="60"/>
      <c r="EX225" s="60"/>
      <c r="EY225" s="60"/>
      <c r="EZ225" s="60"/>
      <c r="FA225" s="60"/>
      <c r="FB225" s="60"/>
      <c r="FC225" s="60"/>
      <c r="FD225" s="60"/>
      <c r="FE225" s="60"/>
      <c r="FF225" s="60"/>
      <c r="FG225" s="60"/>
      <c r="FH225" s="60"/>
      <c r="FI225" s="60"/>
      <c r="FJ225" s="60"/>
      <c r="FK225" s="60"/>
      <c r="FL225" s="60"/>
      <c r="FM225" s="60"/>
      <c r="FN225" s="60"/>
      <c r="FO225" s="60"/>
      <c r="FP225" s="60"/>
      <c r="FQ225" s="60"/>
      <c r="FR225" s="60"/>
      <c r="FS225" s="60"/>
      <c r="FT225" s="60"/>
      <c r="FU225" s="60"/>
      <c r="FV225" s="60"/>
      <c r="FW225" s="60"/>
      <c r="FX225" s="60"/>
      <c r="FY225" s="60"/>
      <c r="FZ225" s="60"/>
      <c r="GA225" s="60"/>
      <c r="GB225" s="60"/>
      <c r="GC225" s="60"/>
      <c r="GD225" s="60"/>
      <c r="GE225" s="60"/>
      <c r="GF225" s="60"/>
      <c r="GG225" s="60"/>
      <c r="GH225" s="60"/>
      <c r="GI225" s="60"/>
      <c r="GJ225" s="60"/>
      <c r="GK225" s="60"/>
      <c r="GL225" s="60"/>
      <c r="GM225" s="60"/>
      <c r="GN225" s="60"/>
      <c r="GO225" s="60"/>
      <c r="GP225" s="60"/>
      <c r="GQ225" s="60"/>
      <c r="GR225" s="60"/>
      <c r="GS225" s="60"/>
      <c r="GT225" s="60"/>
      <c r="GU225" s="60"/>
      <c r="GV225" s="60"/>
      <c r="GW225" s="60"/>
      <c r="GX225" s="60"/>
      <c r="GY225" s="60"/>
      <c r="GZ225" s="60"/>
      <c r="HA225" s="60"/>
      <c r="HB225" s="60"/>
      <c r="HC225" s="60"/>
      <c r="HD225" s="60"/>
      <c r="HE225" s="60"/>
      <c r="HF225" s="60"/>
      <c r="HG225" s="60"/>
      <c r="HH225" s="60"/>
      <c r="HI225" s="60"/>
      <c r="HJ225" s="60"/>
      <c r="HK225" s="60"/>
      <c r="HL225" s="60"/>
      <c r="HM225" s="60"/>
      <c r="HN225" s="60"/>
      <c r="HO225" s="60"/>
      <c r="HP225" s="60"/>
      <c r="HQ225" s="60"/>
      <c r="HR225" s="60"/>
      <c r="HS225" s="60"/>
      <c r="HT225" s="60"/>
      <c r="HU225" s="60"/>
      <c r="HV225" s="60"/>
      <c r="HW225" s="60"/>
      <c r="HX225" s="60"/>
      <c r="HY225" s="60"/>
      <c r="HZ225" s="60"/>
      <c r="IA225" s="60"/>
      <c r="IB225" s="60"/>
      <c r="IC225" s="60"/>
      <c r="ID225" s="60"/>
      <c r="IE225" s="60"/>
      <c r="IF225" s="60"/>
      <c r="IG225" s="60"/>
      <c r="IH225" s="60"/>
      <c r="II225" s="60"/>
      <c r="IJ225" s="60"/>
      <c r="IK225" s="60"/>
      <c r="IL225" s="60"/>
      <c r="IM225" s="60"/>
      <c r="IN225" s="60"/>
      <c r="IO225" s="60"/>
      <c r="IP225" s="60"/>
      <c r="IQ225" s="60"/>
      <c r="IR225" s="60"/>
      <c r="IS225" s="60"/>
      <c r="IT225" s="60"/>
      <c r="IU225" s="60"/>
      <c r="IV225" s="60"/>
      <c r="IW225" s="60"/>
      <c r="IX225" s="60"/>
      <c r="IY225" s="60"/>
      <c r="IZ225" s="60"/>
      <c r="JA225" s="60"/>
      <c r="JB225" s="60"/>
      <c r="JC225" s="60"/>
      <c r="JD225" s="60"/>
      <c r="JE225" s="60"/>
      <c r="JF225" s="60"/>
      <c r="JG225" s="60"/>
      <c r="JH225" s="60"/>
      <c r="JI225" s="60"/>
      <c r="JJ225" s="60"/>
      <c r="JK225" s="60"/>
      <c r="JL225" s="60"/>
      <c r="JM225" s="60"/>
      <c r="JN225" s="60"/>
      <c r="JO225" s="60"/>
      <c r="JP225" s="60"/>
      <c r="JQ225" s="60"/>
      <c r="JR225" s="60"/>
      <c r="JS225" s="60"/>
      <c r="JT225" s="60"/>
      <c r="JU225" s="60"/>
      <c r="JV225" s="60"/>
      <c r="JW225" s="60"/>
      <c r="JX225" s="60"/>
      <c r="JY225" s="60"/>
      <c r="JZ225" s="60"/>
      <c r="KA225" s="60"/>
      <c r="KB225" s="60"/>
      <c r="KC225" s="60"/>
      <c r="KD225" s="60"/>
      <c r="KE225" s="60"/>
      <c r="KF225" s="60"/>
      <c r="KG225" s="60"/>
      <c r="KH225" s="60"/>
      <c r="KI225" s="60"/>
      <c r="KJ225" s="60"/>
      <c r="KK225" s="60"/>
      <c r="KL225" s="60"/>
      <c r="KM225" s="60"/>
      <c r="KN225" s="60"/>
      <c r="KO225" s="60"/>
      <c r="KP225" s="60"/>
      <c r="KQ225" s="60"/>
      <c r="KR225" s="60"/>
      <c r="KS225" s="60"/>
      <c r="KT225" s="60"/>
      <c r="KU225" s="60"/>
      <c r="KV225" s="60"/>
      <c r="KW225" s="60"/>
      <c r="KX225" s="60"/>
      <c r="KY225" s="60"/>
      <c r="KZ225" s="60"/>
      <c r="LA225" s="60"/>
      <c r="LB225" s="60"/>
      <c r="LC225" s="60"/>
      <c r="LD225" s="60"/>
      <c r="LE225" s="60"/>
      <c r="LF225" s="60"/>
      <c r="LG225" s="60"/>
      <c r="LH225" s="60"/>
    </row>
    <row r="226" spans="1:320" s="146" customFormat="1" x14ac:dyDescent="0.25">
      <c r="A226" s="147"/>
      <c r="B226" s="1"/>
      <c r="C226" s="1"/>
      <c r="D226" s="1"/>
      <c r="F226" s="148">
        <v>7</v>
      </c>
      <c r="G226" s="148"/>
      <c r="T226" s="17"/>
      <c r="U226" s="17"/>
      <c r="V226" s="17"/>
      <c r="W226" s="17"/>
      <c r="X226" s="17"/>
      <c r="Y226" s="17"/>
      <c r="Z226" s="17"/>
      <c r="AA226" s="17"/>
      <c r="AB226" s="17"/>
      <c r="AC226" s="60"/>
      <c r="AD226" s="60"/>
      <c r="AE226" s="60"/>
      <c r="AF226" s="60"/>
      <c r="AG226" s="60"/>
      <c r="AH226" s="60"/>
      <c r="AI226" s="60"/>
      <c r="AJ226" s="60"/>
      <c r="AK226" s="60"/>
      <c r="AL226" s="60"/>
      <c r="AM226" s="60"/>
      <c r="AN226" s="60"/>
      <c r="AO226" s="60"/>
      <c r="AP226" s="60"/>
      <c r="AQ226" s="60"/>
      <c r="AR226" s="60"/>
      <c r="AS226" s="60"/>
      <c r="AT226" s="60"/>
      <c r="AU226" s="60"/>
      <c r="AV226" s="60"/>
      <c r="AW226" s="60"/>
      <c r="AX226" s="60"/>
      <c r="AY226" s="60"/>
      <c r="AZ226" s="60"/>
      <c r="BA226" s="60"/>
      <c r="BB226" s="60"/>
      <c r="BC226" s="60"/>
      <c r="BD226" s="60"/>
      <c r="BE226" s="60"/>
      <c r="BF226" s="60"/>
      <c r="BG226" s="60"/>
      <c r="BH226" s="60"/>
      <c r="BI226" s="60"/>
      <c r="BJ226" s="60"/>
      <c r="BK226" s="60"/>
      <c r="BL226" s="60"/>
      <c r="BM226" s="60"/>
      <c r="BN226" s="60"/>
      <c r="BO226" s="60"/>
      <c r="BP226" s="60"/>
      <c r="BQ226" s="60"/>
      <c r="BR226" s="60"/>
      <c r="BS226" s="60"/>
      <c r="BT226" s="60"/>
      <c r="BU226" s="60"/>
      <c r="BV226" s="60"/>
      <c r="BW226" s="60"/>
      <c r="BX226" s="60"/>
      <c r="BY226" s="60"/>
      <c r="BZ226" s="60"/>
      <c r="CA226" s="60"/>
      <c r="CB226" s="60"/>
      <c r="CC226" s="60"/>
      <c r="CD226" s="60"/>
      <c r="CE226" s="60"/>
      <c r="CF226" s="60"/>
      <c r="CG226" s="60"/>
      <c r="CH226" s="60"/>
      <c r="CI226" s="60"/>
      <c r="CJ226" s="60"/>
      <c r="CK226" s="60"/>
      <c r="CL226" s="60"/>
      <c r="CM226" s="60"/>
      <c r="CN226" s="60"/>
      <c r="CO226" s="60"/>
      <c r="CP226" s="60"/>
      <c r="CQ226" s="60"/>
      <c r="CR226" s="60"/>
      <c r="CS226" s="60"/>
      <c r="CT226" s="60"/>
      <c r="CU226" s="60"/>
      <c r="CV226" s="60"/>
      <c r="CW226" s="60"/>
      <c r="CX226" s="60"/>
      <c r="CY226" s="60"/>
      <c r="CZ226" s="60"/>
      <c r="DA226" s="60"/>
      <c r="DB226" s="60"/>
      <c r="DC226" s="60"/>
      <c r="DD226" s="60"/>
      <c r="DE226" s="60"/>
      <c r="DF226" s="60"/>
      <c r="DG226" s="60"/>
      <c r="DH226" s="60"/>
      <c r="DI226" s="60"/>
      <c r="DJ226" s="60"/>
      <c r="DK226" s="60"/>
      <c r="DL226" s="60"/>
      <c r="DM226" s="60"/>
      <c r="DN226" s="60"/>
      <c r="DO226" s="60"/>
      <c r="DP226" s="60"/>
      <c r="DQ226" s="60"/>
      <c r="DR226" s="60"/>
      <c r="DS226" s="60"/>
      <c r="DT226" s="60"/>
      <c r="DU226" s="60"/>
      <c r="DV226" s="60"/>
      <c r="DW226" s="60"/>
      <c r="DX226" s="60"/>
      <c r="DY226" s="60"/>
      <c r="DZ226" s="60"/>
      <c r="EA226" s="60"/>
      <c r="EB226" s="60"/>
      <c r="EC226" s="60"/>
      <c r="ED226" s="60"/>
      <c r="EE226" s="60"/>
      <c r="EF226" s="60"/>
      <c r="EG226" s="60"/>
      <c r="EH226" s="60"/>
      <c r="EI226" s="60"/>
      <c r="EJ226" s="60"/>
      <c r="EK226" s="60"/>
      <c r="EL226" s="60"/>
      <c r="EM226" s="60"/>
      <c r="EN226" s="60"/>
      <c r="EO226" s="60"/>
      <c r="EP226" s="60"/>
      <c r="EQ226" s="60"/>
      <c r="ER226" s="60"/>
      <c r="ES226" s="60"/>
      <c r="ET226" s="60"/>
      <c r="EU226" s="60"/>
      <c r="EV226" s="60"/>
      <c r="EW226" s="60"/>
      <c r="EX226" s="60"/>
      <c r="EY226" s="60"/>
      <c r="EZ226" s="60"/>
      <c r="FA226" s="60"/>
      <c r="FB226" s="60"/>
      <c r="FC226" s="60"/>
      <c r="FD226" s="60"/>
      <c r="FE226" s="60"/>
      <c r="FF226" s="60"/>
      <c r="FG226" s="60"/>
      <c r="FH226" s="60"/>
      <c r="FI226" s="60"/>
      <c r="FJ226" s="60"/>
      <c r="FK226" s="60"/>
      <c r="FL226" s="60"/>
      <c r="FM226" s="60"/>
      <c r="FN226" s="60"/>
      <c r="FO226" s="60"/>
      <c r="FP226" s="60"/>
      <c r="FQ226" s="60"/>
      <c r="FR226" s="60"/>
      <c r="FS226" s="60"/>
      <c r="FT226" s="60"/>
      <c r="FU226" s="60"/>
      <c r="FV226" s="60"/>
      <c r="FW226" s="60"/>
      <c r="FX226" s="60"/>
      <c r="FY226" s="60"/>
      <c r="FZ226" s="60"/>
      <c r="GA226" s="60"/>
      <c r="GB226" s="60"/>
      <c r="GC226" s="60"/>
      <c r="GD226" s="60"/>
      <c r="GE226" s="60"/>
      <c r="GF226" s="60"/>
      <c r="GG226" s="60"/>
      <c r="GH226" s="60"/>
      <c r="GI226" s="60"/>
      <c r="GJ226" s="60"/>
      <c r="GK226" s="60"/>
      <c r="GL226" s="60"/>
      <c r="GM226" s="60"/>
      <c r="GN226" s="60"/>
      <c r="GO226" s="60"/>
      <c r="GP226" s="60"/>
      <c r="GQ226" s="60"/>
      <c r="GR226" s="60"/>
      <c r="GS226" s="60"/>
      <c r="GT226" s="60"/>
      <c r="GU226" s="60"/>
      <c r="GV226" s="60"/>
      <c r="GW226" s="60"/>
      <c r="GX226" s="60"/>
      <c r="GY226" s="60"/>
      <c r="GZ226" s="60"/>
      <c r="HA226" s="60"/>
      <c r="HB226" s="60"/>
      <c r="HC226" s="60"/>
      <c r="HD226" s="60"/>
      <c r="HE226" s="60"/>
      <c r="HF226" s="60"/>
      <c r="HG226" s="60"/>
      <c r="HH226" s="60"/>
      <c r="HI226" s="60"/>
      <c r="HJ226" s="60"/>
      <c r="HK226" s="60"/>
      <c r="HL226" s="60"/>
      <c r="HM226" s="60"/>
      <c r="HN226" s="60"/>
      <c r="HO226" s="60"/>
      <c r="HP226" s="60"/>
      <c r="HQ226" s="60"/>
      <c r="HR226" s="60"/>
      <c r="HS226" s="60"/>
      <c r="HT226" s="60"/>
      <c r="HU226" s="60"/>
      <c r="HV226" s="60"/>
      <c r="HW226" s="60"/>
      <c r="HX226" s="60"/>
      <c r="HY226" s="60"/>
      <c r="HZ226" s="60"/>
      <c r="IA226" s="60"/>
      <c r="IB226" s="60"/>
      <c r="IC226" s="60"/>
      <c r="ID226" s="60"/>
      <c r="IE226" s="60"/>
      <c r="IF226" s="60"/>
      <c r="IG226" s="60"/>
      <c r="IH226" s="60"/>
      <c r="II226" s="60"/>
      <c r="IJ226" s="60"/>
      <c r="IK226" s="60"/>
      <c r="IL226" s="60"/>
      <c r="IM226" s="60"/>
      <c r="IN226" s="60"/>
      <c r="IO226" s="60"/>
      <c r="IP226" s="60"/>
      <c r="IQ226" s="60"/>
      <c r="IR226" s="60"/>
      <c r="IS226" s="60"/>
      <c r="IT226" s="60"/>
      <c r="IU226" s="60"/>
      <c r="IV226" s="60"/>
      <c r="IW226" s="60"/>
      <c r="IX226" s="60"/>
      <c r="IY226" s="60"/>
      <c r="IZ226" s="60"/>
      <c r="JA226" s="60"/>
      <c r="JB226" s="60"/>
      <c r="JC226" s="60"/>
      <c r="JD226" s="60"/>
      <c r="JE226" s="60"/>
      <c r="JF226" s="60"/>
      <c r="JG226" s="60"/>
      <c r="JH226" s="60"/>
      <c r="JI226" s="60"/>
      <c r="JJ226" s="60"/>
      <c r="JK226" s="60"/>
      <c r="JL226" s="60"/>
      <c r="JM226" s="60"/>
      <c r="JN226" s="60"/>
      <c r="JO226" s="60"/>
      <c r="JP226" s="60"/>
      <c r="JQ226" s="60"/>
      <c r="JR226" s="60"/>
      <c r="JS226" s="60"/>
      <c r="JT226" s="60"/>
      <c r="JU226" s="60"/>
      <c r="JV226" s="60"/>
      <c r="JW226" s="60"/>
      <c r="JX226" s="60"/>
      <c r="JY226" s="60"/>
      <c r="JZ226" s="60"/>
      <c r="KA226" s="60"/>
      <c r="KB226" s="60"/>
      <c r="KC226" s="60"/>
      <c r="KD226" s="60"/>
      <c r="KE226" s="60"/>
      <c r="KF226" s="60"/>
      <c r="KG226" s="60"/>
      <c r="KH226" s="60"/>
      <c r="KI226" s="60"/>
      <c r="KJ226" s="60"/>
      <c r="KK226" s="60"/>
      <c r="KL226" s="60"/>
      <c r="KM226" s="60"/>
      <c r="KN226" s="60"/>
      <c r="KO226" s="60"/>
      <c r="KP226" s="60"/>
      <c r="KQ226" s="60"/>
      <c r="KR226" s="60"/>
      <c r="KS226" s="60"/>
      <c r="KT226" s="60"/>
      <c r="KU226" s="60"/>
      <c r="KV226" s="60"/>
      <c r="KW226" s="60"/>
      <c r="KX226" s="60"/>
      <c r="KY226" s="60"/>
      <c r="KZ226" s="60"/>
      <c r="LA226" s="60"/>
      <c r="LB226" s="60"/>
      <c r="LC226" s="60"/>
      <c r="LD226" s="60"/>
      <c r="LE226" s="60"/>
      <c r="LF226" s="60"/>
      <c r="LG226" s="60"/>
      <c r="LH226" s="60"/>
    </row>
    <row r="227" spans="1:320" s="146" customFormat="1" x14ac:dyDescent="0.25">
      <c r="A227" s="147"/>
      <c r="B227" s="1"/>
      <c r="C227" s="1"/>
      <c r="D227" s="1"/>
      <c r="F227" s="148">
        <v>8</v>
      </c>
      <c r="G227" s="148"/>
      <c r="T227" s="17"/>
      <c r="U227" s="17"/>
      <c r="V227" s="17"/>
      <c r="W227" s="17"/>
      <c r="X227" s="17"/>
      <c r="Y227" s="17"/>
      <c r="Z227" s="17"/>
      <c r="AA227" s="17"/>
      <c r="AB227" s="17"/>
      <c r="AC227" s="60"/>
      <c r="AD227" s="60"/>
      <c r="AE227" s="60"/>
      <c r="AF227" s="60"/>
      <c r="AG227" s="60"/>
      <c r="AH227" s="60"/>
      <c r="AI227" s="60"/>
      <c r="AJ227" s="60"/>
      <c r="AK227" s="60"/>
      <c r="AL227" s="60"/>
      <c r="AM227" s="60"/>
      <c r="AN227" s="60"/>
      <c r="AO227" s="60"/>
      <c r="AP227" s="60"/>
      <c r="AQ227" s="60"/>
      <c r="AR227" s="60"/>
      <c r="AS227" s="60"/>
      <c r="AT227" s="60"/>
      <c r="AU227" s="60"/>
      <c r="AV227" s="60"/>
      <c r="AW227" s="60"/>
      <c r="AX227" s="60"/>
      <c r="AY227" s="60"/>
      <c r="AZ227" s="60"/>
      <c r="BA227" s="60"/>
      <c r="BB227" s="60"/>
      <c r="BC227" s="60"/>
      <c r="BD227" s="60"/>
      <c r="BE227" s="60"/>
      <c r="BF227" s="60"/>
      <c r="BG227" s="60"/>
      <c r="BH227" s="60"/>
      <c r="BI227" s="60"/>
      <c r="BJ227" s="60"/>
      <c r="BK227" s="60"/>
      <c r="BL227" s="60"/>
      <c r="BM227" s="60"/>
      <c r="BN227" s="60"/>
      <c r="BO227" s="60"/>
      <c r="BP227" s="60"/>
      <c r="BQ227" s="60"/>
      <c r="BR227" s="60"/>
      <c r="BS227" s="60"/>
      <c r="BT227" s="60"/>
      <c r="BU227" s="60"/>
      <c r="BV227" s="60"/>
      <c r="BW227" s="60"/>
      <c r="BX227" s="60"/>
      <c r="BY227" s="60"/>
      <c r="BZ227" s="60"/>
      <c r="CA227" s="60"/>
      <c r="CB227" s="60"/>
      <c r="CC227" s="60"/>
      <c r="CD227" s="60"/>
      <c r="CE227" s="60"/>
      <c r="CF227" s="60"/>
      <c r="CG227" s="60"/>
      <c r="CH227" s="60"/>
      <c r="CI227" s="60"/>
      <c r="CJ227" s="60"/>
      <c r="CK227" s="60"/>
      <c r="CL227" s="60"/>
      <c r="CM227" s="60"/>
      <c r="CN227" s="60"/>
      <c r="CO227" s="60"/>
      <c r="CP227" s="60"/>
      <c r="CQ227" s="60"/>
      <c r="CR227" s="60"/>
      <c r="CS227" s="60"/>
      <c r="CT227" s="60"/>
      <c r="CU227" s="60"/>
      <c r="CV227" s="60"/>
      <c r="CW227" s="60"/>
      <c r="CX227" s="60"/>
      <c r="CY227" s="60"/>
      <c r="CZ227" s="60"/>
      <c r="DA227" s="60"/>
      <c r="DB227" s="60"/>
      <c r="DC227" s="60"/>
      <c r="DD227" s="60"/>
      <c r="DE227" s="60"/>
      <c r="DF227" s="60"/>
      <c r="DG227" s="60"/>
      <c r="DH227" s="60"/>
      <c r="DI227" s="60"/>
      <c r="DJ227" s="60"/>
      <c r="DK227" s="60"/>
      <c r="DL227" s="60"/>
      <c r="DM227" s="60"/>
      <c r="DN227" s="60"/>
      <c r="DO227" s="60"/>
      <c r="DP227" s="60"/>
      <c r="DQ227" s="60"/>
      <c r="DR227" s="60"/>
      <c r="DS227" s="60"/>
      <c r="DT227" s="60"/>
      <c r="DU227" s="60"/>
      <c r="DV227" s="60"/>
      <c r="DW227" s="60"/>
      <c r="DX227" s="60"/>
      <c r="DY227" s="60"/>
      <c r="DZ227" s="60"/>
      <c r="EA227" s="60"/>
      <c r="EB227" s="60"/>
      <c r="EC227" s="60"/>
      <c r="ED227" s="60"/>
      <c r="EE227" s="60"/>
      <c r="EF227" s="60"/>
      <c r="EG227" s="60"/>
      <c r="EH227" s="60"/>
      <c r="EI227" s="60"/>
      <c r="EJ227" s="60"/>
      <c r="EK227" s="60"/>
      <c r="EL227" s="60"/>
      <c r="EM227" s="60"/>
      <c r="EN227" s="60"/>
      <c r="EO227" s="60"/>
      <c r="EP227" s="60"/>
      <c r="EQ227" s="60"/>
      <c r="ER227" s="60"/>
      <c r="ES227" s="60"/>
      <c r="ET227" s="60"/>
      <c r="EU227" s="60"/>
      <c r="EV227" s="60"/>
      <c r="EW227" s="60"/>
      <c r="EX227" s="60"/>
      <c r="EY227" s="60"/>
      <c r="EZ227" s="60"/>
      <c r="FA227" s="60"/>
      <c r="FB227" s="60"/>
      <c r="FC227" s="60"/>
      <c r="FD227" s="60"/>
      <c r="FE227" s="60"/>
      <c r="FF227" s="60"/>
      <c r="FG227" s="60"/>
      <c r="FH227" s="60"/>
      <c r="FI227" s="60"/>
      <c r="FJ227" s="60"/>
      <c r="FK227" s="60"/>
      <c r="FL227" s="60"/>
      <c r="FM227" s="60"/>
      <c r="FN227" s="60"/>
      <c r="FO227" s="60"/>
      <c r="FP227" s="60"/>
      <c r="FQ227" s="60"/>
      <c r="FR227" s="60"/>
      <c r="FS227" s="60"/>
      <c r="FT227" s="60"/>
      <c r="FU227" s="60"/>
      <c r="FV227" s="60"/>
      <c r="FW227" s="60"/>
      <c r="FX227" s="60"/>
      <c r="FY227" s="60"/>
      <c r="FZ227" s="60"/>
      <c r="GA227" s="60"/>
      <c r="GB227" s="60"/>
      <c r="GC227" s="60"/>
      <c r="GD227" s="60"/>
      <c r="GE227" s="60"/>
      <c r="GF227" s="60"/>
      <c r="GG227" s="60"/>
      <c r="GH227" s="60"/>
      <c r="GI227" s="60"/>
      <c r="GJ227" s="60"/>
      <c r="GK227" s="60"/>
      <c r="GL227" s="60"/>
      <c r="GM227" s="60"/>
      <c r="GN227" s="60"/>
      <c r="GO227" s="60"/>
      <c r="GP227" s="60"/>
      <c r="GQ227" s="60"/>
      <c r="GR227" s="60"/>
      <c r="GS227" s="60"/>
      <c r="GT227" s="60"/>
      <c r="GU227" s="60"/>
      <c r="GV227" s="60"/>
      <c r="GW227" s="60"/>
      <c r="GX227" s="60"/>
      <c r="GY227" s="60"/>
      <c r="GZ227" s="60"/>
      <c r="HA227" s="60"/>
      <c r="HB227" s="60"/>
      <c r="HC227" s="60"/>
      <c r="HD227" s="60"/>
      <c r="HE227" s="60"/>
      <c r="HF227" s="60"/>
      <c r="HG227" s="60"/>
      <c r="HH227" s="60"/>
      <c r="HI227" s="60"/>
      <c r="HJ227" s="60"/>
      <c r="HK227" s="60"/>
      <c r="HL227" s="60"/>
      <c r="HM227" s="60"/>
      <c r="HN227" s="60"/>
      <c r="HO227" s="60"/>
      <c r="HP227" s="60"/>
      <c r="HQ227" s="60"/>
      <c r="HR227" s="60"/>
      <c r="HS227" s="60"/>
      <c r="HT227" s="60"/>
      <c r="HU227" s="60"/>
      <c r="HV227" s="60"/>
      <c r="HW227" s="60"/>
      <c r="HX227" s="60"/>
      <c r="HY227" s="60"/>
      <c r="HZ227" s="60"/>
      <c r="IA227" s="60"/>
      <c r="IB227" s="60"/>
      <c r="IC227" s="60"/>
      <c r="ID227" s="60"/>
      <c r="IE227" s="60"/>
      <c r="IF227" s="60"/>
      <c r="IG227" s="60"/>
      <c r="IH227" s="60"/>
      <c r="II227" s="60"/>
      <c r="IJ227" s="60"/>
      <c r="IK227" s="60"/>
      <c r="IL227" s="60"/>
      <c r="IM227" s="60"/>
      <c r="IN227" s="60"/>
      <c r="IO227" s="60"/>
      <c r="IP227" s="60"/>
      <c r="IQ227" s="60"/>
      <c r="IR227" s="60"/>
      <c r="IS227" s="60"/>
      <c r="IT227" s="60"/>
      <c r="IU227" s="60"/>
      <c r="IV227" s="60"/>
      <c r="IW227" s="60"/>
      <c r="IX227" s="60"/>
      <c r="IY227" s="60"/>
      <c r="IZ227" s="60"/>
      <c r="JA227" s="60"/>
      <c r="JB227" s="60"/>
      <c r="JC227" s="60"/>
      <c r="JD227" s="60"/>
      <c r="JE227" s="60"/>
      <c r="JF227" s="60"/>
      <c r="JG227" s="60"/>
      <c r="JH227" s="60"/>
      <c r="JI227" s="60"/>
      <c r="JJ227" s="60"/>
      <c r="JK227" s="60"/>
      <c r="JL227" s="60"/>
      <c r="JM227" s="60"/>
      <c r="JN227" s="60"/>
      <c r="JO227" s="60"/>
      <c r="JP227" s="60"/>
      <c r="JQ227" s="60"/>
      <c r="JR227" s="60"/>
      <c r="JS227" s="60"/>
      <c r="JT227" s="60"/>
      <c r="JU227" s="60"/>
      <c r="JV227" s="60"/>
      <c r="JW227" s="60"/>
      <c r="JX227" s="60"/>
      <c r="JY227" s="60"/>
      <c r="JZ227" s="60"/>
      <c r="KA227" s="60"/>
      <c r="KB227" s="60"/>
      <c r="KC227" s="60"/>
      <c r="KD227" s="60"/>
      <c r="KE227" s="60"/>
      <c r="KF227" s="60"/>
      <c r="KG227" s="60"/>
      <c r="KH227" s="60"/>
      <c r="KI227" s="60"/>
      <c r="KJ227" s="60"/>
      <c r="KK227" s="60"/>
      <c r="KL227" s="60"/>
      <c r="KM227" s="60"/>
      <c r="KN227" s="60"/>
      <c r="KO227" s="60"/>
      <c r="KP227" s="60"/>
      <c r="KQ227" s="60"/>
      <c r="KR227" s="60"/>
      <c r="KS227" s="60"/>
      <c r="KT227" s="60"/>
      <c r="KU227" s="60"/>
      <c r="KV227" s="60"/>
      <c r="KW227" s="60"/>
      <c r="KX227" s="60"/>
      <c r="KY227" s="60"/>
      <c r="KZ227" s="60"/>
      <c r="LA227" s="60"/>
      <c r="LB227" s="60"/>
      <c r="LC227" s="60"/>
      <c r="LD227" s="60"/>
      <c r="LE227" s="60"/>
      <c r="LF227" s="60"/>
      <c r="LG227" s="60"/>
      <c r="LH227" s="60"/>
    </row>
    <row r="228" spans="1:320" s="146" customFormat="1" x14ac:dyDescent="0.25">
      <c r="A228" s="147"/>
      <c r="B228" s="1"/>
      <c r="C228" s="1"/>
      <c r="D228" s="1"/>
      <c r="F228" s="148">
        <v>9</v>
      </c>
      <c r="G228" s="148"/>
      <c r="T228" s="17"/>
      <c r="U228" s="17"/>
      <c r="V228" s="17"/>
      <c r="W228" s="17"/>
      <c r="X228" s="17"/>
      <c r="Y228" s="17"/>
      <c r="Z228" s="17"/>
      <c r="AA228" s="17"/>
      <c r="AB228" s="17"/>
      <c r="AC228" s="60"/>
      <c r="AD228" s="60"/>
      <c r="AE228" s="60"/>
      <c r="AF228" s="60"/>
      <c r="AG228" s="60"/>
      <c r="AH228" s="60"/>
      <c r="AI228" s="60"/>
      <c r="AJ228" s="60"/>
      <c r="AK228" s="60"/>
      <c r="AL228" s="60"/>
      <c r="AM228" s="60"/>
      <c r="AN228" s="60"/>
      <c r="AO228" s="60"/>
      <c r="AP228" s="60"/>
      <c r="AQ228" s="60"/>
      <c r="AR228" s="60"/>
      <c r="AS228" s="60"/>
      <c r="AT228" s="60"/>
      <c r="AU228" s="60"/>
      <c r="AV228" s="60"/>
      <c r="AW228" s="60"/>
      <c r="AX228" s="60"/>
      <c r="AY228" s="60"/>
      <c r="AZ228" s="60"/>
      <c r="BA228" s="60"/>
      <c r="BB228" s="60"/>
      <c r="BC228" s="60"/>
      <c r="BD228" s="60"/>
      <c r="BE228" s="60"/>
      <c r="BF228" s="60"/>
      <c r="BG228" s="60"/>
      <c r="BH228" s="60"/>
      <c r="BI228" s="60"/>
      <c r="BJ228" s="60"/>
      <c r="BK228" s="60"/>
      <c r="BL228" s="60"/>
      <c r="BM228" s="60"/>
      <c r="BN228" s="60"/>
      <c r="BO228" s="60"/>
      <c r="BP228" s="60"/>
      <c r="BQ228" s="60"/>
      <c r="BR228" s="60"/>
      <c r="BS228" s="60"/>
      <c r="BT228" s="60"/>
      <c r="BU228" s="60"/>
      <c r="BV228" s="60"/>
      <c r="BW228" s="60"/>
      <c r="BX228" s="60"/>
      <c r="BY228" s="60"/>
      <c r="BZ228" s="60"/>
      <c r="CA228" s="60"/>
      <c r="CB228" s="60"/>
      <c r="CC228" s="60"/>
      <c r="CD228" s="60"/>
      <c r="CE228" s="60"/>
      <c r="CF228" s="60"/>
      <c r="CG228" s="60"/>
      <c r="CH228" s="60"/>
      <c r="CI228" s="60"/>
      <c r="CJ228" s="60"/>
      <c r="CK228" s="60"/>
      <c r="CL228" s="60"/>
      <c r="CM228" s="60"/>
      <c r="CN228" s="60"/>
      <c r="CO228" s="60"/>
      <c r="CP228" s="60"/>
      <c r="CQ228" s="60"/>
      <c r="CR228" s="60"/>
      <c r="CS228" s="60"/>
      <c r="CT228" s="60"/>
      <c r="CU228" s="60"/>
      <c r="CV228" s="60"/>
      <c r="CW228" s="60"/>
      <c r="CX228" s="60"/>
      <c r="CY228" s="60"/>
      <c r="CZ228" s="60"/>
      <c r="DA228" s="60"/>
      <c r="DB228" s="60"/>
      <c r="DC228" s="60"/>
      <c r="DD228" s="60"/>
      <c r="DE228" s="60"/>
      <c r="DF228" s="60"/>
      <c r="DG228" s="60"/>
      <c r="DH228" s="60"/>
      <c r="DI228" s="60"/>
      <c r="DJ228" s="60"/>
      <c r="DK228" s="60"/>
      <c r="DL228" s="60"/>
      <c r="DM228" s="60"/>
      <c r="DN228" s="60"/>
      <c r="DO228" s="60"/>
      <c r="DP228" s="60"/>
      <c r="DQ228" s="60"/>
      <c r="DR228" s="60"/>
      <c r="DS228" s="60"/>
      <c r="DT228" s="60"/>
      <c r="DU228" s="60"/>
      <c r="DV228" s="60"/>
      <c r="DW228" s="60"/>
      <c r="DX228" s="60"/>
      <c r="DY228" s="60"/>
      <c r="DZ228" s="60"/>
      <c r="EA228" s="60"/>
      <c r="EB228" s="60"/>
      <c r="EC228" s="60"/>
      <c r="ED228" s="60"/>
      <c r="EE228" s="60"/>
      <c r="EF228" s="60"/>
      <c r="EG228" s="60"/>
      <c r="EH228" s="60"/>
      <c r="EI228" s="60"/>
      <c r="EJ228" s="60"/>
      <c r="EK228" s="60"/>
      <c r="EL228" s="60"/>
      <c r="EM228" s="60"/>
      <c r="EN228" s="60"/>
      <c r="EO228" s="60"/>
      <c r="EP228" s="60"/>
      <c r="EQ228" s="60"/>
      <c r="ER228" s="60"/>
      <c r="ES228" s="60"/>
      <c r="ET228" s="60"/>
      <c r="EU228" s="60"/>
      <c r="EV228" s="60"/>
      <c r="EW228" s="60"/>
      <c r="EX228" s="60"/>
      <c r="EY228" s="60"/>
      <c r="EZ228" s="60"/>
      <c r="FA228" s="60"/>
      <c r="FB228" s="60"/>
      <c r="FC228" s="60"/>
      <c r="FD228" s="60"/>
      <c r="FE228" s="60"/>
      <c r="FF228" s="60"/>
      <c r="FG228" s="60"/>
      <c r="FH228" s="60"/>
      <c r="FI228" s="60"/>
      <c r="FJ228" s="60"/>
      <c r="FK228" s="60"/>
      <c r="FL228" s="60"/>
      <c r="FM228" s="60"/>
      <c r="FN228" s="60"/>
      <c r="FO228" s="60"/>
      <c r="FP228" s="60"/>
      <c r="FQ228" s="60"/>
      <c r="FR228" s="60"/>
      <c r="FS228" s="60"/>
      <c r="FT228" s="60"/>
      <c r="FU228" s="60"/>
      <c r="FV228" s="60"/>
      <c r="FW228" s="60"/>
      <c r="FX228" s="60"/>
      <c r="FY228" s="60"/>
      <c r="FZ228" s="60"/>
      <c r="GA228" s="60"/>
      <c r="GB228" s="60"/>
      <c r="GC228" s="60"/>
      <c r="GD228" s="60"/>
      <c r="GE228" s="60"/>
      <c r="GF228" s="60"/>
      <c r="GG228" s="60"/>
      <c r="GH228" s="60"/>
      <c r="GI228" s="60"/>
      <c r="GJ228" s="60"/>
      <c r="GK228" s="60"/>
      <c r="GL228" s="60"/>
      <c r="GM228" s="60"/>
      <c r="GN228" s="60"/>
      <c r="GO228" s="60"/>
      <c r="GP228" s="60"/>
      <c r="GQ228" s="60"/>
      <c r="GR228" s="60"/>
      <c r="GS228" s="60"/>
      <c r="GT228" s="60"/>
      <c r="GU228" s="60"/>
      <c r="GV228" s="60"/>
      <c r="GW228" s="60"/>
      <c r="GX228" s="60"/>
      <c r="GY228" s="60"/>
      <c r="GZ228" s="60"/>
      <c r="HA228" s="60"/>
      <c r="HB228" s="60"/>
      <c r="HC228" s="60"/>
      <c r="HD228" s="60"/>
      <c r="HE228" s="60"/>
      <c r="HF228" s="60"/>
      <c r="HG228" s="60"/>
      <c r="HH228" s="60"/>
      <c r="HI228" s="60"/>
      <c r="HJ228" s="60"/>
      <c r="HK228" s="60"/>
      <c r="HL228" s="60"/>
      <c r="HM228" s="60"/>
      <c r="HN228" s="60"/>
      <c r="HO228" s="60"/>
      <c r="HP228" s="60"/>
      <c r="HQ228" s="60"/>
      <c r="HR228" s="60"/>
      <c r="HS228" s="60"/>
      <c r="HT228" s="60"/>
      <c r="HU228" s="60"/>
      <c r="HV228" s="60"/>
      <c r="HW228" s="60"/>
      <c r="HX228" s="60"/>
      <c r="HY228" s="60"/>
      <c r="HZ228" s="60"/>
      <c r="IA228" s="60"/>
      <c r="IB228" s="60"/>
      <c r="IC228" s="60"/>
      <c r="ID228" s="60"/>
      <c r="IE228" s="60"/>
      <c r="IF228" s="60"/>
      <c r="IG228" s="60"/>
      <c r="IH228" s="60"/>
      <c r="II228" s="60"/>
      <c r="IJ228" s="60"/>
      <c r="IK228" s="60"/>
      <c r="IL228" s="60"/>
      <c r="IM228" s="60"/>
      <c r="IN228" s="60"/>
      <c r="IO228" s="60"/>
      <c r="IP228" s="60"/>
      <c r="IQ228" s="60"/>
      <c r="IR228" s="60"/>
      <c r="IS228" s="60"/>
      <c r="IT228" s="60"/>
      <c r="IU228" s="60"/>
      <c r="IV228" s="60"/>
      <c r="IW228" s="60"/>
      <c r="IX228" s="60"/>
      <c r="IY228" s="60"/>
      <c r="IZ228" s="60"/>
      <c r="JA228" s="60"/>
      <c r="JB228" s="60"/>
      <c r="JC228" s="60"/>
      <c r="JD228" s="60"/>
      <c r="JE228" s="60"/>
      <c r="JF228" s="60"/>
      <c r="JG228" s="60"/>
      <c r="JH228" s="60"/>
      <c r="JI228" s="60"/>
      <c r="JJ228" s="60"/>
      <c r="JK228" s="60"/>
      <c r="JL228" s="60"/>
      <c r="JM228" s="60"/>
      <c r="JN228" s="60"/>
      <c r="JO228" s="60"/>
      <c r="JP228" s="60"/>
      <c r="JQ228" s="60"/>
      <c r="JR228" s="60"/>
      <c r="JS228" s="60"/>
      <c r="JT228" s="60"/>
      <c r="JU228" s="60"/>
      <c r="JV228" s="60"/>
      <c r="JW228" s="60"/>
      <c r="JX228" s="60"/>
      <c r="JY228" s="60"/>
      <c r="JZ228" s="60"/>
      <c r="KA228" s="60"/>
      <c r="KB228" s="60"/>
      <c r="KC228" s="60"/>
      <c r="KD228" s="60"/>
      <c r="KE228" s="60"/>
      <c r="KF228" s="60"/>
      <c r="KG228" s="60"/>
      <c r="KH228" s="60"/>
      <c r="KI228" s="60"/>
      <c r="KJ228" s="60"/>
      <c r="KK228" s="60"/>
      <c r="KL228" s="60"/>
      <c r="KM228" s="60"/>
      <c r="KN228" s="60"/>
      <c r="KO228" s="60"/>
      <c r="KP228" s="60"/>
      <c r="KQ228" s="60"/>
      <c r="KR228" s="60"/>
      <c r="KS228" s="60"/>
      <c r="KT228" s="60"/>
      <c r="KU228" s="60"/>
      <c r="KV228" s="60"/>
      <c r="KW228" s="60"/>
      <c r="KX228" s="60"/>
      <c r="KY228" s="60"/>
      <c r="KZ228" s="60"/>
      <c r="LA228" s="60"/>
      <c r="LB228" s="60"/>
      <c r="LC228" s="60"/>
      <c r="LD228" s="60"/>
      <c r="LE228" s="60"/>
      <c r="LF228" s="60"/>
      <c r="LG228" s="60"/>
      <c r="LH228" s="60"/>
    </row>
    <row r="229" spans="1:320" s="146" customFormat="1" x14ac:dyDescent="0.25">
      <c r="A229" s="147"/>
      <c r="B229" s="1"/>
      <c r="C229" s="1"/>
      <c r="D229" s="1"/>
      <c r="F229" s="148">
        <v>10</v>
      </c>
      <c r="G229" s="148"/>
      <c r="T229" s="17"/>
      <c r="U229" s="17"/>
      <c r="V229" s="17"/>
      <c r="W229" s="17"/>
      <c r="X229" s="17"/>
      <c r="Y229" s="17"/>
      <c r="Z229" s="17"/>
      <c r="AA229" s="17"/>
      <c r="AB229" s="17"/>
      <c r="AC229" s="60"/>
      <c r="AD229" s="60"/>
      <c r="AE229" s="60"/>
      <c r="AF229" s="60"/>
      <c r="AG229" s="60"/>
      <c r="AH229" s="60"/>
      <c r="AI229" s="60"/>
      <c r="AJ229" s="60"/>
      <c r="AK229" s="60"/>
      <c r="AL229" s="60"/>
      <c r="AM229" s="60"/>
      <c r="AN229" s="60"/>
      <c r="AO229" s="60"/>
      <c r="AP229" s="60"/>
      <c r="AQ229" s="60"/>
      <c r="AR229" s="60"/>
      <c r="AS229" s="60"/>
      <c r="AT229" s="60"/>
      <c r="AU229" s="60"/>
      <c r="AV229" s="60"/>
      <c r="AW229" s="60"/>
      <c r="AX229" s="60"/>
      <c r="AY229" s="60"/>
      <c r="AZ229" s="60"/>
      <c r="BA229" s="60"/>
      <c r="BB229" s="60"/>
      <c r="BC229" s="60"/>
      <c r="BD229" s="60"/>
      <c r="BE229" s="60"/>
      <c r="BF229" s="60"/>
      <c r="BG229" s="60"/>
      <c r="BH229" s="60"/>
      <c r="BI229" s="60"/>
      <c r="BJ229" s="60"/>
      <c r="BK229" s="60"/>
      <c r="BL229" s="60"/>
      <c r="BM229" s="60"/>
      <c r="BN229" s="60"/>
      <c r="BO229" s="60"/>
      <c r="BP229" s="60"/>
      <c r="BQ229" s="60"/>
      <c r="BR229" s="60"/>
      <c r="BS229" s="60"/>
      <c r="BT229" s="60"/>
      <c r="BU229" s="60"/>
      <c r="BV229" s="60"/>
      <c r="BW229" s="60"/>
      <c r="BX229" s="60"/>
      <c r="BY229" s="60"/>
      <c r="BZ229" s="60"/>
      <c r="CA229" s="60"/>
      <c r="CB229" s="60"/>
      <c r="CC229" s="60"/>
      <c r="CD229" s="60"/>
      <c r="CE229" s="60"/>
      <c r="CF229" s="60"/>
      <c r="CG229" s="60"/>
      <c r="CH229" s="60"/>
      <c r="CI229" s="60"/>
      <c r="CJ229" s="60"/>
      <c r="CK229" s="60"/>
      <c r="CL229" s="60"/>
      <c r="CM229" s="60"/>
      <c r="CN229" s="60"/>
      <c r="CO229" s="60"/>
      <c r="CP229" s="60"/>
      <c r="CQ229" s="60"/>
      <c r="CR229" s="60"/>
      <c r="CS229" s="60"/>
      <c r="CT229" s="60"/>
      <c r="CU229" s="60"/>
      <c r="CV229" s="60"/>
      <c r="CW229" s="60"/>
      <c r="CX229" s="60"/>
      <c r="CY229" s="60"/>
      <c r="CZ229" s="60"/>
      <c r="DA229" s="60"/>
      <c r="DB229" s="60"/>
      <c r="DC229" s="60"/>
      <c r="DD229" s="60"/>
      <c r="DE229" s="60"/>
      <c r="DF229" s="60"/>
      <c r="DG229" s="60"/>
      <c r="DH229" s="60"/>
      <c r="DI229" s="60"/>
      <c r="DJ229" s="60"/>
      <c r="DK229" s="60"/>
      <c r="DL229" s="60"/>
      <c r="DM229" s="60"/>
      <c r="DN229" s="60"/>
      <c r="DO229" s="60"/>
      <c r="DP229" s="60"/>
      <c r="DQ229" s="60"/>
      <c r="DR229" s="60"/>
      <c r="DS229" s="60"/>
      <c r="DT229" s="60"/>
      <c r="DU229" s="60"/>
      <c r="DV229" s="60"/>
      <c r="DW229" s="60"/>
      <c r="DX229" s="60"/>
      <c r="DY229" s="60"/>
      <c r="DZ229" s="60"/>
      <c r="EA229" s="60"/>
      <c r="EB229" s="60"/>
      <c r="EC229" s="60"/>
      <c r="ED229" s="60"/>
      <c r="EE229" s="60"/>
      <c r="EF229" s="60"/>
      <c r="EG229" s="60"/>
      <c r="EH229" s="60"/>
      <c r="EI229" s="60"/>
      <c r="EJ229" s="60"/>
      <c r="EK229" s="60"/>
      <c r="EL229" s="60"/>
      <c r="EM229" s="60"/>
      <c r="EN229" s="60"/>
      <c r="EO229" s="60"/>
      <c r="EP229" s="60"/>
      <c r="EQ229" s="60"/>
      <c r="ER229" s="60"/>
      <c r="ES229" s="60"/>
      <c r="ET229" s="60"/>
      <c r="EU229" s="60"/>
      <c r="EV229" s="60"/>
      <c r="EW229" s="60"/>
      <c r="EX229" s="60"/>
      <c r="EY229" s="60"/>
      <c r="EZ229" s="60"/>
      <c r="FA229" s="60"/>
      <c r="FB229" s="60"/>
      <c r="FC229" s="60"/>
      <c r="FD229" s="60"/>
      <c r="FE229" s="60"/>
      <c r="FF229" s="60"/>
      <c r="FG229" s="60"/>
      <c r="FH229" s="60"/>
      <c r="FI229" s="60"/>
      <c r="FJ229" s="60"/>
      <c r="FK229" s="60"/>
      <c r="FL229" s="60"/>
      <c r="FM229" s="60"/>
      <c r="FN229" s="60"/>
      <c r="FO229" s="60"/>
      <c r="FP229" s="60"/>
      <c r="FQ229" s="60"/>
      <c r="FR229" s="60"/>
      <c r="FS229" s="60"/>
      <c r="FT229" s="60"/>
      <c r="FU229" s="60"/>
      <c r="FV229" s="60"/>
      <c r="FW229" s="60"/>
      <c r="FX229" s="60"/>
      <c r="FY229" s="60"/>
      <c r="FZ229" s="60"/>
      <c r="GA229" s="60"/>
      <c r="GB229" s="60"/>
      <c r="GC229" s="60"/>
      <c r="GD229" s="60"/>
      <c r="GE229" s="60"/>
      <c r="GF229" s="60"/>
      <c r="GG229" s="60"/>
      <c r="GH229" s="60"/>
      <c r="GI229" s="60"/>
      <c r="GJ229" s="60"/>
      <c r="GK229" s="60"/>
      <c r="GL229" s="60"/>
      <c r="GM229" s="60"/>
      <c r="GN229" s="60"/>
      <c r="GO229" s="60"/>
      <c r="GP229" s="60"/>
      <c r="GQ229" s="60"/>
      <c r="GR229" s="60"/>
      <c r="GS229" s="60"/>
      <c r="GT229" s="60"/>
      <c r="GU229" s="60"/>
      <c r="GV229" s="60"/>
      <c r="GW229" s="60"/>
      <c r="GX229" s="60"/>
      <c r="GY229" s="60"/>
      <c r="GZ229" s="60"/>
      <c r="HA229" s="60"/>
      <c r="HB229" s="60"/>
      <c r="HC229" s="60"/>
      <c r="HD229" s="60"/>
      <c r="HE229" s="60"/>
      <c r="HF229" s="60"/>
      <c r="HG229" s="60"/>
      <c r="HH229" s="60"/>
      <c r="HI229" s="60"/>
      <c r="HJ229" s="60"/>
      <c r="HK229" s="60"/>
      <c r="HL229" s="60"/>
      <c r="HM229" s="60"/>
      <c r="HN229" s="60"/>
      <c r="HO229" s="60"/>
      <c r="HP229" s="60"/>
      <c r="HQ229" s="60"/>
      <c r="HR229" s="60"/>
      <c r="HS229" s="60"/>
      <c r="HT229" s="60"/>
      <c r="HU229" s="60"/>
      <c r="HV229" s="60"/>
      <c r="HW229" s="60"/>
      <c r="HX229" s="60"/>
      <c r="HY229" s="60"/>
      <c r="HZ229" s="60"/>
      <c r="IA229" s="60"/>
      <c r="IB229" s="60"/>
      <c r="IC229" s="60"/>
      <c r="ID229" s="60"/>
      <c r="IE229" s="60"/>
      <c r="IF229" s="60"/>
      <c r="IG229" s="60"/>
      <c r="IH229" s="60"/>
      <c r="II229" s="60"/>
      <c r="IJ229" s="60"/>
      <c r="IK229" s="60"/>
      <c r="IL229" s="60"/>
      <c r="IM229" s="60"/>
      <c r="IN229" s="60"/>
      <c r="IO229" s="60"/>
      <c r="IP229" s="60"/>
      <c r="IQ229" s="60"/>
      <c r="IR229" s="60"/>
      <c r="IS229" s="60"/>
      <c r="IT229" s="60"/>
      <c r="IU229" s="60"/>
      <c r="IV229" s="60"/>
      <c r="IW229" s="60"/>
      <c r="IX229" s="60"/>
      <c r="IY229" s="60"/>
      <c r="IZ229" s="60"/>
      <c r="JA229" s="60"/>
      <c r="JB229" s="60"/>
      <c r="JC229" s="60"/>
      <c r="JD229" s="60"/>
      <c r="JE229" s="60"/>
      <c r="JF229" s="60"/>
      <c r="JG229" s="60"/>
      <c r="JH229" s="60"/>
      <c r="JI229" s="60"/>
      <c r="JJ229" s="60"/>
      <c r="JK229" s="60"/>
      <c r="JL229" s="60"/>
      <c r="JM229" s="60"/>
      <c r="JN229" s="60"/>
      <c r="JO229" s="60"/>
      <c r="JP229" s="60"/>
      <c r="JQ229" s="60"/>
      <c r="JR229" s="60"/>
      <c r="JS229" s="60"/>
      <c r="JT229" s="60"/>
      <c r="JU229" s="60"/>
      <c r="JV229" s="60"/>
      <c r="JW229" s="60"/>
      <c r="JX229" s="60"/>
      <c r="JY229" s="60"/>
      <c r="JZ229" s="60"/>
      <c r="KA229" s="60"/>
      <c r="KB229" s="60"/>
      <c r="KC229" s="60"/>
      <c r="KD229" s="60"/>
      <c r="KE229" s="60"/>
      <c r="KF229" s="60"/>
      <c r="KG229" s="60"/>
      <c r="KH229" s="60"/>
      <c r="KI229" s="60"/>
      <c r="KJ229" s="60"/>
      <c r="KK229" s="60"/>
      <c r="KL229" s="60"/>
      <c r="KM229" s="60"/>
      <c r="KN229" s="60"/>
      <c r="KO229" s="60"/>
      <c r="KP229" s="60"/>
      <c r="KQ229" s="60"/>
      <c r="KR229" s="60"/>
      <c r="KS229" s="60"/>
      <c r="KT229" s="60"/>
      <c r="KU229" s="60"/>
      <c r="KV229" s="60"/>
      <c r="KW229" s="60"/>
      <c r="KX229" s="60"/>
      <c r="KY229" s="60"/>
      <c r="KZ229" s="60"/>
      <c r="LA229" s="60"/>
      <c r="LB229" s="60"/>
      <c r="LC229" s="60"/>
      <c r="LD229" s="60"/>
      <c r="LE229" s="60"/>
      <c r="LF229" s="60"/>
      <c r="LG229" s="60"/>
      <c r="LH229" s="60"/>
    </row>
    <row r="230" spans="1:320" s="146" customFormat="1" x14ac:dyDescent="0.25">
      <c r="A230" s="147"/>
      <c r="B230" s="1"/>
      <c r="C230" s="1"/>
      <c r="D230" s="1"/>
      <c r="F230" s="148">
        <v>11</v>
      </c>
      <c r="G230" s="148"/>
      <c r="T230" s="17"/>
      <c r="U230" s="17"/>
      <c r="V230" s="17"/>
      <c r="W230" s="17"/>
      <c r="X230" s="17"/>
      <c r="Y230" s="17"/>
      <c r="Z230" s="17"/>
      <c r="AA230" s="17"/>
      <c r="AB230" s="17"/>
      <c r="AC230" s="60"/>
      <c r="AD230" s="60"/>
      <c r="AE230" s="60"/>
      <c r="AF230" s="60"/>
      <c r="AG230" s="60"/>
      <c r="AH230" s="60"/>
      <c r="AI230" s="60"/>
      <c r="AJ230" s="60"/>
      <c r="AK230" s="60"/>
      <c r="AL230" s="60"/>
      <c r="AM230" s="60"/>
      <c r="AN230" s="60"/>
      <c r="AO230" s="60"/>
      <c r="AP230" s="60"/>
      <c r="AQ230" s="60"/>
      <c r="AR230" s="60"/>
      <c r="AS230" s="60"/>
      <c r="AT230" s="60"/>
      <c r="AU230" s="60"/>
      <c r="AV230" s="60"/>
      <c r="AW230" s="60"/>
      <c r="AX230" s="60"/>
      <c r="AY230" s="60"/>
      <c r="AZ230" s="60"/>
      <c r="BA230" s="60"/>
      <c r="BB230" s="60"/>
      <c r="BC230" s="60"/>
      <c r="BD230" s="60"/>
      <c r="BE230" s="60"/>
      <c r="BF230" s="60"/>
      <c r="BG230" s="60"/>
      <c r="BH230" s="60"/>
      <c r="BI230" s="60"/>
      <c r="BJ230" s="60"/>
      <c r="BK230" s="60"/>
      <c r="BL230" s="60"/>
      <c r="BM230" s="60"/>
      <c r="BN230" s="60"/>
      <c r="BO230" s="60"/>
      <c r="BP230" s="60"/>
      <c r="BQ230" s="60"/>
      <c r="BR230" s="60"/>
      <c r="BS230" s="60"/>
      <c r="BT230" s="60"/>
      <c r="BU230" s="60"/>
      <c r="BV230" s="60"/>
      <c r="BW230" s="60"/>
      <c r="BX230" s="60"/>
      <c r="BY230" s="60"/>
      <c r="BZ230" s="60"/>
      <c r="CA230" s="60"/>
      <c r="CB230" s="60"/>
      <c r="CC230" s="60"/>
      <c r="CD230" s="60"/>
      <c r="CE230" s="60"/>
      <c r="CF230" s="60"/>
      <c r="CG230" s="60"/>
      <c r="CH230" s="60"/>
      <c r="CI230" s="60"/>
      <c r="CJ230" s="60"/>
      <c r="CK230" s="60"/>
      <c r="CL230" s="60"/>
      <c r="CM230" s="60"/>
      <c r="CN230" s="60"/>
      <c r="CO230" s="60"/>
      <c r="CP230" s="60"/>
      <c r="CQ230" s="60"/>
      <c r="CR230" s="60"/>
      <c r="CS230" s="60"/>
      <c r="CT230" s="60"/>
      <c r="CU230" s="60"/>
      <c r="CV230" s="60"/>
      <c r="CW230" s="60"/>
      <c r="CX230" s="60"/>
      <c r="CY230" s="60"/>
      <c r="CZ230" s="60"/>
      <c r="DA230" s="60"/>
      <c r="DB230" s="60"/>
      <c r="DC230" s="60"/>
      <c r="DD230" s="60"/>
      <c r="DE230" s="60"/>
      <c r="DF230" s="60"/>
      <c r="DG230" s="60"/>
      <c r="DH230" s="60"/>
      <c r="DI230" s="60"/>
      <c r="DJ230" s="60"/>
      <c r="DK230" s="60"/>
      <c r="DL230" s="60"/>
      <c r="DM230" s="60"/>
      <c r="DN230" s="60"/>
      <c r="DO230" s="60"/>
      <c r="DP230" s="60"/>
      <c r="DQ230" s="60"/>
      <c r="DR230" s="60"/>
      <c r="DS230" s="60"/>
      <c r="DT230" s="60"/>
      <c r="DU230" s="60"/>
      <c r="DV230" s="60"/>
      <c r="DW230" s="60"/>
      <c r="DX230" s="60"/>
      <c r="DY230" s="60"/>
      <c r="DZ230" s="60"/>
      <c r="EA230" s="60"/>
      <c r="EB230" s="60"/>
      <c r="EC230" s="60"/>
      <c r="ED230" s="60"/>
      <c r="EE230" s="60"/>
      <c r="EF230" s="60"/>
      <c r="EG230" s="60"/>
      <c r="EH230" s="60"/>
      <c r="EI230" s="60"/>
      <c r="EJ230" s="60"/>
      <c r="EK230" s="60"/>
      <c r="EL230" s="60"/>
      <c r="EM230" s="60"/>
      <c r="EN230" s="60"/>
      <c r="EO230" s="60"/>
      <c r="EP230" s="60"/>
      <c r="EQ230" s="60"/>
      <c r="ER230" s="60"/>
      <c r="ES230" s="60"/>
      <c r="ET230" s="60"/>
      <c r="EU230" s="60"/>
      <c r="EV230" s="60"/>
      <c r="EW230" s="60"/>
      <c r="EX230" s="60"/>
      <c r="EY230" s="60"/>
      <c r="EZ230" s="60"/>
      <c r="FA230" s="60"/>
      <c r="FB230" s="60"/>
      <c r="FC230" s="60"/>
      <c r="FD230" s="60"/>
      <c r="FE230" s="60"/>
      <c r="FF230" s="60"/>
      <c r="FG230" s="60"/>
      <c r="FH230" s="60"/>
      <c r="FI230" s="60"/>
      <c r="FJ230" s="60"/>
      <c r="FK230" s="60"/>
      <c r="FL230" s="60"/>
      <c r="FM230" s="60"/>
      <c r="FN230" s="60"/>
      <c r="FO230" s="60"/>
      <c r="FP230" s="60"/>
      <c r="FQ230" s="60"/>
      <c r="FR230" s="60"/>
      <c r="FS230" s="60"/>
      <c r="FT230" s="60"/>
      <c r="FU230" s="60"/>
      <c r="FV230" s="60"/>
      <c r="FW230" s="60"/>
      <c r="FX230" s="60"/>
      <c r="FY230" s="60"/>
      <c r="FZ230" s="60"/>
      <c r="GA230" s="60"/>
      <c r="GB230" s="60"/>
      <c r="GC230" s="60"/>
      <c r="GD230" s="60"/>
      <c r="GE230" s="60"/>
      <c r="GF230" s="60"/>
      <c r="GG230" s="60"/>
      <c r="GH230" s="60"/>
      <c r="GI230" s="60"/>
      <c r="GJ230" s="60"/>
      <c r="GK230" s="60"/>
      <c r="GL230" s="60"/>
      <c r="GM230" s="60"/>
      <c r="GN230" s="60"/>
      <c r="GO230" s="60"/>
      <c r="GP230" s="60"/>
      <c r="GQ230" s="60"/>
      <c r="GR230" s="60"/>
      <c r="GS230" s="60"/>
      <c r="GT230" s="60"/>
      <c r="GU230" s="60"/>
      <c r="GV230" s="60"/>
      <c r="GW230" s="60"/>
      <c r="GX230" s="60"/>
      <c r="GY230" s="60"/>
      <c r="GZ230" s="60"/>
      <c r="HA230" s="60"/>
      <c r="HB230" s="60"/>
      <c r="HC230" s="60"/>
      <c r="HD230" s="60"/>
      <c r="HE230" s="60"/>
      <c r="HF230" s="60"/>
      <c r="HG230" s="60"/>
      <c r="HH230" s="60"/>
      <c r="HI230" s="60"/>
      <c r="HJ230" s="60"/>
      <c r="HK230" s="60"/>
      <c r="HL230" s="60"/>
      <c r="HM230" s="60"/>
      <c r="HN230" s="60"/>
      <c r="HO230" s="60"/>
      <c r="HP230" s="60"/>
      <c r="HQ230" s="60"/>
      <c r="HR230" s="60"/>
      <c r="HS230" s="60"/>
      <c r="HT230" s="60"/>
      <c r="HU230" s="60"/>
      <c r="HV230" s="60"/>
      <c r="HW230" s="60"/>
      <c r="HX230" s="60"/>
      <c r="HY230" s="60"/>
      <c r="HZ230" s="60"/>
      <c r="IA230" s="60"/>
      <c r="IB230" s="60"/>
      <c r="IC230" s="60"/>
      <c r="ID230" s="60"/>
      <c r="IE230" s="60"/>
      <c r="IF230" s="60"/>
      <c r="IG230" s="60"/>
      <c r="IH230" s="60"/>
      <c r="II230" s="60"/>
      <c r="IJ230" s="60"/>
      <c r="IK230" s="60"/>
      <c r="IL230" s="60"/>
      <c r="IM230" s="60"/>
      <c r="IN230" s="60"/>
      <c r="IO230" s="60"/>
      <c r="IP230" s="60"/>
      <c r="IQ230" s="60"/>
      <c r="IR230" s="60"/>
      <c r="IS230" s="60"/>
      <c r="IT230" s="60"/>
      <c r="IU230" s="60"/>
      <c r="IV230" s="60"/>
      <c r="IW230" s="60"/>
      <c r="IX230" s="60"/>
      <c r="IY230" s="60"/>
      <c r="IZ230" s="60"/>
      <c r="JA230" s="60"/>
      <c r="JB230" s="60"/>
      <c r="JC230" s="60"/>
      <c r="JD230" s="60"/>
      <c r="JE230" s="60"/>
      <c r="JF230" s="60"/>
      <c r="JG230" s="60"/>
      <c r="JH230" s="60"/>
      <c r="JI230" s="60"/>
      <c r="JJ230" s="60"/>
      <c r="JK230" s="60"/>
      <c r="JL230" s="60"/>
      <c r="JM230" s="60"/>
      <c r="JN230" s="60"/>
      <c r="JO230" s="60"/>
      <c r="JP230" s="60"/>
      <c r="JQ230" s="60"/>
      <c r="JR230" s="60"/>
      <c r="JS230" s="60"/>
      <c r="JT230" s="60"/>
      <c r="JU230" s="60"/>
      <c r="JV230" s="60"/>
      <c r="JW230" s="60"/>
      <c r="JX230" s="60"/>
      <c r="JY230" s="60"/>
      <c r="JZ230" s="60"/>
      <c r="KA230" s="60"/>
      <c r="KB230" s="60"/>
      <c r="KC230" s="60"/>
      <c r="KD230" s="60"/>
      <c r="KE230" s="60"/>
      <c r="KF230" s="60"/>
      <c r="KG230" s="60"/>
      <c r="KH230" s="60"/>
      <c r="KI230" s="60"/>
      <c r="KJ230" s="60"/>
      <c r="KK230" s="60"/>
      <c r="KL230" s="60"/>
      <c r="KM230" s="60"/>
      <c r="KN230" s="60"/>
      <c r="KO230" s="60"/>
      <c r="KP230" s="60"/>
      <c r="KQ230" s="60"/>
      <c r="KR230" s="60"/>
      <c r="KS230" s="60"/>
      <c r="KT230" s="60"/>
      <c r="KU230" s="60"/>
      <c r="KV230" s="60"/>
      <c r="KW230" s="60"/>
      <c r="KX230" s="60"/>
      <c r="KY230" s="60"/>
      <c r="KZ230" s="60"/>
      <c r="LA230" s="60"/>
      <c r="LB230" s="60"/>
      <c r="LC230" s="60"/>
      <c r="LD230" s="60"/>
      <c r="LE230" s="60"/>
      <c r="LF230" s="60"/>
      <c r="LG230" s="60"/>
      <c r="LH230" s="60"/>
    </row>
    <row r="231" spans="1:320" s="146" customFormat="1" x14ac:dyDescent="0.25">
      <c r="A231" s="147"/>
      <c r="B231" s="1"/>
      <c r="C231" s="1"/>
      <c r="D231" s="1"/>
      <c r="F231" s="148" t="s">
        <v>94</v>
      </c>
      <c r="G231" s="148"/>
      <c r="T231" s="17"/>
      <c r="U231" s="17"/>
      <c r="V231" s="17"/>
      <c r="W231" s="17"/>
      <c r="X231" s="17"/>
      <c r="Y231" s="17"/>
      <c r="Z231" s="17"/>
      <c r="AA231" s="17"/>
      <c r="AB231" s="17"/>
      <c r="AC231" s="60"/>
      <c r="AD231" s="60"/>
      <c r="AE231" s="60"/>
      <c r="AF231" s="60"/>
      <c r="AG231" s="60"/>
      <c r="AH231" s="60"/>
      <c r="AI231" s="60"/>
      <c r="AJ231" s="60"/>
      <c r="AK231" s="60"/>
      <c r="AL231" s="60"/>
      <c r="AM231" s="60"/>
      <c r="AN231" s="60"/>
      <c r="AO231" s="60"/>
      <c r="AP231" s="60"/>
      <c r="AQ231" s="60"/>
      <c r="AR231" s="60"/>
      <c r="AS231" s="60"/>
      <c r="AT231" s="60"/>
      <c r="AU231" s="60"/>
      <c r="AV231" s="60"/>
      <c r="AW231" s="60"/>
      <c r="AX231" s="60"/>
      <c r="AY231" s="60"/>
      <c r="AZ231" s="60"/>
      <c r="BA231" s="60"/>
      <c r="BB231" s="60"/>
      <c r="BC231" s="60"/>
      <c r="BD231" s="60"/>
      <c r="BE231" s="60"/>
      <c r="BF231" s="60"/>
      <c r="BG231" s="60"/>
      <c r="BH231" s="60"/>
      <c r="BI231" s="60"/>
      <c r="BJ231" s="60"/>
      <c r="BK231" s="60"/>
      <c r="BL231" s="60"/>
      <c r="BM231" s="60"/>
      <c r="BN231" s="60"/>
      <c r="BO231" s="60"/>
      <c r="BP231" s="60"/>
      <c r="BQ231" s="60"/>
      <c r="BR231" s="60"/>
      <c r="BS231" s="60"/>
      <c r="BT231" s="60"/>
      <c r="BU231" s="60"/>
      <c r="BV231" s="60"/>
      <c r="BW231" s="60"/>
      <c r="BX231" s="60"/>
      <c r="BY231" s="60"/>
      <c r="BZ231" s="60"/>
      <c r="CA231" s="60"/>
      <c r="CB231" s="60"/>
      <c r="CC231" s="60"/>
      <c r="CD231" s="60"/>
      <c r="CE231" s="60"/>
      <c r="CF231" s="60"/>
      <c r="CG231" s="60"/>
      <c r="CH231" s="60"/>
      <c r="CI231" s="60"/>
      <c r="CJ231" s="60"/>
      <c r="CK231" s="60"/>
      <c r="CL231" s="60"/>
      <c r="CM231" s="60"/>
      <c r="CN231" s="60"/>
      <c r="CO231" s="60"/>
      <c r="CP231" s="60"/>
      <c r="CQ231" s="60"/>
      <c r="CR231" s="60"/>
      <c r="CS231" s="60"/>
      <c r="CT231" s="60"/>
      <c r="CU231" s="60"/>
      <c r="CV231" s="60"/>
      <c r="CW231" s="60"/>
      <c r="CX231" s="60"/>
      <c r="CY231" s="60"/>
      <c r="CZ231" s="60"/>
      <c r="DA231" s="60"/>
      <c r="DB231" s="60"/>
      <c r="DC231" s="60"/>
      <c r="DD231" s="60"/>
      <c r="DE231" s="60"/>
      <c r="DF231" s="60"/>
      <c r="DG231" s="60"/>
      <c r="DH231" s="60"/>
      <c r="DI231" s="60"/>
      <c r="DJ231" s="60"/>
      <c r="DK231" s="60"/>
      <c r="DL231" s="60"/>
      <c r="DM231" s="60"/>
      <c r="DN231" s="60"/>
      <c r="DO231" s="60"/>
      <c r="DP231" s="60"/>
      <c r="DQ231" s="60"/>
      <c r="DR231" s="60"/>
      <c r="DS231" s="60"/>
      <c r="DT231" s="60"/>
      <c r="DU231" s="60"/>
      <c r="DV231" s="60"/>
      <c r="DW231" s="60"/>
      <c r="DX231" s="60"/>
      <c r="DY231" s="60"/>
      <c r="DZ231" s="60"/>
      <c r="EA231" s="60"/>
      <c r="EB231" s="60"/>
      <c r="EC231" s="60"/>
      <c r="ED231" s="60"/>
      <c r="EE231" s="60"/>
      <c r="EF231" s="60"/>
      <c r="EG231" s="60"/>
      <c r="EH231" s="60"/>
      <c r="EI231" s="60"/>
      <c r="EJ231" s="60"/>
      <c r="EK231" s="60"/>
      <c r="EL231" s="60"/>
      <c r="EM231" s="60"/>
      <c r="EN231" s="60"/>
      <c r="EO231" s="60"/>
      <c r="EP231" s="60"/>
      <c r="EQ231" s="60"/>
      <c r="ER231" s="60"/>
      <c r="ES231" s="60"/>
      <c r="ET231" s="60"/>
      <c r="EU231" s="60"/>
      <c r="EV231" s="60"/>
      <c r="EW231" s="60"/>
      <c r="EX231" s="60"/>
      <c r="EY231" s="60"/>
      <c r="EZ231" s="60"/>
      <c r="FA231" s="60"/>
      <c r="FB231" s="60"/>
      <c r="FC231" s="60"/>
      <c r="FD231" s="60"/>
      <c r="FE231" s="60"/>
      <c r="FF231" s="60"/>
      <c r="FG231" s="60"/>
      <c r="FH231" s="60"/>
      <c r="FI231" s="60"/>
      <c r="FJ231" s="60"/>
      <c r="FK231" s="60"/>
      <c r="FL231" s="60"/>
      <c r="FM231" s="60"/>
      <c r="FN231" s="60"/>
      <c r="FO231" s="60"/>
      <c r="FP231" s="60"/>
      <c r="FQ231" s="60"/>
      <c r="FR231" s="60"/>
      <c r="FS231" s="60"/>
      <c r="FT231" s="60"/>
      <c r="FU231" s="60"/>
      <c r="FV231" s="60"/>
      <c r="FW231" s="60"/>
      <c r="FX231" s="60"/>
      <c r="FY231" s="60"/>
      <c r="FZ231" s="60"/>
      <c r="GA231" s="60"/>
      <c r="GB231" s="60"/>
      <c r="GC231" s="60"/>
      <c r="GD231" s="60"/>
      <c r="GE231" s="60"/>
      <c r="GF231" s="60"/>
      <c r="GG231" s="60"/>
      <c r="GH231" s="60"/>
      <c r="GI231" s="60"/>
      <c r="GJ231" s="60"/>
      <c r="GK231" s="60"/>
      <c r="GL231" s="60"/>
      <c r="GM231" s="60"/>
      <c r="GN231" s="60"/>
      <c r="GO231" s="60"/>
      <c r="GP231" s="60"/>
      <c r="GQ231" s="60"/>
      <c r="GR231" s="60"/>
      <c r="GS231" s="60"/>
      <c r="GT231" s="60"/>
      <c r="GU231" s="60"/>
      <c r="GV231" s="60"/>
      <c r="GW231" s="60"/>
      <c r="GX231" s="60"/>
      <c r="GY231" s="60"/>
      <c r="GZ231" s="60"/>
      <c r="HA231" s="60"/>
      <c r="HB231" s="60"/>
      <c r="HC231" s="60"/>
      <c r="HD231" s="60"/>
      <c r="HE231" s="60"/>
      <c r="HF231" s="60"/>
      <c r="HG231" s="60"/>
      <c r="HH231" s="60"/>
      <c r="HI231" s="60"/>
      <c r="HJ231" s="60"/>
      <c r="HK231" s="60"/>
      <c r="HL231" s="60"/>
      <c r="HM231" s="60"/>
      <c r="HN231" s="60"/>
      <c r="HO231" s="60"/>
      <c r="HP231" s="60"/>
      <c r="HQ231" s="60"/>
      <c r="HR231" s="60"/>
      <c r="HS231" s="60"/>
      <c r="HT231" s="60"/>
      <c r="HU231" s="60"/>
      <c r="HV231" s="60"/>
      <c r="HW231" s="60"/>
      <c r="HX231" s="60"/>
      <c r="HY231" s="60"/>
      <c r="HZ231" s="60"/>
      <c r="IA231" s="60"/>
      <c r="IB231" s="60"/>
      <c r="IC231" s="60"/>
      <c r="ID231" s="60"/>
      <c r="IE231" s="60"/>
      <c r="IF231" s="60"/>
      <c r="IG231" s="60"/>
      <c r="IH231" s="60"/>
      <c r="II231" s="60"/>
      <c r="IJ231" s="60"/>
      <c r="IK231" s="60"/>
      <c r="IL231" s="60"/>
      <c r="IM231" s="60"/>
      <c r="IN231" s="60"/>
      <c r="IO231" s="60"/>
      <c r="IP231" s="60"/>
      <c r="IQ231" s="60"/>
      <c r="IR231" s="60"/>
      <c r="IS231" s="60"/>
      <c r="IT231" s="60"/>
      <c r="IU231" s="60"/>
      <c r="IV231" s="60"/>
      <c r="IW231" s="60"/>
      <c r="IX231" s="60"/>
      <c r="IY231" s="60"/>
      <c r="IZ231" s="60"/>
      <c r="JA231" s="60"/>
      <c r="JB231" s="60"/>
      <c r="JC231" s="60"/>
      <c r="JD231" s="60"/>
      <c r="JE231" s="60"/>
      <c r="JF231" s="60"/>
      <c r="JG231" s="60"/>
      <c r="JH231" s="60"/>
      <c r="JI231" s="60"/>
      <c r="JJ231" s="60"/>
      <c r="JK231" s="60"/>
      <c r="JL231" s="60"/>
      <c r="JM231" s="60"/>
      <c r="JN231" s="60"/>
      <c r="JO231" s="60"/>
      <c r="JP231" s="60"/>
      <c r="JQ231" s="60"/>
      <c r="JR231" s="60"/>
      <c r="JS231" s="60"/>
      <c r="JT231" s="60"/>
      <c r="JU231" s="60"/>
      <c r="JV231" s="60"/>
      <c r="JW231" s="60"/>
      <c r="JX231" s="60"/>
      <c r="JY231" s="60"/>
      <c r="JZ231" s="60"/>
      <c r="KA231" s="60"/>
      <c r="KB231" s="60"/>
      <c r="KC231" s="60"/>
      <c r="KD231" s="60"/>
      <c r="KE231" s="60"/>
      <c r="KF231" s="60"/>
      <c r="KG231" s="60"/>
      <c r="KH231" s="60"/>
      <c r="KI231" s="60"/>
      <c r="KJ231" s="60"/>
      <c r="KK231" s="60"/>
      <c r="KL231" s="60"/>
      <c r="KM231" s="60"/>
      <c r="KN231" s="60"/>
      <c r="KO231" s="60"/>
      <c r="KP231" s="60"/>
      <c r="KQ231" s="60"/>
      <c r="KR231" s="60"/>
      <c r="KS231" s="60"/>
      <c r="KT231" s="60"/>
      <c r="KU231" s="60"/>
      <c r="KV231" s="60"/>
      <c r="KW231" s="60"/>
      <c r="KX231" s="60"/>
      <c r="KY231" s="60"/>
      <c r="KZ231" s="60"/>
      <c r="LA231" s="60"/>
      <c r="LB231" s="60"/>
      <c r="LC231" s="60"/>
      <c r="LD231" s="60"/>
      <c r="LE231" s="60"/>
      <c r="LF231" s="60"/>
      <c r="LG231" s="60"/>
      <c r="LH231" s="60"/>
    </row>
    <row r="232" spans="1:320" s="146" customFormat="1" x14ac:dyDescent="0.25">
      <c r="A232" s="147"/>
      <c r="B232" s="1"/>
      <c r="C232" s="1"/>
      <c r="D232" s="1"/>
      <c r="F232" s="148">
        <v>13</v>
      </c>
      <c r="G232" s="148"/>
      <c r="T232" s="17"/>
      <c r="U232" s="17"/>
      <c r="V232" s="17"/>
      <c r="W232" s="17"/>
      <c r="X232" s="17"/>
      <c r="Y232" s="17"/>
      <c r="Z232" s="17"/>
      <c r="AA232" s="17"/>
      <c r="AB232" s="17"/>
      <c r="AC232" s="60"/>
      <c r="AD232" s="60"/>
      <c r="AE232" s="60"/>
      <c r="AF232" s="60"/>
      <c r="AG232" s="60"/>
      <c r="AH232" s="60"/>
      <c r="AI232" s="60"/>
      <c r="AJ232" s="60"/>
      <c r="AK232" s="60"/>
      <c r="AL232" s="60"/>
      <c r="AM232" s="60"/>
      <c r="AN232" s="60"/>
      <c r="AO232" s="60"/>
      <c r="AP232" s="60"/>
      <c r="AQ232" s="60"/>
      <c r="AR232" s="60"/>
      <c r="AS232" s="60"/>
      <c r="AT232" s="60"/>
      <c r="AU232" s="60"/>
      <c r="AV232" s="60"/>
      <c r="AW232" s="60"/>
      <c r="AX232" s="60"/>
      <c r="AY232" s="60"/>
      <c r="AZ232" s="60"/>
      <c r="BA232" s="60"/>
      <c r="BB232" s="60"/>
      <c r="BC232" s="60"/>
      <c r="BD232" s="60"/>
      <c r="BE232" s="60"/>
      <c r="BF232" s="60"/>
      <c r="BG232" s="60"/>
      <c r="BH232" s="60"/>
      <c r="BI232" s="60"/>
      <c r="BJ232" s="60"/>
      <c r="BK232" s="60"/>
      <c r="BL232" s="60"/>
      <c r="BM232" s="60"/>
      <c r="BN232" s="60"/>
      <c r="BO232" s="60"/>
      <c r="BP232" s="60"/>
      <c r="BQ232" s="60"/>
      <c r="BR232" s="60"/>
      <c r="BS232" s="60"/>
      <c r="BT232" s="60"/>
      <c r="BU232" s="60"/>
      <c r="BV232" s="60"/>
      <c r="BW232" s="60"/>
      <c r="BX232" s="60"/>
      <c r="BY232" s="60"/>
      <c r="BZ232" s="60"/>
      <c r="CA232" s="60"/>
      <c r="CB232" s="60"/>
      <c r="CC232" s="60"/>
      <c r="CD232" s="60"/>
      <c r="CE232" s="60"/>
      <c r="CF232" s="60"/>
      <c r="CG232" s="60"/>
      <c r="CH232" s="60"/>
      <c r="CI232" s="60"/>
      <c r="CJ232" s="60"/>
      <c r="CK232" s="60"/>
      <c r="CL232" s="60"/>
      <c r="CM232" s="60"/>
      <c r="CN232" s="60"/>
      <c r="CO232" s="60"/>
      <c r="CP232" s="60"/>
      <c r="CQ232" s="60"/>
      <c r="CR232" s="60"/>
      <c r="CS232" s="60"/>
      <c r="CT232" s="60"/>
      <c r="CU232" s="60"/>
      <c r="CV232" s="60"/>
      <c r="CW232" s="60"/>
      <c r="CX232" s="60"/>
      <c r="CY232" s="60"/>
      <c r="CZ232" s="60"/>
      <c r="DA232" s="60"/>
      <c r="DB232" s="60"/>
      <c r="DC232" s="60"/>
      <c r="DD232" s="60"/>
      <c r="DE232" s="60"/>
      <c r="DF232" s="60"/>
      <c r="DG232" s="60"/>
      <c r="DH232" s="60"/>
      <c r="DI232" s="60"/>
      <c r="DJ232" s="60"/>
      <c r="DK232" s="60"/>
      <c r="DL232" s="60"/>
      <c r="DM232" s="60"/>
      <c r="DN232" s="60"/>
      <c r="DO232" s="60"/>
      <c r="DP232" s="60"/>
      <c r="DQ232" s="60"/>
      <c r="DR232" s="60"/>
      <c r="DS232" s="60"/>
      <c r="DT232" s="60"/>
      <c r="DU232" s="60"/>
      <c r="DV232" s="60"/>
      <c r="DW232" s="60"/>
      <c r="DX232" s="60"/>
      <c r="DY232" s="60"/>
      <c r="DZ232" s="60"/>
      <c r="EA232" s="60"/>
      <c r="EB232" s="60"/>
      <c r="EC232" s="60"/>
      <c r="ED232" s="60"/>
      <c r="EE232" s="60"/>
      <c r="EF232" s="60"/>
      <c r="EG232" s="60"/>
      <c r="EH232" s="60"/>
      <c r="EI232" s="60"/>
      <c r="EJ232" s="60"/>
      <c r="EK232" s="60"/>
      <c r="EL232" s="60"/>
      <c r="EM232" s="60"/>
      <c r="EN232" s="60"/>
      <c r="EO232" s="60"/>
      <c r="EP232" s="60"/>
      <c r="EQ232" s="60"/>
      <c r="ER232" s="60"/>
      <c r="ES232" s="60"/>
      <c r="ET232" s="60"/>
      <c r="EU232" s="60"/>
      <c r="EV232" s="60"/>
      <c r="EW232" s="60"/>
      <c r="EX232" s="60"/>
      <c r="EY232" s="60"/>
      <c r="EZ232" s="60"/>
      <c r="FA232" s="60"/>
      <c r="FB232" s="60"/>
      <c r="FC232" s="60"/>
      <c r="FD232" s="60"/>
      <c r="FE232" s="60"/>
      <c r="FF232" s="60"/>
      <c r="FG232" s="60"/>
      <c r="FH232" s="60"/>
      <c r="FI232" s="60"/>
      <c r="FJ232" s="60"/>
      <c r="FK232" s="60"/>
      <c r="FL232" s="60"/>
      <c r="FM232" s="60"/>
      <c r="FN232" s="60"/>
      <c r="FO232" s="60"/>
      <c r="FP232" s="60"/>
      <c r="FQ232" s="60"/>
      <c r="FR232" s="60"/>
      <c r="FS232" s="60"/>
      <c r="FT232" s="60"/>
      <c r="FU232" s="60"/>
      <c r="FV232" s="60"/>
      <c r="FW232" s="60"/>
      <c r="FX232" s="60"/>
      <c r="FY232" s="60"/>
      <c r="FZ232" s="60"/>
      <c r="GA232" s="60"/>
      <c r="GB232" s="60"/>
      <c r="GC232" s="60"/>
      <c r="GD232" s="60"/>
      <c r="GE232" s="60"/>
      <c r="GF232" s="60"/>
      <c r="GG232" s="60"/>
      <c r="GH232" s="60"/>
      <c r="GI232" s="60"/>
      <c r="GJ232" s="60"/>
      <c r="GK232" s="60"/>
      <c r="GL232" s="60"/>
      <c r="GM232" s="60"/>
      <c r="GN232" s="60"/>
      <c r="GO232" s="60"/>
      <c r="GP232" s="60"/>
      <c r="GQ232" s="60"/>
      <c r="GR232" s="60"/>
      <c r="GS232" s="60"/>
      <c r="GT232" s="60"/>
      <c r="GU232" s="60"/>
      <c r="GV232" s="60"/>
      <c r="GW232" s="60"/>
      <c r="GX232" s="60"/>
      <c r="GY232" s="60"/>
      <c r="GZ232" s="60"/>
      <c r="HA232" s="60"/>
      <c r="HB232" s="60"/>
      <c r="HC232" s="60"/>
      <c r="HD232" s="60"/>
      <c r="HE232" s="60"/>
      <c r="HF232" s="60"/>
      <c r="HG232" s="60"/>
      <c r="HH232" s="60"/>
      <c r="HI232" s="60"/>
      <c r="HJ232" s="60"/>
      <c r="HK232" s="60"/>
      <c r="HL232" s="60"/>
      <c r="HM232" s="60"/>
      <c r="HN232" s="60"/>
      <c r="HO232" s="60"/>
      <c r="HP232" s="60"/>
      <c r="HQ232" s="60"/>
      <c r="HR232" s="60"/>
      <c r="HS232" s="60"/>
      <c r="HT232" s="60"/>
      <c r="HU232" s="60"/>
      <c r="HV232" s="60"/>
      <c r="HW232" s="60"/>
      <c r="HX232" s="60"/>
      <c r="HY232" s="60"/>
      <c r="HZ232" s="60"/>
      <c r="IA232" s="60"/>
      <c r="IB232" s="60"/>
      <c r="IC232" s="60"/>
      <c r="ID232" s="60"/>
      <c r="IE232" s="60"/>
      <c r="IF232" s="60"/>
      <c r="IG232" s="60"/>
      <c r="IH232" s="60"/>
      <c r="II232" s="60"/>
      <c r="IJ232" s="60"/>
      <c r="IK232" s="60"/>
      <c r="IL232" s="60"/>
      <c r="IM232" s="60"/>
      <c r="IN232" s="60"/>
      <c r="IO232" s="60"/>
      <c r="IP232" s="60"/>
      <c r="IQ232" s="60"/>
      <c r="IR232" s="60"/>
      <c r="IS232" s="60"/>
      <c r="IT232" s="60"/>
      <c r="IU232" s="60"/>
      <c r="IV232" s="60"/>
      <c r="IW232" s="60"/>
      <c r="IX232" s="60"/>
      <c r="IY232" s="60"/>
      <c r="IZ232" s="60"/>
      <c r="JA232" s="60"/>
      <c r="JB232" s="60"/>
      <c r="JC232" s="60"/>
      <c r="JD232" s="60"/>
      <c r="JE232" s="60"/>
      <c r="JF232" s="60"/>
      <c r="JG232" s="60"/>
      <c r="JH232" s="60"/>
      <c r="JI232" s="60"/>
      <c r="JJ232" s="60"/>
      <c r="JK232" s="60"/>
      <c r="JL232" s="60"/>
      <c r="JM232" s="60"/>
      <c r="JN232" s="60"/>
      <c r="JO232" s="60"/>
      <c r="JP232" s="60"/>
      <c r="JQ232" s="60"/>
      <c r="JR232" s="60"/>
      <c r="JS232" s="60"/>
      <c r="JT232" s="60"/>
      <c r="JU232" s="60"/>
      <c r="JV232" s="60"/>
      <c r="JW232" s="60"/>
      <c r="JX232" s="60"/>
      <c r="JY232" s="60"/>
      <c r="JZ232" s="60"/>
      <c r="KA232" s="60"/>
      <c r="KB232" s="60"/>
      <c r="KC232" s="60"/>
      <c r="KD232" s="60"/>
      <c r="KE232" s="60"/>
      <c r="KF232" s="60"/>
      <c r="KG232" s="60"/>
      <c r="KH232" s="60"/>
      <c r="KI232" s="60"/>
      <c r="KJ232" s="60"/>
      <c r="KK232" s="60"/>
      <c r="KL232" s="60"/>
      <c r="KM232" s="60"/>
      <c r="KN232" s="60"/>
      <c r="KO232" s="60"/>
      <c r="KP232" s="60"/>
      <c r="KQ232" s="60"/>
      <c r="KR232" s="60"/>
      <c r="KS232" s="60"/>
      <c r="KT232" s="60"/>
      <c r="KU232" s="60"/>
      <c r="KV232" s="60"/>
      <c r="KW232" s="60"/>
      <c r="KX232" s="60"/>
      <c r="KY232" s="60"/>
      <c r="KZ232" s="60"/>
      <c r="LA232" s="60"/>
      <c r="LB232" s="60"/>
      <c r="LC232" s="60"/>
      <c r="LD232" s="60"/>
      <c r="LE232" s="60"/>
      <c r="LF232" s="60"/>
      <c r="LG232" s="60"/>
      <c r="LH232" s="60"/>
    </row>
    <row r="233" spans="1:320" s="146" customFormat="1" x14ac:dyDescent="0.25">
      <c r="A233" s="147"/>
      <c r="B233" s="1"/>
      <c r="C233" s="1"/>
      <c r="D233" s="1"/>
      <c r="F233" s="148">
        <v>14</v>
      </c>
      <c r="G233" s="148"/>
      <c r="T233" s="17"/>
      <c r="U233" s="17"/>
      <c r="V233" s="17"/>
      <c r="W233" s="17"/>
      <c r="X233" s="17"/>
      <c r="Y233" s="17"/>
      <c r="Z233" s="17"/>
      <c r="AA233" s="17"/>
      <c r="AB233" s="17"/>
      <c r="AC233" s="60"/>
      <c r="AD233" s="60"/>
      <c r="AE233" s="60"/>
      <c r="AF233" s="60"/>
      <c r="AG233" s="60"/>
      <c r="AH233" s="60"/>
      <c r="AI233" s="60"/>
      <c r="AJ233" s="60"/>
      <c r="AK233" s="60"/>
      <c r="AL233" s="60"/>
      <c r="AM233" s="60"/>
      <c r="AN233" s="60"/>
      <c r="AO233" s="60"/>
      <c r="AP233" s="60"/>
      <c r="AQ233" s="60"/>
      <c r="AR233" s="60"/>
      <c r="AS233" s="60"/>
      <c r="AT233" s="60"/>
      <c r="AU233" s="60"/>
      <c r="AV233" s="60"/>
      <c r="AW233" s="60"/>
      <c r="AX233" s="60"/>
      <c r="AY233" s="60"/>
      <c r="AZ233" s="60"/>
      <c r="BA233" s="60"/>
      <c r="BB233" s="60"/>
      <c r="BC233" s="60"/>
      <c r="BD233" s="60"/>
      <c r="BE233" s="60"/>
      <c r="BF233" s="60"/>
      <c r="BG233" s="60"/>
      <c r="BH233" s="60"/>
      <c r="BI233" s="60"/>
      <c r="BJ233" s="60"/>
      <c r="BK233" s="60"/>
      <c r="BL233" s="60"/>
      <c r="BM233" s="60"/>
      <c r="BN233" s="60"/>
      <c r="BO233" s="60"/>
      <c r="BP233" s="60"/>
      <c r="BQ233" s="60"/>
      <c r="BR233" s="60"/>
      <c r="BS233" s="60"/>
      <c r="BT233" s="60"/>
      <c r="BU233" s="60"/>
      <c r="BV233" s="60"/>
      <c r="BW233" s="60"/>
      <c r="BX233" s="60"/>
      <c r="BY233" s="60"/>
      <c r="BZ233" s="60"/>
      <c r="CA233" s="60"/>
      <c r="CB233" s="60"/>
      <c r="CC233" s="60"/>
      <c r="CD233" s="60"/>
      <c r="CE233" s="60"/>
      <c r="CF233" s="60"/>
      <c r="CG233" s="60"/>
      <c r="CH233" s="60"/>
      <c r="CI233" s="60"/>
      <c r="CJ233" s="60"/>
      <c r="CK233" s="60"/>
      <c r="CL233" s="60"/>
      <c r="CM233" s="60"/>
      <c r="CN233" s="60"/>
      <c r="CO233" s="60"/>
      <c r="CP233" s="60"/>
      <c r="CQ233" s="60"/>
      <c r="CR233" s="60"/>
      <c r="CS233" s="60"/>
      <c r="CT233" s="60"/>
      <c r="CU233" s="60"/>
      <c r="CV233" s="60"/>
      <c r="CW233" s="60"/>
      <c r="CX233" s="60"/>
      <c r="CY233" s="60"/>
      <c r="CZ233" s="60"/>
      <c r="DA233" s="60"/>
      <c r="DB233" s="60"/>
      <c r="DC233" s="60"/>
      <c r="DD233" s="60"/>
      <c r="DE233" s="60"/>
      <c r="DF233" s="60"/>
      <c r="DG233" s="60"/>
      <c r="DH233" s="60"/>
      <c r="DI233" s="60"/>
      <c r="DJ233" s="60"/>
      <c r="DK233" s="60"/>
      <c r="DL233" s="60"/>
      <c r="DM233" s="60"/>
      <c r="DN233" s="60"/>
      <c r="DO233" s="60"/>
      <c r="DP233" s="60"/>
      <c r="DQ233" s="60"/>
      <c r="DR233" s="60"/>
      <c r="DS233" s="60"/>
      <c r="DT233" s="60"/>
      <c r="DU233" s="60"/>
      <c r="DV233" s="60"/>
      <c r="DW233" s="60"/>
      <c r="DX233" s="60"/>
      <c r="DY233" s="60"/>
      <c r="DZ233" s="60"/>
      <c r="EA233" s="60"/>
      <c r="EB233" s="60"/>
      <c r="EC233" s="60"/>
      <c r="ED233" s="60"/>
      <c r="EE233" s="60"/>
      <c r="EF233" s="60"/>
      <c r="EG233" s="60"/>
      <c r="EH233" s="60"/>
      <c r="EI233" s="60"/>
      <c r="EJ233" s="60"/>
      <c r="EK233" s="60"/>
      <c r="EL233" s="60"/>
      <c r="EM233" s="60"/>
      <c r="EN233" s="60"/>
      <c r="EO233" s="60"/>
      <c r="EP233" s="60"/>
      <c r="EQ233" s="60"/>
      <c r="ER233" s="60"/>
      <c r="ES233" s="60"/>
      <c r="ET233" s="60"/>
      <c r="EU233" s="60"/>
      <c r="EV233" s="60"/>
      <c r="EW233" s="60"/>
      <c r="EX233" s="60"/>
      <c r="EY233" s="60"/>
      <c r="EZ233" s="60"/>
      <c r="FA233" s="60"/>
      <c r="FB233" s="60"/>
      <c r="FC233" s="60"/>
      <c r="FD233" s="60"/>
      <c r="FE233" s="60"/>
      <c r="FF233" s="60"/>
      <c r="FG233" s="60"/>
      <c r="FH233" s="60"/>
      <c r="FI233" s="60"/>
      <c r="FJ233" s="60"/>
      <c r="FK233" s="60"/>
      <c r="FL233" s="60"/>
      <c r="FM233" s="60"/>
      <c r="FN233" s="60"/>
      <c r="FO233" s="60"/>
      <c r="FP233" s="60"/>
      <c r="FQ233" s="60"/>
      <c r="FR233" s="60"/>
      <c r="FS233" s="60"/>
      <c r="FT233" s="60"/>
      <c r="FU233" s="60"/>
      <c r="FV233" s="60"/>
      <c r="FW233" s="60"/>
      <c r="FX233" s="60"/>
      <c r="FY233" s="60"/>
      <c r="FZ233" s="60"/>
      <c r="GA233" s="60"/>
      <c r="GB233" s="60"/>
      <c r="GC233" s="60"/>
      <c r="GD233" s="60"/>
      <c r="GE233" s="60"/>
      <c r="GF233" s="60"/>
      <c r="GG233" s="60"/>
      <c r="GH233" s="60"/>
      <c r="GI233" s="60"/>
      <c r="GJ233" s="60"/>
      <c r="GK233" s="60"/>
      <c r="GL233" s="60"/>
      <c r="GM233" s="60"/>
      <c r="GN233" s="60"/>
      <c r="GO233" s="60"/>
      <c r="GP233" s="60"/>
      <c r="GQ233" s="60"/>
      <c r="GR233" s="60"/>
      <c r="GS233" s="60"/>
      <c r="GT233" s="60"/>
      <c r="GU233" s="60"/>
      <c r="GV233" s="60"/>
      <c r="GW233" s="60"/>
      <c r="GX233" s="60"/>
      <c r="GY233" s="60"/>
      <c r="GZ233" s="60"/>
      <c r="HA233" s="60"/>
      <c r="HB233" s="60"/>
      <c r="HC233" s="60"/>
      <c r="HD233" s="60"/>
      <c r="HE233" s="60"/>
      <c r="HF233" s="60"/>
      <c r="HG233" s="60"/>
      <c r="HH233" s="60"/>
      <c r="HI233" s="60"/>
      <c r="HJ233" s="60"/>
      <c r="HK233" s="60"/>
      <c r="HL233" s="60"/>
      <c r="HM233" s="60"/>
      <c r="HN233" s="60"/>
      <c r="HO233" s="60"/>
      <c r="HP233" s="60"/>
      <c r="HQ233" s="60"/>
      <c r="HR233" s="60"/>
      <c r="HS233" s="60"/>
      <c r="HT233" s="60"/>
      <c r="HU233" s="60"/>
      <c r="HV233" s="60"/>
      <c r="HW233" s="60"/>
      <c r="HX233" s="60"/>
      <c r="HY233" s="60"/>
      <c r="HZ233" s="60"/>
      <c r="IA233" s="60"/>
      <c r="IB233" s="60"/>
      <c r="IC233" s="60"/>
      <c r="ID233" s="60"/>
      <c r="IE233" s="60"/>
      <c r="IF233" s="60"/>
      <c r="IG233" s="60"/>
      <c r="IH233" s="60"/>
      <c r="II233" s="60"/>
      <c r="IJ233" s="60"/>
      <c r="IK233" s="60"/>
      <c r="IL233" s="60"/>
      <c r="IM233" s="60"/>
      <c r="IN233" s="60"/>
      <c r="IO233" s="60"/>
      <c r="IP233" s="60"/>
      <c r="IQ233" s="60"/>
      <c r="IR233" s="60"/>
      <c r="IS233" s="60"/>
      <c r="IT233" s="60"/>
      <c r="IU233" s="60"/>
      <c r="IV233" s="60"/>
      <c r="IW233" s="60"/>
      <c r="IX233" s="60"/>
      <c r="IY233" s="60"/>
      <c r="IZ233" s="60"/>
      <c r="JA233" s="60"/>
      <c r="JB233" s="60"/>
      <c r="JC233" s="60"/>
      <c r="JD233" s="60"/>
      <c r="JE233" s="60"/>
      <c r="JF233" s="60"/>
      <c r="JG233" s="60"/>
      <c r="JH233" s="60"/>
      <c r="JI233" s="60"/>
      <c r="JJ233" s="60"/>
      <c r="JK233" s="60"/>
      <c r="JL233" s="60"/>
      <c r="JM233" s="60"/>
      <c r="JN233" s="60"/>
      <c r="JO233" s="60"/>
      <c r="JP233" s="60"/>
      <c r="JQ233" s="60"/>
      <c r="JR233" s="60"/>
      <c r="JS233" s="60"/>
      <c r="JT233" s="60"/>
      <c r="JU233" s="60"/>
      <c r="JV233" s="60"/>
      <c r="JW233" s="60"/>
      <c r="JX233" s="60"/>
      <c r="JY233" s="60"/>
      <c r="JZ233" s="60"/>
      <c r="KA233" s="60"/>
      <c r="KB233" s="60"/>
      <c r="KC233" s="60"/>
      <c r="KD233" s="60"/>
      <c r="KE233" s="60"/>
      <c r="KF233" s="60"/>
      <c r="KG233" s="60"/>
      <c r="KH233" s="60"/>
      <c r="KI233" s="60"/>
      <c r="KJ233" s="60"/>
      <c r="KK233" s="60"/>
      <c r="KL233" s="60"/>
      <c r="KM233" s="60"/>
      <c r="KN233" s="60"/>
      <c r="KO233" s="60"/>
      <c r="KP233" s="60"/>
      <c r="KQ233" s="60"/>
      <c r="KR233" s="60"/>
      <c r="KS233" s="60"/>
      <c r="KT233" s="60"/>
      <c r="KU233" s="60"/>
      <c r="KV233" s="60"/>
      <c r="KW233" s="60"/>
      <c r="KX233" s="60"/>
      <c r="KY233" s="60"/>
      <c r="KZ233" s="60"/>
      <c r="LA233" s="60"/>
      <c r="LB233" s="60"/>
      <c r="LC233" s="60"/>
      <c r="LD233" s="60"/>
      <c r="LE233" s="60"/>
      <c r="LF233" s="60"/>
      <c r="LG233" s="60"/>
      <c r="LH233" s="60"/>
    </row>
    <row r="234" spans="1:320" s="146" customFormat="1" x14ac:dyDescent="0.25">
      <c r="A234" s="147"/>
      <c r="B234" s="1"/>
      <c r="C234" s="1"/>
      <c r="D234" s="1"/>
      <c r="F234" s="148">
        <v>15</v>
      </c>
      <c r="G234" s="148"/>
      <c r="T234" s="17"/>
      <c r="U234" s="17"/>
      <c r="V234" s="17"/>
      <c r="W234" s="17"/>
      <c r="X234" s="17"/>
      <c r="Y234" s="17"/>
      <c r="Z234" s="17"/>
      <c r="AA234" s="17"/>
      <c r="AB234" s="17"/>
      <c r="AC234" s="60"/>
      <c r="AD234" s="60"/>
      <c r="AE234" s="60"/>
      <c r="AF234" s="60"/>
      <c r="AG234" s="60"/>
      <c r="AH234" s="60"/>
      <c r="AI234" s="60"/>
      <c r="AJ234" s="60"/>
      <c r="AK234" s="60"/>
      <c r="AL234" s="60"/>
      <c r="AM234" s="60"/>
      <c r="AN234" s="60"/>
      <c r="AO234" s="60"/>
      <c r="AP234" s="60"/>
      <c r="AQ234" s="60"/>
      <c r="AR234" s="60"/>
      <c r="AS234" s="60"/>
      <c r="AT234" s="60"/>
      <c r="AU234" s="60"/>
      <c r="AV234" s="60"/>
      <c r="AW234" s="60"/>
      <c r="AX234" s="60"/>
      <c r="AY234" s="60"/>
      <c r="AZ234" s="60"/>
      <c r="BA234" s="60"/>
      <c r="BB234" s="60"/>
      <c r="BC234" s="60"/>
      <c r="BD234" s="60"/>
      <c r="BE234" s="60"/>
      <c r="BF234" s="60"/>
      <c r="BG234" s="60"/>
      <c r="BH234" s="60"/>
      <c r="BI234" s="60"/>
      <c r="BJ234" s="60"/>
      <c r="BK234" s="60"/>
      <c r="BL234" s="60"/>
      <c r="BM234" s="60"/>
      <c r="BN234" s="60"/>
      <c r="BO234" s="60"/>
      <c r="BP234" s="60"/>
      <c r="BQ234" s="60"/>
      <c r="BR234" s="60"/>
      <c r="BS234" s="60"/>
      <c r="BT234" s="60"/>
      <c r="BU234" s="60"/>
      <c r="BV234" s="60"/>
      <c r="BW234" s="60"/>
      <c r="BX234" s="60"/>
      <c r="BY234" s="60"/>
      <c r="BZ234" s="60"/>
      <c r="CA234" s="60"/>
      <c r="CB234" s="60"/>
      <c r="CC234" s="60"/>
      <c r="CD234" s="60"/>
      <c r="CE234" s="60"/>
      <c r="CF234" s="60"/>
      <c r="CG234" s="60"/>
      <c r="CH234" s="60"/>
      <c r="CI234" s="60"/>
      <c r="CJ234" s="60"/>
      <c r="CK234" s="60"/>
      <c r="CL234" s="60"/>
      <c r="CM234" s="60"/>
      <c r="CN234" s="60"/>
      <c r="CO234" s="60"/>
      <c r="CP234" s="60"/>
      <c r="CQ234" s="60"/>
      <c r="CR234" s="60"/>
      <c r="CS234" s="60"/>
      <c r="CT234" s="60"/>
      <c r="CU234" s="60"/>
      <c r="CV234" s="60"/>
      <c r="CW234" s="60"/>
      <c r="CX234" s="60"/>
      <c r="CY234" s="60"/>
      <c r="CZ234" s="60"/>
      <c r="DA234" s="60"/>
      <c r="DB234" s="60"/>
      <c r="DC234" s="60"/>
      <c r="DD234" s="60"/>
      <c r="DE234" s="60"/>
      <c r="DF234" s="60"/>
      <c r="DG234" s="60"/>
      <c r="DH234" s="60"/>
      <c r="DI234" s="60"/>
      <c r="DJ234" s="60"/>
      <c r="DK234" s="60"/>
      <c r="DL234" s="60"/>
      <c r="DM234" s="60"/>
      <c r="DN234" s="60"/>
      <c r="DO234" s="60"/>
      <c r="DP234" s="60"/>
      <c r="DQ234" s="60"/>
      <c r="DR234" s="60"/>
      <c r="DS234" s="60"/>
      <c r="DT234" s="60"/>
      <c r="DU234" s="60"/>
      <c r="DV234" s="60"/>
      <c r="DW234" s="60"/>
      <c r="DX234" s="60"/>
      <c r="DY234" s="60"/>
      <c r="DZ234" s="60"/>
      <c r="EA234" s="60"/>
      <c r="EB234" s="60"/>
      <c r="EC234" s="60"/>
      <c r="ED234" s="60"/>
      <c r="EE234" s="60"/>
      <c r="EF234" s="60"/>
      <c r="EG234" s="60"/>
      <c r="EH234" s="60"/>
      <c r="EI234" s="60"/>
      <c r="EJ234" s="60"/>
      <c r="EK234" s="60"/>
      <c r="EL234" s="60"/>
      <c r="EM234" s="60"/>
      <c r="EN234" s="60"/>
      <c r="EO234" s="60"/>
      <c r="EP234" s="60"/>
      <c r="EQ234" s="60"/>
      <c r="ER234" s="60"/>
      <c r="ES234" s="60"/>
      <c r="ET234" s="60"/>
      <c r="EU234" s="60"/>
      <c r="EV234" s="60"/>
      <c r="EW234" s="60"/>
      <c r="EX234" s="60"/>
      <c r="EY234" s="60"/>
      <c r="EZ234" s="60"/>
      <c r="FA234" s="60"/>
      <c r="FB234" s="60"/>
      <c r="FC234" s="60"/>
      <c r="FD234" s="60"/>
      <c r="FE234" s="60"/>
      <c r="FF234" s="60"/>
      <c r="FG234" s="60"/>
      <c r="FH234" s="60"/>
      <c r="FI234" s="60"/>
      <c r="FJ234" s="60"/>
      <c r="FK234" s="60"/>
      <c r="FL234" s="60"/>
      <c r="FM234" s="60"/>
      <c r="FN234" s="60"/>
      <c r="FO234" s="60"/>
      <c r="FP234" s="60"/>
      <c r="FQ234" s="60"/>
      <c r="FR234" s="60"/>
      <c r="FS234" s="60"/>
      <c r="FT234" s="60"/>
      <c r="FU234" s="60"/>
      <c r="FV234" s="60"/>
      <c r="FW234" s="60"/>
      <c r="FX234" s="60"/>
      <c r="FY234" s="60"/>
      <c r="FZ234" s="60"/>
      <c r="GA234" s="60"/>
      <c r="GB234" s="60"/>
      <c r="GC234" s="60"/>
      <c r="GD234" s="60"/>
      <c r="GE234" s="60"/>
      <c r="GF234" s="60"/>
      <c r="GG234" s="60"/>
      <c r="GH234" s="60"/>
      <c r="GI234" s="60"/>
      <c r="GJ234" s="60"/>
      <c r="GK234" s="60"/>
      <c r="GL234" s="60"/>
      <c r="GM234" s="60"/>
      <c r="GN234" s="60"/>
      <c r="GO234" s="60"/>
      <c r="GP234" s="60"/>
      <c r="GQ234" s="60"/>
      <c r="GR234" s="60"/>
      <c r="GS234" s="60"/>
      <c r="GT234" s="60"/>
      <c r="GU234" s="60"/>
      <c r="GV234" s="60"/>
      <c r="GW234" s="60"/>
      <c r="GX234" s="60"/>
      <c r="GY234" s="60"/>
      <c r="GZ234" s="60"/>
      <c r="HA234" s="60"/>
      <c r="HB234" s="60"/>
      <c r="HC234" s="60"/>
      <c r="HD234" s="60"/>
      <c r="HE234" s="60"/>
      <c r="HF234" s="60"/>
      <c r="HG234" s="60"/>
      <c r="HH234" s="60"/>
      <c r="HI234" s="60"/>
      <c r="HJ234" s="60"/>
      <c r="HK234" s="60"/>
      <c r="HL234" s="60"/>
      <c r="HM234" s="60"/>
      <c r="HN234" s="60"/>
      <c r="HO234" s="60"/>
      <c r="HP234" s="60"/>
      <c r="HQ234" s="60"/>
      <c r="HR234" s="60"/>
      <c r="HS234" s="60"/>
      <c r="HT234" s="60"/>
      <c r="HU234" s="60"/>
      <c r="HV234" s="60"/>
      <c r="HW234" s="60"/>
      <c r="HX234" s="60"/>
      <c r="HY234" s="60"/>
      <c r="HZ234" s="60"/>
      <c r="IA234" s="60"/>
      <c r="IB234" s="60"/>
      <c r="IC234" s="60"/>
      <c r="ID234" s="60"/>
      <c r="IE234" s="60"/>
      <c r="IF234" s="60"/>
      <c r="IG234" s="60"/>
      <c r="IH234" s="60"/>
      <c r="II234" s="60"/>
      <c r="IJ234" s="60"/>
      <c r="IK234" s="60"/>
      <c r="IL234" s="60"/>
      <c r="IM234" s="60"/>
      <c r="IN234" s="60"/>
      <c r="IO234" s="60"/>
      <c r="IP234" s="60"/>
      <c r="IQ234" s="60"/>
      <c r="IR234" s="60"/>
      <c r="IS234" s="60"/>
      <c r="IT234" s="60"/>
      <c r="IU234" s="60"/>
      <c r="IV234" s="60"/>
      <c r="IW234" s="60"/>
      <c r="IX234" s="60"/>
      <c r="IY234" s="60"/>
      <c r="IZ234" s="60"/>
      <c r="JA234" s="60"/>
      <c r="JB234" s="60"/>
      <c r="JC234" s="60"/>
      <c r="JD234" s="60"/>
      <c r="JE234" s="60"/>
      <c r="JF234" s="60"/>
      <c r="JG234" s="60"/>
      <c r="JH234" s="60"/>
      <c r="JI234" s="60"/>
      <c r="JJ234" s="60"/>
      <c r="JK234" s="60"/>
      <c r="JL234" s="60"/>
      <c r="JM234" s="60"/>
      <c r="JN234" s="60"/>
      <c r="JO234" s="60"/>
      <c r="JP234" s="60"/>
      <c r="JQ234" s="60"/>
      <c r="JR234" s="60"/>
      <c r="JS234" s="60"/>
      <c r="JT234" s="60"/>
      <c r="JU234" s="60"/>
      <c r="JV234" s="60"/>
      <c r="JW234" s="60"/>
      <c r="JX234" s="60"/>
      <c r="JY234" s="60"/>
      <c r="JZ234" s="60"/>
      <c r="KA234" s="60"/>
      <c r="KB234" s="60"/>
      <c r="KC234" s="60"/>
      <c r="KD234" s="60"/>
      <c r="KE234" s="60"/>
      <c r="KF234" s="60"/>
      <c r="KG234" s="60"/>
      <c r="KH234" s="60"/>
      <c r="KI234" s="60"/>
      <c r="KJ234" s="60"/>
      <c r="KK234" s="60"/>
      <c r="KL234" s="60"/>
      <c r="KM234" s="60"/>
      <c r="KN234" s="60"/>
      <c r="KO234" s="60"/>
      <c r="KP234" s="60"/>
      <c r="KQ234" s="60"/>
      <c r="KR234" s="60"/>
      <c r="KS234" s="60"/>
      <c r="KT234" s="60"/>
      <c r="KU234" s="60"/>
      <c r="KV234" s="60"/>
      <c r="KW234" s="60"/>
      <c r="KX234" s="60"/>
      <c r="KY234" s="60"/>
      <c r="KZ234" s="60"/>
      <c r="LA234" s="60"/>
      <c r="LB234" s="60"/>
      <c r="LC234" s="60"/>
      <c r="LD234" s="60"/>
      <c r="LE234" s="60"/>
      <c r="LF234" s="60"/>
      <c r="LG234" s="60"/>
      <c r="LH234" s="60"/>
    </row>
    <row r="235" spans="1:320" s="146" customFormat="1" x14ac:dyDescent="0.25">
      <c r="A235" s="147"/>
      <c r="B235" s="1"/>
      <c r="C235" s="1"/>
      <c r="D235" s="1"/>
      <c r="F235" s="148">
        <v>16</v>
      </c>
      <c r="G235" s="148"/>
      <c r="T235" s="17"/>
      <c r="U235" s="17"/>
      <c r="V235" s="17"/>
      <c r="W235" s="17"/>
      <c r="X235" s="17"/>
      <c r="Y235" s="17"/>
      <c r="Z235" s="17"/>
      <c r="AA235" s="17"/>
      <c r="AB235" s="17"/>
      <c r="AC235" s="60"/>
      <c r="AD235" s="60"/>
      <c r="AE235" s="60"/>
      <c r="AF235" s="60"/>
      <c r="AG235" s="60"/>
      <c r="AH235" s="60"/>
      <c r="AI235" s="60"/>
      <c r="AJ235" s="60"/>
      <c r="AK235" s="60"/>
      <c r="AL235" s="60"/>
      <c r="AM235" s="60"/>
      <c r="AN235" s="60"/>
      <c r="AO235" s="60"/>
      <c r="AP235" s="60"/>
      <c r="AQ235" s="60"/>
      <c r="AR235" s="60"/>
      <c r="AS235" s="60"/>
      <c r="AT235" s="60"/>
      <c r="AU235" s="60"/>
      <c r="AV235" s="60"/>
      <c r="AW235" s="60"/>
      <c r="AX235" s="60"/>
      <c r="AY235" s="60"/>
      <c r="AZ235" s="60"/>
      <c r="BA235" s="60"/>
      <c r="BB235" s="60"/>
      <c r="BC235" s="60"/>
      <c r="BD235" s="60"/>
      <c r="BE235" s="60"/>
      <c r="BF235" s="60"/>
      <c r="BG235" s="60"/>
      <c r="BH235" s="60"/>
      <c r="BI235" s="60"/>
      <c r="BJ235" s="60"/>
      <c r="BK235" s="60"/>
      <c r="BL235" s="60"/>
      <c r="BM235" s="60"/>
      <c r="BN235" s="60"/>
      <c r="BO235" s="60"/>
      <c r="BP235" s="60"/>
      <c r="BQ235" s="60"/>
      <c r="BR235" s="60"/>
      <c r="BS235" s="60"/>
      <c r="BT235" s="60"/>
      <c r="BU235" s="60"/>
      <c r="BV235" s="60"/>
      <c r="BW235" s="60"/>
      <c r="BX235" s="60"/>
      <c r="BY235" s="60"/>
      <c r="BZ235" s="60"/>
      <c r="CA235" s="60"/>
      <c r="CB235" s="60"/>
      <c r="CC235" s="60"/>
      <c r="CD235" s="60"/>
      <c r="CE235" s="60"/>
      <c r="CF235" s="60"/>
      <c r="CG235" s="60"/>
      <c r="CH235" s="60"/>
      <c r="CI235" s="60"/>
      <c r="CJ235" s="60"/>
      <c r="CK235" s="60"/>
      <c r="CL235" s="60"/>
      <c r="CM235" s="60"/>
      <c r="CN235" s="60"/>
      <c r="CO235" s="60"/>
      <c r="CP235" s="60"/>
      <c r="CQ235" s="60"/>
      <c r="CR235" s="60"/>
      <c r="CS235" s="60"/>
      <c r="CT235" s="60"/>
      <c r="CU235" s="60"/>
      <c r="CV235" s="60"/>
      <c r="CW235" s="60"/>
      <c r="CX235" s="60"/>
      <c r="CY235" s="60"/>
      <c r="CZ235" s="60"/>
      <c r="DA235" s="60"/>
      <c r="DB235" s="60"/>
      <c r="DC235" s="60"/>
      <c r="DD235" s="60"/>
      <c r="DE235" s="60"/>
      <c r="DF235" s="60"/>
      <c r="DG235" s="60"/>
      <c r="DH235" s="60"/>
      <c r="DI235" s="60"/>
      <c r="DJ235" s="60"/>
      <c r="DK235" s="60"/>
      <c r="DL235" s="60"/>
      <c r="DM235" s="60"/>
      <c r="DN235" s="60"/>
      <c r="DO235" s="60"/>
      <c r="DP235" s="60"/>
      <c r="DQ235" s="60"/>
      <c r="DR235" s="60"/>
      <c r="DS235" s="60"/>
      <c r="DT235" s="60"/>
      <c r="DU235" s="60"/>
      <c r="DV235" s="60"/>
      <c r="DW235" s="60"/>
      <c r="DX235" s="60"/>
      <c r="DY235" s="60"/>
      <c r="DZ235" s="60"/>
      <c r="EA235" s="60"/>
      <c r="EB235" s="60"/>
      <c r="EC235" s="60"/>
      <c r="ED235" s="60"/>
      <c r="EE235" s="60"/>
      <c r="EF235" s="60"/>
      <c r="EG235" s="60"/>
      <c r="EH235" s="60"/>
      <c r="EI235" s="60"/>
      <c r="EJ235" s="60"/>
      <c r="EK235" s="60"/>
      <c r="EL235" s="60"/>
      <c r="EM235" s="60"/>
      <c r="EN235" s="60"/>
      <c r="EO235" s="60"/>
      <c r="EP235" s="60"/>
      <c r="EQ235" s="60"/>
      <c r="ER235" s="60"/>
      <c r="ES235" s="60"/>
      <c r="ET235" s="60"/>
      <c r="EU235" s="60"/>
      <c r="EV235" s="60"/>
      <c r="EW235" s="60"/>
      <c r="EX235" s="60"/>
      <c r="EY235" s="60"/>
      <c r="EZ235" s="60"/>
      <c r="FA235" s="60"/>
      <c r="FB235" s="60"/>
      <c r="FC235" s="60"/>
      <c r="FD235" s="60"/>
      <c r="FE235" s="60"/>
      <c r="FF235" s="60"/>
      <c r="FG235" s="60"/>
      <c r="FH235" s="60"/>
      <c r="FI235" s="60"/>
      <c r="FJ235" s="60"/>
      <c r="FK235" s="60"/>
      <c r="FL235" s="60"/>
      <c r="FM235" s="60"/>
      <c r="FN235" s="60"/>
      <c r="FO235" s="60"/>
      <c r="FP235" s="60"/>
      <c r="FQ235" s="60"/>
      <c r="FR235" s="60"/>
      <c r="FS235" s="60"/>
      <c r="FT235" s="60"/>
      <c r="FU235" s="60"/>
      <c r="FV235" s="60"/>
      <c r="FW235" s="60"/>
      <c r="FX235" s="60"/>
      <c r="FY235" s="60"/>
      <c r="FZ235" s="60"/>
      <c r="GA235" s="60"/>
      <c r="GB235" s="60"/>
      <c r="GC235" s="60"/>
      <c r="GD235" s="60"/>
      <c r="GE235" s="60"/>
      <c r="GF235" s="60"/>
      <c r="GG235" s="60"/>
      <c r="GH235" s="60"/>
      <c r="GI235" s="60"/>
      <c r="GJ235" s="60"/>
      <c r="GK235" s="60"/>
      <c r="GL235" s="60"/>
      <c r="GM235" s="60"/>
      <c r="GN235" s="60"/>
      <c r="GO235" s="60"/>
      <c r="GP235" s="60"/>
      <c r="GQ235" s="60"/>
      <c r="GR235" s="60"/>
      <c r="GS235" s="60"/>
      <c r="GT235" s="60"/>
      <c r="GU235" s="60"/>
      <c r="GV235" s="60"/>
      <c r="GW235" s="60"/>
      <c r="GX235" s="60"/>
      <c r="GY235" s="60"/>
      <c r="GZ235" s="60"/>
      <c r="HA235" s="60"/>
      <c r="HB235" s="60"/>
      <c r="HC235" s="60"/>
      <c r="HD235" s="60"/>
      <c r="HE235" s="60"/>
      <c r="HF235" s="60"/>
      <c r="HG235" s="60"/>
      <c r="HH235" s="60"/>
      <c r="HI235" s="60"/>
      <c r="HJ235" s="60"/>
      <c r="HK235" s="60"/>
      <c r="HL235" s="60"/>
      <c r="HM235" s="60"/>
      <c r="HN235" s="60"/>
      <c r="HO235" s="60"/>
      <c r="HP235" s="60"/>
      <c r="HQ235" s="60"/>
      <c r="HR235" s="60"/>
      <c r="HS235" s="60"/>
      <c r="HT235" s="60"/>
      <c r="HU235" s="60"/>
      <c r="HV235" s="60"/>
      <c r="HW235" s="60"/>
      <c r="HX235" s="60"/>
      <c r="HY235" s="60"/>
      <c r="HZ235" s="60"/>
      <c r="IA235" s="60"/>
      <c r="IB235" s="60"/>
      <c r="IC235" s="60"/>
      <c r="ID235" s="60"/>
      <c r="IE235" s="60"/>
      <c r="IF235" s="60"/>
      <c r="IG235" s="60"/>
      <c r="IH235" s="60"/>
      <c r="II235" s="60"/>
      <c r="IJ235" s="60"/>
      <c r="IK235" s="60"/>
      <c r="IL235" s="60"/>
      <c r="IM235" s="60"/>
      <c r="IN235" s="60"/>
      <c r="IO235" s="60"/>
      <c r="IP235" s="60"/>
      <c r="IQ235" s="60"/>
      <c r="IR235" s="60"/>
      <c r="IS235" s="60"/>
      <c r="IT235" s="60"/>
      <c r="IU235" s="60"/>
      <c r="IV235" s="60"/>
      <c r="IW235" s="60"/>
      <c r="IX235" s="60"/>
      <c r="IY235" s="60"/>
      <c r="IZ235" s="60"/>
      <c r="JA235" s="60"/>
      <c r="JB235" s="60"/>
      <c r="JC235" s="60"/>
      <c r="JD235" s="60"/>
      <c r="JE235" s="60"/>
      <c r="JF235" s="60"/>
      <c r="JG235" s="60"/>
      <c r="JH235" s="60"/>
      <c r="JI235" s="60"/>
      <c r="JJ235" s="60"/>
      <c r="JK235" s="60"/>
      <c r="JL235" s="60"/>
      <c r="JM235" s="60"/>
      <c r="JN235" s="60"/>
      <c r="JO235" s="60"/>
      <c r="JP235" s="60"/>
      <c r="JQ235" s="60"/>
      <c r="JR235" s="60"/>
      <c r="JS235" s="60"/>
      <c r="JT235" s="60"/>
      <c r="JU235" s="60"/>
      <c r="JV235" s="60"/>
      <c r="JW235" s="60"/>
      <c r="JX235" s="60"/>
      <c r="JY235" s="60"/>
      <c r="JZ235" s="60"/>
      <c r="KA235" s="60"/>
      <c r="KB235" s="60"/>
      <c r="KC235" s="60"/>
      <c r="KD235" s="60"/>
      <c r="KE235" s="60"/>
      <c r="KF235" s="60"/>
      <c r="KG235" s="60"/>
      <c r="KH235" s="60"/>
      <c r="KI235" s="60"/>
      <c r="KJ235" s="60"/>
      <c r="KK235" s="60"/>
      <c r="KL235" s="60"/>
      <c r="KM235" s="60"/>
      <c r="KN235" s="60"/>
      <c r="KO235" s="60"/>
      <c r="KP235" s="60"/>
      <c r="KQ235" s="60"/>
      <c r="KR235" s="60"/>
      <c r="KS235" s="60"/>
      <c r="KT235" s="60"/>
      <c r="KU235" s="60"/>
      <c r="KV235" s="60"/>
      <c r="KW235" s="60"/>
      <c r="KX235" s="60"/>
      <c r="KY235" s="60"/>
      <c r="KZ235" s="60"/>
      <c r="LA235" s="60"/>
      <c r="LB235" s="60"/>
      <c r="LC235" s="60"/>
      <c r="LD235" s="60"/>
      <c r="LE235" s="60"/>
      <c r="LF235" s="60"/>
      <c r="LG235" s="60"/>
      <c r="LH235" s="60"/>
    </row>
    <row r="236" spans="1:320" s="146" customFormat="1" ht="17.25" x14ac:dyDescent="0.25">
      <c r="A236" s="147"/>
      <c r="B236" s="1"/>
      <c r="C236" s="1"/>
      <c r="D236" s="1"/>
      <c r="F236" s="148">
        <v>17</v>
      </c>
      <c r="G236" s="148"/>
      <c r="I236" s="146" t="s">
        <v>28</v>
      </c>
      <c r="J236" s="146" t="s">
        <v>98</v>
      </c>
      <c r="L236" s="146" t="s">
        <v>97</v>
      </c>
      <c r="T236" s="17"/>
      <c r="U236" s="17"/>
      <c r="V236" s="17"/>
      <c r="W236" s="17"/>
      <c r="X236" s="17"/>
      <c r="Y236" s="17"/>
      <c r="Z236" s="17"/>
      <c r="AA236" s="17"/>
      <c r="AB236" s="17"/>
      <c r="AC236" s="60"/>
      <c r="AD236" s="60"/>
      <c r="AE236" s="60"/>
      <c r="AF236" s="60"/>
      <c r="AG236" s="60"/>
      <c r="AH236" s="60"/>
      <c r="AI236" s="60"/>
      <c r="AJ236" s="60"/>
      <c r="AK236" s="60"/>
      <c r="AL236" s="60"/>
      <c r="AM236" s="60"/>
      <c r="AN236" s="60"/>
      <c r="AO236" s="60"/>
      <c r="AP236" s="60"/>
      <c r="AQ236" s="60"/>
      <c r="AR236" s="60"/>
      <c r="AS236" s="60"/>
      <c r="AT236" s="60"/>
      <c r="AU236" s="60"/>
      <c r="AV236" s="60"/>
      <c r="AW236" s="60"/>
      <c r="AX236" s="60"/>
      <c r="AY236" s="60"/>
      <c r="AZ236" s="60"/>
      <c r="BA236" s="60"/>
      <c r="BB236" s="60"/>
      <c r="BC236" s="60"/>
      <c r="BD236" s="60"/>
      <c r="BE236" s="60"/>
      <c r="BF236" s="60"/>
      <c r="BG236" s="60"/>
      <c r="BH236" s="60"/>
      <c r="BI236" s="60"/>
      <c r="BJ236" s="60"/>
      <c r="BK236" s="60"/>
      <c r="BL236" s="60"/>
      <c r="BM236" s="60"/>
      <c r="BN236" s="60"/>
      <c r="BO236" s="60"/>
      <c r="BP236" s="60"/>
      <c r="BQ236" s="60"/>
      <c r="BR236" s="60"/>
      <c r="BS236" s="60"/>
      <c r="BT236" s="60"/>
      <c r="BU236" s="60"/>
      <c r="BV236" s="60"/>
      <c r="BW236" s="60"/>
      <c r="BX236" s="60"/>
      <c r="BY236" s="60"/>
      <c r="BZ236" s="60"/>
      <c r="CA236" s="60"/>
      <c r="CB236" s="60"/>
      <c r="CC236" s="60"/>
      <c r="CD236" s="60"/>
      <c r="CE236" s="60"/>
      <c r="CF236" s="60"/>
      <c r="CG236" s="60"/>
      <c r="CH236" s="60"/>
      <c r="CI236" s="60"/>
      <c r="CJ236" s="60"/>
      <c r="CK236" s="60"/>
      <c r="CL236" s="60"/>
      <c r="CM236" s="60"/>
      <c r="CN236" s="60"/>
      <c r="CO236" s="60"/>
      <c r="CP236" s="60"/>
      <c r="CQ236" s="60"/>
      <c r="CR236" s="60"/>
      <c r="CS236" s="60"/>
      <c r="CT236" s="60"/>
      <c r="CU236" s="60"/>
      <c r="CV236" s="60"/>
      <c r="CW236" s="60"/>
      <c r="CX236" s="60"/>
      <c r="CY236" s="60"/>
      <c r="CZ236" s="60"/>
      <c r="DA236" s="60"/>
      <c r="DB236" s="60"/>
      <c r="DC236" s="60"/>
      <c r="DD236" s="60"/>
      <c r="DE236" s="60"/>
      <c r="DF236" s="60"/>
      <c r="DG236" s="60"/>
      <c r="DH236" s="60"/>
      <c r="DI236" s="60"/>
      <c r="DJ236" s="60"/>
      <c r="DK236" s="60"/>
      <c r="DL236" s="60"/>
      <c r="DM236" s="60"/>
      <c r="DN236" s="60"/>
      <c r="DO236" s="60"/>
      <c r="DP236" s="60"/>
      <c r="DQ236" s="60"/>
      <c r="DR236" s="60"/>
      <c r="DS236" s="60"/>
      <c r="DT236" s="60"/>
      <c r="DU236" s="60"/>
      <c r="DV236" s="60"/>
      <c r="DW236" s="60"/>
      <c r="DX236" s="60"/>
      <c r="DY236" s="60"/>
      <c r="DZ236" s="60"/>
      <c r="EA236" s="60"/>
      <c r="EB236" s="60"/>
      <c r="EC236" s="60"/>
      <c r="ED236" s="60"/>
      <c r="EE236" s="60"/>
      <c r="EF236" s="60"/>
      <c r="EG236" s="60"/>
      <c r="EH236" s="60"/>
      <c r="EI236" s="60"/>
      <c r="EJ236" s="60"/>
      <c r="EK236" s="60"/>
      <c r="EL236" s="60"/>
      <c r="EM236" s="60"/>
      <c r="EN236" s="60"/>
      <c r="EO236" s="60"/>
      <c r="EP236" s="60"/>
      <c r="EQ236" s="60"/>
      <c r="ER236" s="60"/>
      <c r="ES236" s="60"/>
      <c r="ET236" s="60"/>
      <c r="EU236" s="60"/>
      <c r="EV236" s="60"/>
      <c r="EW236" s="60"/>
      <c r="EX236" s="60"/>
      <c r="EY236" s="60"/>
      <c r="EZ236" s="60"/>
      <c r="FA236" s="60"/>
      <c r="FB236" s="60"/>
      <c r="FC236" s="60"/>
      <c r="FD236" s="60"/>
      <c r="FE236" s="60"/>
      <c r="FF236" s="60"/>
      <c r="FG236" s="60"/>
      <c r="FH236" s="60"/>
      <c r="FI236" s="60"/>
      <c r="FJ236" s="60"/>
      <c r="FK236" s="60"/>
      <c r="FL236" s="60"/>
      <c r="FM236" s="60"/>
      <c r="FN236" s="60"/>
      <c r="FO236" s="60"/>
      <c r="FP236" s="60"/>
      <c r="FQ236" s="60"/>
      <c r="FR236" s="60"/>
      <c r="FS236" s="60"/>
      <c r="FT236" s="60"/>
      <c r="FU236" s="60"/>
      <c r="FV236" s="60"/>
      <c r="FW236" s="60"/>
      <c r="FX236" s="60"/>
      <c r="FY236" s="60"/>
      <c r="FZ236" s="60"/>
      <c r="GA236" s="60"/>
      <c r="GB236" s="60"/>
      <c r="GC236" s="60"/>
      <c r="GD236" s="60"/>
      <c r="GE236" s="60"/>
      <c r="GF236" s="60"/>
      <c r="GG236" s="60"/>
      <c r="GH236" s="60"/>
      <c r="GI236" s="60"/>
      <c r="GJ236" s="60"/>
      <c r="GK236" s="60"/>
      <c r="GL236" s="60"/>
      <c r="GM236" s="60"/>
      <c r="GN236" s="60"/>
      <c r="GO236" s="60"/>
      <c r="GP236" s="60"/>
      <c r="GQ236" s="60"/>
      <c r="GR236" s="60"/>
      <c r="GS236" s="60"/>
      <c r="GT236" s="60"/>
      <c r="GU236" s="60"/>
      <c r="GV236" s="60"/>
      <c r="GW236" s="60"/>
      <c r="GX236" s="60"/>
      <c r="GY236" s="60"/>
      <c r="GZ236" s="60"/>
      <c r="HA236" s="60"/>
      <c r="HB236" s="60"/>
      <c r="HC236" s="60"/>
      <c r="HD236" s="60"/>
      <c r="HE236" s="60"/>
      <c r="HF236" s="60"/>
      <c r="HG236" s="60"/>
      <c r="HH236" s="60"/>
      <c r="HI236" s="60"/>
      <c r="HJ236" s="60"/>
      <c r="HK236" s="60"/>
      <c r="HL236" s="60"/>
      <c r="HM236" s="60"/>
      <c r="HN236" s="60"/>
      <c r="HO236" s="60"/>
      <c r="HP236" s="60"/>
      <c r="HQ236" s="60"/>
      <c r="HR236" s="60"/>
      <c r="HS236" s="60"/>
      <c r="HT236" s="60"/>
      <c r="HU236" s="60"/>
      <c r="HV236" s="60"/>
      <c r="HW236" s="60"/>
      <c r="HX236" s="60"/>
      <c r="HY236" s="60"/>
      <c r="HZ236" s="60"/>
      <c r="IA236" s="60"/>
      <c r="IB236" s="60"/>
      <c r="IC236" s="60"/>
      <c r="ID236" s="60"/>
      <c r="IE236" s="60"/>
      <c r="IF236" s="60"/>
      <c r="IG236" s="60"/>
      <c r="IH236" s="60"/>
      <c r="II236" s="60"/>
      <c r="IJ236" s="60"/>
      <c r="IK236" s="60"/>
      <c r="IL236" s="60"/>
      <c r="IM236" s="60"/>
      <c r="IN236" s="60"/>
      <c r="IO236" s="60"/>
      <c r="IP236" s="60"/>
      <c r="IQ236" s="60"/>
      <c r="IR236" s="60"/>
      <c r="IS236" s="60"/>
      <c r="IT236" s="60"/>
      <c r="IU236" s="60"/>
      <c r="IV236" s="60"/>
      <c r="IW236" s="60"/>
      <c r="IX236" s="60"/>
      <c r="IY236" s="60"/>
      <c r="IZ236" s="60"/>
      <c r="JA236" s="60"/>
      <c r="JB236" s="60"/>
      <c r="JC236" s="60"/>
      <c r="JD236" s="60"/>
      <c r="JE236" s="60"/>
      <c r="JF236" s="60"/>
      <c r="JG236" s="60"/>
      <c r="JH236" s="60"/>
      <c r="JI236" s="60"/>
      <c r="JJ236" s="60"/>
      <c r="JK236" s="60"/>
      <c r="JL236" s="60"/>
      <c r="JM236" s="60"/>
      <c r="JN236" s="60"/>
      <c r="JO236" s="60"/>
      <c r="JP236" s="60"/>
      <c r="JQ236" s="60"/>
      <c r="JR236" s="60"/>
      <c r="JS236" s="60"/>
      <c r="JT236" s="60"/>
      <c r="JU236" s="60"/>
      <c r="JV236" s="60"/>
      <c r="JW236" s="60"/>
      <c r="JX236" s="60"/>
      <c r="JY236" s="60"/>
      <c r="JZ236" s="60"/>
      <c r="KA236" s="60"/>
      <c r="KB236" s="60"/>
      <c r="KC236" s="60"/>
      <c r="KD236" s="60"/>
      <c r="KE236" s="60"/>
      <c r="KF236" s="60"/>
      <c r="KG236" s="60"/>
      <c r="KH236" s="60"/>
      <c r="KI236" s="60"/>
      <c r="KJ236" s="60"/>
      <c r="KK236" s="60"/>
      <c r="KL236" s="60"/>
      <c r="KM236" s="60"/>
      <c r="KN236" s="60"/>
      <c r="KO236" s="60"/>
      <c r="KP236" s="60"/>
      <c r="KQ236" s="60"/>
      <c r="KR236" s="60"/>
      <c r="KS236" s="60"/>
      <c r="KT236" s="60"/>
      <c r="KU236" s="60"/>
      <c r="KV236" s="60"/>
      <c r="KW236" s="60"/>
      <c r="KX236" s="60"/>
      <c r="KY236" s="60"/>
      <c r="KZ236" s="60"/>
      <c r="LA236" s="60"/>
      <c r="LB236" s="60"/>
      <c r="LC236" s="60"/>
      <c r="LD236" s="60"/>
      <c r="LE236" s="60"/>
      <c r="LF236" s="60"/>
      <c r="LG236" s="60"/>
      <c r="LH236" s="60"/>
    </row>
    <row r="237" spans="1:320" s="146" customFormat="1" x14ac:dyDescent="0.25">
      <c r="A237" s="147"/>
      <c r="B237" s="1"/>
      <c r="C237" s="1"/>
      <c r="D237" s="1"/>
      <c r="F237" s="148">
        <v>18</v>
      </c>
      <c r="G237" s="148"/>
      <c r="I237" s="146" t="s">
        <v>96</v>
      </c>
      <c r="J237" s="146" t="s">
        <v>95</v>
      </c>
      <c r="T237" s="17"/>
      <c r="U237" s="17"/>
      <c r="V237" s="17"/>
      <c r="W237" s="17"/>
      <c r="X237" s="17"/>
      <c r="Y237" s="17"/>
      <c r="Z237" s="17"/>
      <c r="AA237" s="17"/>
      <c r="AB237" s="17"/>
      <c r="AC237" s="60"/>
      <c r="AD237" s="60"/>
      <c r="AE237" s="60"/>
      <c r="AF237" s="60"/>
      <c r="AG237" s="60"/>
      <c r="AH237" s="60"/>
      <c r="AI237" s="60"/>
      <c r="AJ237" s="60"/>
      <c r="AK237" s="60"/>
      <c r="AL237" s="60"/>
      <c r="AM237" s="60"/>
      <c r="AN237" s="60"/>
      <c r="AO237" s="60"/>
      <c r="AP237" s="60"/>
      <c r="AQ237" s="60"/>
      <c r="AR237" s="60"/>
      <c r="AS237" s="60"/>
      <c r="AT237" s="60"/>
      <c r="AU237" s="60"/>
      <c r="AV237" s="60"/>
      <c r="AW237" s="60"/>
      <c r="AX237" s="60"/>
      <c r="AY237" s="60"/>
      <c r="AZ237" s="60"/>
      <c r="BA237" s="60"/>
      <c r="BB237" s="60"/>
      <c r="BC237" s="60"/>
      <c r="BD237" s="60"/>
      <c r="BE237" s="60"/>
      <c r="BF237" s="60"/>
      <c r="BG237" s="60"/>
      <c r="BH237" s="60"/>
      <c r="BI237" s="60"/>
      <c r="BJ237" s="60"/>
      <c r="BK237" s="60"/>
      <c r="BL237" s="60"/>
      <c r="BM237" s="60"/>
      <c r="BN237" s="60"/>
      <c r="BO237" s="60"/>
      <c r="BP237" s="60"/>
      <c r="BQ237" s="60"/>
      <c r="BR237" s="60"/>
      <c r="BS237" s="60"/>
      <c r="BT237" s="60"/>
      <c r="BU237" s="60"/>
      <c r="BV237" s="60"/>
      <c r="BW237" s="60"/>
      <c r="BX237" s="60"/>
      <c r="BY237" s="60"/>
      <c r="BZ237" s="60"/>
      <c r="CA237" s="60"/>
      <c r="CB237" s="60"/>
      <c r="CC237" s="60"/>
      <c r="CD237" s="60"/>
      <c r="CE237" s="60"/>
      <c r="CF237" s="60"/>
      <c r="CG237" s="60"/>
      <c r="CH237" s="60"/>
      <c r="CI237" s="60"/>
      <c r="CJ237" s="60"/>
      <c r="CK237" s="60"/>
      <c r="CL237" s="60"/>
      <c r="CM237" s="60"/>
      <c r="CN237" s="60"/>
      <c r="CO237" s="60"/>
      <c r="CP237" s="60"/>
      <c r="CQ237" s="60"/>
      <c r="CR237" s="60"/>
      <c r="CS237" s="60"/>
      <c r="CT237" s="60"/>
      <c r="CU237" s="60"/>
      <c r="CV237" s="60"/>
      <c r="CW237" s="60"/>
      <c r="CX237" s="60"/>
      <c r="CY237" s="60"/>
      <c r="CZ237" s="60"/>
      <c r="DA237" s="60"/>
      <c r="DB237" s="60"/>
      <c r="DC237" s="60"/>
      <c r="DD237" s="60"/>
      <c r="DE237" s="60"/>
      <c r="DF237" s="60"/>
      <c r="DG237" s="60"/>
      <c r="DH237" s="60"/>
      <c r="DI237" s="60"/>
      <c r="DJ237" s="60"/>
      <c r="DK237" s="60"/>
      <c r="DL237" s="60"/>
      <c r="DM237" s="60"/>
      <c r="DN237" s="60"/>
      <c r="DO237" s="60"/>
      <c r="DP237" s="60"/>
      <c r="DQ237" s="60"/>
      <c r="DR237" s="60"/>
      <c r="DS237" s="60"/>
      <c r="DT237" s="60"/>
      <c r="DU237" s="60"/>
      <c r="DV237" s="60"/>
      <c r="DW237" s="60"/>
      <c r="DX237" s="60"/>
      <c r="DY237" s="60"/>
      <c r="DZ237" s="60"/>
      <c r="EA237" s="60"/>
      <c r="EB237" s="60"/>
      <c r="EC237" s="60"/>
      <c r="ED237" s="60"/>
      <c r="EE237" s="60"/>
      <c r="EF237" s="60"/>
      <c r="EG237" s="60"/>
      <c r="EH237" s="60"/>
      <c r="EI237" s="60"/>
      <c r="EJ237" s="60"/>
      <c r="EK237" s="60"/>
      <c r="EL237" s="60"/>
      <c r="EM237" s="60"/>
      <c r="EN237" s="60"/>
      <c r="EO237" s="60"/>
      <c r="EP237" s="60"/>
      <c r="EQ237" s="60"/>
      <c r="ER237" s="60"/>
      <c r="ES237" s="60"/>
      <c r="ET237" s="60"/>
      <c r="EU237" s="60"/>
      <c r="EV237" s="60"/>
      <c r="EW237" s="60"/>
      <c r="EX237" s="60"/>
      <c r="EY237" s="60"/>
      <c r="EZ237" s="60"/>
      <c r="FA237" s="60"/>
      <c r="FB237" s="60"/>
      <c r="FC237" s="60"/>
      <c r="FD237" s="60"/>
      <c r="FE237" s="60"/>
      <c r="FF237" s="60"/>
      <c r="FG237" s="60"/>
      <c r="FH237" s="60"/>
      <c r="FI237" s="60"/>
      <c r="FJ237" s="60"/>
      <c r="FK237" s="60"/>
      <c r="FL237" s="60"/>
      <c r="FM237" s="60"/>
      <c r="FN237" s="60"/>
      <c r="FO237" s="60"/>
      <c r="FP237" s="60"/>
      <c r="FQ237" s="60"/>
      <c r="FR237" s="60"/>
      <c r="FS237" s="60"/>
      <c r="FT237" s="60"/>
      <c r="FU237" s="60"/>
      <c r="FV237" s="60"/>
      <c r="FW237" s="60"/>
      <c r="FX237" s="60"/>
      <c r="FY237" s="60"/>
      <c r="FZ237" s="60"/>
      <c r="GA237" s="60"/>
      <c r="GB237" s="60"/>
      <c r="GC237" s="60"/>
      <c r="GD237" s="60"/>
      <c r="GE237" s="60"/>
      <c r="GF237" s="60"/>
      <c r="GG237" s="60"/>
      <c r="GH237" s="60"/>
      <c r="GI237" s="60"/>
      <c r="GJ237" s="60"/>
      <c r="GK237" s="60"/>
      <c r="GL237" s="60"/>
      <c r="GM237" s="60"/>
      <c r="GN237" s="60"/>
      <c r="GO237" s="60"/>
      <c r="GP237" s="60"/>
      <c r="GQ237" s="60"/>
      <c r="GR237" s="60"/>
      <c r="GS237" s="60"/>
      <c r="GT237" s="60"/>
      <c r="GU237" s="60"/>
      <c r="GV237" s="60"/>
      <c r="GW237" s="60"/>
      <c r="GX237" s="60"/>
      <c r="GY237" s="60"/>
      <c r="GZ237" s="60"/>
      <c r="HA237" s="60"/>
      <c r="HB237" s="60"/>
      <c r="HC237" s="60"/>
      <c r="HD237" s="60"/>
      <c r="HE237" s="60"/>
      <c r="HF237" s="60"/>
      <c r="HG237" s="60"/>
      <c r="HH237" s="60"/>
      <c r="HI237" s="60"/>
      <c r="HJ237" s="60"/>
      <c r="HK237" s="60"/>
      <c r="HL237" s="60"/>
      <c r="HM237" s="60"/>
      <c r="HN237" s="60"/>
      <c r="HO237" s="60"/>
      <c r="HP237" s="60"/>
      <c r="HQ237" s="60"/>
      <c r="HR237" s="60"/>
      <c r="HS237" s="60"/>
      <c r="HT237" s="60"/>
      <c r="HU237" s="60"/>
      <c r="HV237" s="60"/>
      <c r="HW237" s="60"/>
      <c r="HX237" s="60"/>
      <c r="HY237" s="60"/>
      <c r="HZ237" s="60"/>
      <c r="IA237" s="60"/>
      <c r="IB237" s="60"/>
      <c r="IC237" s="60"/>
      <c r="ID237" s="60"/>
      <c r="IE237" s="60"/>
      <c r="IF237" s="60"/>
      <c r="IG237" s="60"/>
      <c r="IH237" s="60"/>
      <c r="II237" s="60"/>
      <c r="IJ237" s="60"/>
      <c r="IK237" s="60"/>
      <c r="IL237" s="60"/>
      <c r="IM237" s="60"/>
      <c r="IN237" s="60"/>
      <c r="IO237" s="60"/>
      <c r="IP237" s="60"/>
      <c r="IQ237" s="60"/>
      <c r="IR237" s="60"/>
      <c r="IS237" s="60"/>
      <c r="IT237" s="60"/>
      <c r="IU237" s="60"/>
      <c r="IV237" s="60"/>
      <c r="IW237" s="60"/>
      <c r="IX237" s="60"/>
      <c r="IY237" s="60"/>
      <c r="IZ237" s="60"/>
      <c r="JA237" s="60"/>
      <c r="JB237" s="60"/>
      <c r="JC237" s="60"/>
      <c r="JD237" s="60"/>
      <c r="JE237" s="60"/>
      <c r="JF237" s="60"/>
      <c r="JG237" s="60"/>
      <c r="JH237" s="60"/>
      <c r="JI237" s="60"/>
      <c r="JJ237" s="60"/>
      <c r="JK237" s="60"/>
      <c r="JL237" s="60"/>
      <c r="JM237" s="60"/>
      <c r="JN237" s="60"/>
      <c r="JO237" s="60"/>
      <c r="JP237" s="60"/>
      <c r="JQ237" s="60"/>
      <c r="JR237" s="60"/>
      <c r="JS237" s="60"/>
      <c r="JT237" s="60"/>
      <c r="JU237" s="60"/>
      <c r="JV237" s="60"/>
      <c r="JW237" s="60"/>
      <c r="JX237" s="60"/>
      <c r="JY237" s="60"/>
      <c r="JZ237" s="60"/>
      <c r="KA237" s="60"/>
      <c r="KB237" s="60"/>
      <c r="KC237" s="60"/>
      <c r="KD237" s="60"/>
      <c r="KE237" s="60"/>
      <c r="KF237" s="60"/>
      <c r="KG237" s="60"/>
      <c r="KH237" s="60"/>
      <c r="KI237" s="60"/>
      <c r="KJ237" s="60"/>
      <c r="KK237" s="60"/>
      <c r="KL237" s="60"/>
      <c r="KM237" s="60"/>
      <c r="KN237" s="60"/>
      <c r="KO237" s="60"/>
      <c r="KP237" s="60"/>
      <c r="KQ237" s="60"/>
      <c r="KR237" s="60"/>
      <c r="KS237" s="60"/>
      <c r="KT237" s="60"/>
      <c r="KU237" s="60"/>
      <c r="KV237" s="60"/>
      <c r="KW237" s="60"/>
      <c r="KX237" s="60"/>
      <c r="KY237" s="60"/>
      <c r="KZ237" s="60"/>
      <c r="LA237" s="60"/>
      <c r="LB237" s="60"/>
      <c r="LC237" s="60"/>
      <c r="LD237" s="60"/>
      <c r="LE237" s="60"/>
      <c r="LF237" s="60"/>
      <c r="LG237" s="60"/>
      <c r="LH237" s="60"/>
    </row>
    <row r="238" spans="1:320" s="146" customFormat="1" x14ac:dyDescent="0.25">
      <c r="A238" s="147"/>
      <c r="B238" s="1"/>
      <c r="C238" s="1"/>
      <c r="D238" s="1"/>
      <c r="F238" s="148">
        <v>19</v>
      </c>
      <c r="G238" s="148"/>
      <c r="I238" s="1"/>
      <c r="T238" s="17"/>
      <c r="U238" s="17"/>
      <c r="V238" s="17"/>
      <c r="W238" s="17"/>
      <c r="X238" s="17"/>
      <c r="Y238" s="17"/>
      <c r="Z238" s="17"/>
      <c r="AA238" s="17"/>
      <c r="AB238" s="17"/>
      <c r="AC238" s="60"/>
      <c r="AD238" s="60"/>
      <c r="AE238" s="60"/>
      <c r="AF238" s="60"/>
      <c r="AG238" s="60"/>
      <c r="AH238" s="60"/>
      <c r="AI238" s="60"/>
      <c r="AJ238" s="60"/>
      <c r="AK238" s="60"/>
      <c r="AL238" s="60"/>
      <c r="AM238" s="60"/>
      <c r="AN238" s="60"/>
      <c r="AO238" s="60"/>
      <c r="AP238" s="60"/>
      <c r="AQ238" s="60"/>
      <c r="AR238" s="60"/>
      <c r="AS238" s="60"/>
      <c r="AT238" s="60"/>
      <c r="AU238" s="60"/>
      <c r="AV238" s="60"/>
      <c r="AW238" s="60"/>
      <c r="AX238" s="60"/>
      <c r="AY238" s="60"/>
      <c r="AZ238" s="60"/>
      <c r="BA238" s="60"/>
      <c r="BB238" s="60"/>
      <c r="BC238" s="60"/>
      <c r="BD238" s="60"/>
      <c r="BE238" s="60"/>
      <c r="BF238" s="60"/>
      <c r="BG238" s="60"/>
      <c r="BH238" s="60"/>
      <c r="BI238" s="60"/>
      <c r="BJ238" s="60"/>
      <c r="BK238" s="60"/>
      <c r="BL238" s="60"/>
      <c r="BM238" s="60"/>
      <c r="BN238" s="60"/>
      <c r="BO238" s="60"/>
      <c r="BP238" s="60"/>
      <c r="BQ238" s="60"/>
      <c r="BR238" s="60"/>
      <c r="BS238" s="60"/>
      <c r="BT238" s="60"/>
      <c r="BU238" s="60"/>
      <c r="BV238" s="60"/>
      <c r="BW238" s="60"/>
      <c r="BX238" s="60"/>
      <c r="BY238" s="60"/>
      <c r="BZ238" s="60"/>
      <c r="CA238" s="60"/>
      <c r="CB238" s="60"/>
      <c r="CC238" s="60"/>
      <c r="CD238" s="60"/>
      <c r="CE238" s="60"/>
      <c r="CF238" s="60"/>
      <c r="CG238" s="60"/>
      <c r="CH238" s="60"/>
      <c r="CI238" s="60"/>
      <c r="CJ238" s="60"/>
      <c r="CK238" s="60"/>
      <c r="CL238" s="60"/>
      <c r="CM238" s="60"/>
      <c r="CN238" s="60"/>
      <c r="CO238" s="60"/>
      <c r="CP238" s="60"/>
      <c r="CQ238" s="60"/>
      <c r="CR238" s="60"/>
      <c r="CS238" s="60"/>
      <c r="CT238" s="60"/>
      <c r="CU238" s="60"/>
      <c r="CV238" s="60"/>
      <c r="CW238" s="60"/>
      <c r="CX238" s="60"/>
      <c r="CY238" s="60"/>
      <c r="CZ238" s="60"/>
      <c r="DA238" s="60"/>
      <c r="DB238" s="60"/>
      <c r="DC238" s="60"/>
      <c r="DD238" s="60"/>
      <c r="DE238" s="60"/>
      <c r="DF238" s="60"/>
      <c r="DG238" s="60"/>
      <c r="DH238" s="60"/>
      <c r="DI238" s="60"/>
      <c r="DJ238" s="60"/>
      <c r="DK238" s="60"/>
      <c r="DL238" s="60"/>
      <c r="DM238" s="60"/>
      <c r="DN238" s="60"/>
      <c r="DO238" s="60"/>
      <c r="DP238" s="60"/>
      <c r="DQ238" s="60"/>
      <c r="DR238" s="60"/>
      <c r="DS238" s="60"/>
      <c r="DT238" s="60"/>
      <c r="DU238" s="60"/>
      <c r="DV238" s="60"/>
      <c r="DW238" s="60"/>
      <c r="DX238" s="60"/>
      <c r="DY238" s="60"/>
      <c r="DZ238" s="60"/>
      <c r="EA238" s="60"/>
      <c r="EB238" s="60"/>
      <c r="EC238" s="60"/>
      <c r="ED238" s="60"/>
      <c r="EE238" s="60"/>
      <c r="EF238" s="60"/>
      <c r="EG238" s="60"/>
      <c r="EH238" s="60"/>
      <c r="EI238" s="60"/>
      <c r="EJ238" s="60"/>
      <c r="EK238" s="60"/>
      <c r="EL238" s="60"/>
      <c r="EM238" s="60"/>
      <c r="EN238" s="60"/>
      <c r="EO238" s="60"/>
      <c r="EP238" s="60"/>
      <c r="EQ238" s="60"/>
      <c r="ER238" s="60"/>
      <c r="ES238" s="60"/>
      <c r="ET238" s="60"/>
      <c r="EU238" s="60"/>
      <c r="EV238" s="60"/>
      <c r="EW238" s="60"/>
      <c r="EX238" s="60"/>
      <c r="EY238" s="60"/>
      <c r="EZ238" s="60"/>
      <c r="FA238" s="60"/>
      <c r="FB238" s="60"/>
      <c r="FC238" s="60"/>
      <c r="FD238" s="60"/>
      <c r="FE238" s="60"/>
      <c r="FF238" s="60"/>
      <c r="FG238" s="60"/>
      <c r="FH238" s="60"/>
      <c r="FI238" s="60"/>
      <c r="FJ238" s="60"/>
      <c r="FK238" s="60"/>
      <c r="FL238" s="60"/>
      <c r="FM238" s="60"/>
      <c r="FN238" s="60"/>
      <c r="FO238" s="60"/>
      <c r="FP238" s="60"/>
      <c r="FQ238" s="60"/>
      <c r="FR238" s="60"/>
      <c r="FS238" s="60"/>
      <c r="FT238" s="60"/>
      <c r="FU238" s="60"/>
      <c r="FV238" s="60"/>
      <c r="FW238" s="60"/>
      <c r="FX238" s="60"/>
      <c r="FY238" s="60"/>
      <c r="FZ238" s="60"/>
      <c r="GA238" s="60"/>
      <c r="GB238" s="60"/>
      <c r="GC238" s="60"/>
      <c r="GD238" s="60"/>
      <c r="GE238" s="60"/>
      <c r="GF238" s="60"/>
      <c r="GG238" s="60"/>
      <c r="GH238" s="60"/>
      <c r="GI238" s="60"/>
      <c r="GJ238" s="60"/>
      <c r="GK238" s="60"/>
      <c r="GL238" s="60"/>
      <c r="GM238" s="60"/>
      <c r="GN238" s="60"/>
      <c r="GO238" s="60"/>
      <c r="GP238" s="60"/>
      <c r="GQ238" s="60"/>
      <c r="GR238" s="60"/>
      <c r="GS238" s="60"/>
      <c r="GT238" s="60"/>
      <c r="GU238" s="60"/>
      <c r="GV238" s="60"/>
      <c r="GW238" s="60"/>
      <c r="GX238" s="60"/>
      <c r="GY238" s="60"/>
      <c r="GZ238" s="60"/>
      <c r="HA238" s="60"/>
      <c r="HB238" s="60"/>
      <c r="HC238" s="60"/>
      <c r="HD238" s="60"/>
      <c r="HE238" s="60"/>
      <c r="HF238" s="60"/>
      <c r="HG238" s="60"/>
      <c r="HH238" s="60"/>
      <c r="HI238" s="60"/>
      <c r="HJ238" s="60"/>
      <c r="HK238" s="60"/>
      <c r="HL238" s="60"/>
      <c r="HM238" s="60"/>
      <c r="HN238" s="60"/>
      <c r="HO238" s="60"/>
      <c r="HP238" s="60"/>
      <c r="HQ238" s="60"/>
      <c r="HR238" s="60"/>
      <c r="HS238" s="60"/>
      <c r="HT238" s="60"/>
      <c r="HU238" s="60"/>
      <c r="HV238" s="60"/>
      <c r="HW238" s="60"/>
      <c r="HX238" s="60"/>
      <c r="HY238" s="60"/>
      <c r="HZ238" s="60"/>
      <c r="IA238" s="60"/>
      <c r="IB238" s="60"/>
      <c r="IC238" s="60"/>
      <c r="ID238" s="60"/>
      <c r="IE238" s="60"/>
      <c r="IF238" s="60"/>
      <c r="IG238" s="60"/>
      <c r="IH238" s="60"/>
      <c r="II238" s="60"/>
      <c r="IJ238" s="60"/>
      <c r="IK238" s="60"/>
      <c r="IL238" s="60"/>
      <c r="IM238" s="60"/>
      <c r="IN238" s="60"/>
      <c r="IO238" s="60"/>
      <c r="IP238" s="60"/>
      <c r="IQ238" s="60"/>
      <c r="IR238" s="60"/>
      <c r="IS238" s="60"/>
      <c r="IT238" s="60"/>
      <c r="IU238" s="60"/>
      <c r="IV238" s="60"/>
      <c r="IW238" s="60"/>
      <c r="IX238" s="60"/>
      <c r="IY238" s="60"/>
      <c r="IZ238" s="60"/>
      <c r="JA238" s="60"/>
      <c r="JB238" s="60"/>
      <c r="JC238" s="60"/>
      <c r="JD238" s="60"/>
      <c r="JE238" s="60"/>
      <c r="JF238" s="60"/>
      <c r="JG238" s="60"/>
      <c r="JH238" s="60"/>
      <c r="JI238" s="60"/>
      <c r="JJ238" s="60"/>
      <c r="JK238" s="60"/>
      <c r="JL238" s="60"/>
      <c r="JM238" s="60"/>
      <c r="JN238" s="60"/>
      <c r="JO238" s="60"/>
      <c r="JP238" s="60"/>
      <c r="JQ238" s="60"/>
      <c r="JR238" s="60"/>
      <c r="JS238" s="60"/>
      <c r="JT238" s="60"/>
      <c r="JU238" s="60"/>
      <c r="JV238" s="60"/>
      <c r="JW238" s="60"/>
      <c r="JX238" s="60"/>
      <c r="JY238" s="60"/>
      <c r="JZ238" s="60"/>
      <c r="KA238" s="60"/>
      <c r="KB238" s="60"/>
      <c r="KC238" s="60"/>
      <c r="KD238" s="60"/>
      <c r="KE238" s="60"/>
      <c r="KF238" s="60"/>
      <c r="KG238" s="60"/>
      <c r="KH238" s="60"/>
      <c r="KI238" s="60"/>
      <c r="KJ238" s="60"/>
      <c r="KK238" s="60"/>
      <c r="KL238" s="60"/>
      <c r="KM238" s="60"/>
      <c r="KN238" s="60"/>
      <c r="KO238" s="60"/>
      <c r="KP238" s="60"/>
      <c r="KQ238" s="60"/>
      <c r="KR238" s="60"/>
      <c r="KS238" s="60"/>
      <c r="KT238" s="60"/>
      <c r="KU238" s="60"/>
      <c r="KV238" s="60"/>
      <c r="KW238" s="60"/>
      <c r="KX238" s="60"/>
      <c r="KY238" s="60"/>
      <c r="KZ238" s="60"/>
      <c r="LA238" s="60"/>
      <c r="LB238" s="60"/>
      <c r="LC238" s="60"/>
      <c r="LD238" s="60"/>
      <c r="LE238" s="60"/>
      <c r="LF238" s="60"/>
      <c r="LG238" s="60"/>
      <c r="LH238" s="60"/>
    </row>
    <row r="239" spans="1:320" s="146" customFormat="1" x14ac:dyDescent="0.25">
      <c r="A239" s="147"/>
      <c r="B239" s="1"/>
      <c r="C239" s="1"/>
      <c r="D239" s="1"/>
      <c r="F239" s="148">
        <v>20</v>
      </c>
      <c r="G239" s="148"/>
      <c r="T239" s="17"/>
      <c r="U239" s="17"/>
      <c r="V239" s="17"/>
      <c r="W239" s="17"/>
      <c r="X239" s="17"/>
      <c r="Y239" s="17"/>
      <c r="Z239" s="17"/>
      <c r="AA239" s="17"/>
      <c r="AB239" s="17"/>
      <c r="AC239" s="60"/>
      <c r="AD239" s="60"/>
      <c r="AE239" s="60"/>
      <c r="AF239" s="60"/>
      <c r="AG239" s="60"/>
      <c r="AH239" s="60"/>
      <c r="AI239" s="60"/>
      <c r="AJ239" s="60"/>
      <c r="AK239" s="60"/>
      <c r="AL239" s="60"/>
      <c r="AM239" s="60"/>
      <c r="AN239" s="60"/>
      <c r="AO239" s="60"/>
      <c r="AP239" s="60"/>
      <c r="AQ239" s="60"/>
      <c r="AR239" s="60"/>
      <c r="AS239" s="60"/>
      <c r="AT239" s="60"/>
      <c r="AU239" s="60"/>
      <c r="AV239" s="60"/>
      <c r="AW239" s="60"/>
      <c r="AX239" s="60"/>
      <c r="AY239" s="60"/>
      <c r="AZ239" s="60"/>
      <c r="BA239" s="60"/>
      <c r="BB239" s="60"/>
      <c r="BC239" s="60"/>
      <c r="BD239" s="60"/>
      <c r="BE239" s="60"/>
      <c r="BF239" s="60"/>
      <c r="BG239" s="60"/>
      <c r="BH239" s="60"/>
      <c r="BI239" s="60"/>
      <c r="BJ239" s="60"/>
      <c r="BK239" s="60"/>
      <c r="BL239" s="60"/>
      <c r="BM239" s="60"/>
      <c r="BN239" s="60"/>
      <c r="BO239" s="60"/>
      <c r="BP239" s="60"/>
      <c r="BQ239" s="60"/>
      <c r="BR239" s="60"/>
      <c r="BS239" s="60"/>
      <c r="BT239" s="60"/>
      <c r="BU239" s="60"/>
      <c r="BV239" s="60"/>
      <c r="BW239" s="60"/>
      <c r="BX239" s="60"/>
      <c r="BY239" s="60"/>
      <c r="BZ239" s="60"/>
      <c r="CA239" s="60"/>
      <c r="CB239" s="60"/>
      <c r="CC239" s="60"/>
      <c r="CD239" s="60"/>
      <c r="CE239" s="60"/>
      <c r="CF239" s="60"/>
      <c r="CG239" s="60"/>
      <c r="CH239" s="60"/>
      <c r="CI239" s="60"/>
      <c r="CJ239" s="60"/>
      <c r="CK239" s="60"/>
      <c r="CL239" s="60"/>
      <c r="CM239" s="60"/>
      <c r="CN239" s="60"/>
      <c r="CO239" s="60"/>
      <c r="CP239" s="60"/>
      <c r="CQ239" s="60"/>
      <c r="CR239" s="60"/>
      <c r="CS239" s="60"/>
      <c r="CT239" s="60"/>
      <c r="CU239" s="60"/>
      <c r="CV239" s="60"/>
      <c r="CW239" s="60"/>
      <c r="CX239" s="60"/>
      <c r="CY239" s="60"/>
      <c r="CZ239" s="60"/>
      <c r="DA239" s="60"/>
      <c r="DB239" s="60"/>
      <c r="DC239" s="60"/>
      <c r="DD239" s="60"/>
      <c r="DE239" s="60"/>
      <c r="DF239" s="60"/>
      <c r="DG239" s="60"/>
      <c r="DH239" s="60"/>
      <c r="DI239" s="60"/>
      <c r="DJ239" s="60"/>
      <c r="DK239" s="60"/>
      <c r="DL239" s="60"/>
      <c r="DM239" s="60"/>
      <c r="DN239" s="60"/>
      <c r="DO239" s="60"/>
      <c r="DP239" s="60"/>
      <c r="DQ239" s="60"/>
      <c r="DR239" s="60"/>
      <c r="DS239" s="60"/>
      <c r="DT239" s="60"/>
      <c r="DU239" s="60"/>
      <c r="DV239" s="60"/>
      <c r="DW239" s="60"/>
      <c r="DX239" s="60"/>
      <c r="DY239" s="60"/>
      <c r="DZ239" s="60"/>
      <c r="EA239" s="60"/>
      <c r="EB239" s="60"/>
      <c r="EC239" s="60"/>
      <c r="ED239" s="60"/>
      <c r="EE239" s="60"/>
      <c r="EF239" s="60"/>
      <c r="EG239" s="60"/>
      <c r="EH239" s="60"/>
      <c r="EI239" s="60"/>
      <c r="EJ239" s="60"/>
      <c r="EK239" s="60"/>
      <c r="EL239" s="60"/>
      <c r="EM239" s="60"/>
      <c r="EN239" s="60"/>
      <c r="EO239" s="60"/>
      <c r="EP239" s="60"/>
      <c r="EQ239" s="60"/>
      <c r="ER239" s="60"/>
      <c r="ES239" s="60"/>
      <c r="ET239" s="60"/>
      <c r="EU239" s="60"/>
      <c r="EV239" s="60"/>
      <c r="EW239" s="60"/>
      <c r="EX239" s="60"/>
      <c r="EY239" s="60"/>
      <c r="EZ239" s="60"/>
      <c r="FA239" s="60"/>
      <c r="FB239" s="60"/>
      <c r="FC239" s="60"/>
      <c r="FD239" s="60"/>
      <c r="FE239" s="60"/>
      <c r="FF239" s="60"/>
      <c r="FG239" s="60"/>
      <c r="FH239" s="60"/>
      <c r="FI239" s="60"/>
      <c r="FJ239" s="60"/>
      <c r="FK239" s="60"/>
      <c r="FL239" s="60"/>
      <c r="FM239" s="60"/>
      <c r="FN239" s="60"/>
      <c r="FO239" s="60"/>
      <c r="FP239" s="60"/>
      <c r="FQ239" s="60"/>
      <c r="FR239" s="60"/>
      <c r="FS239" s="60"/>
      <c r="FT239" s="60"/>
      <c r="FU239" s="60"/>
      <c r="FV239" s="60"/>
      <c r="FW239" s="60"/>
      <c r="FX239" s="60"/>
      <c r="FY239" s="60"/>
      <c r="FZ239" s="60"/>
      <c r="GA239" s="60"/>
      <c r="GB239" s="60"/>
      <c r="GC239" s="60"/>
      <c r="GD239" s="60"/>
      <c r="GE239" s="60"/>
      <c r="GF239" s="60"/>
      <c r="GG239" s="60"/>
      <c r="GH239" s="60"/>
      <c r="GI239" s="60"/>
      <c r="GJ239" s="60"/>
      <c r="GK239" s="60"/>
      <c r="GL239" s="60"/>
      <c r="GM239" s="60"/>
      <c r="GN239" s="60"/>
      <c r="GO239" s="60"/>
      <c r="GP239" s="60"/>
      <c r="GQ239" s="60"/>
      <c r="GR239" s="60"/>
      <c r="GS239" s="60"/>
      <c r="GT239" s="60"/>
      <c r="GU239" s="60"/>
      <c r="GV239" s="60"/>
      <c r="GW239" s="60"/>
      <c r="GX239" s="60"/>
      <c r="GY239" s="60"/>
      <c r="GZ239" s="60"/>
      <c r="HA239" s="60"/>
      <c r="HB239" s="60"/>
      <c r="HC239" s="60"/>
      <c r="HD239" s="60"/>
      <c r="HE239" s="60"/>
      <c r="HF239" s="60"/>
      <c r="HG239" s="60"/>
      <c r="HH239" s="60"/>
      <c r="HI239" s="60"/>
      <c r="HJ239" s="60"/>
      <c r="HK239" s="60"/>
      <c r="HL239" s="60"/>
      <c r="HM239" s="60"/>
      <c r="HN239" s="60"/>
      <c r="HO239" s="60"/>
      <c r="HP239" s="60"/>
      <c r="HQ239" s="60"/>
      <c r="HR239" s="60"/>
      <c r="HS239" s="60"/>
      <c r="HT239" s="60"/>
      <c r="HU239" s="60"/>
      <c r="HV239" s="60"/>
      <c r="HW239" s="60"/>
      <c r="HX239" s="60"/>
      <c r="HY239" s="60"/>
      <c r="HZ239" s="60"/>
      <c r="IA239" s="60"/>
      <c r="IB239" s="60"/>
      <c r="IC239" s="60"/>
      <c r="ID239" s="60"/>
      <c r="IE239" s="60"/>
      <c r="IF239" s="60"/>
      <c r="IG239" s="60"/>
      <c r="IH239" s="60"/>
      <c r="II239" s="60"/>
      <c r="IJ239" s="60"/>
      <c r="IK239" s="60"/>
      <c r="IL239" s="60"/>
      <c r="IM239" s="60"/>
      <c r="IN239" s="60"/>
      <c r="IO239" s="60"/>
      <c r="IP239" s="60"/>
      <c r="IQ239" s="60"/>
      <c r="IR239" s="60"/>
      <c r="IS239" s="60"/>
      <c r="IT239" s="60"/>
      <c r="IU239" s="60"/>
      <c r="IV239" s="60"/>
      <c r="IW239" s="60"/>
      <c r="IX239" s="60"/>
      <c r="IY239" s="60"/>
      <c r="IZ239" s="60"/>
      <c r="JA239" s="60"/>
      <c r="JB239" s="60"/>
      <c r="JC239" s="60"/>
      <c r="JD239" s="60"/>
      <c r="JE239" s="60"/>
      <c r="JF239" s="60"/>
      <c r="JG239" s="60"/>
      <c r="JH239" s="60"/>
      <c r="JI239" s="60"/>
      <c r="JJ239" s="60"/>
      <c r="JK239" s="60"/>
      <c r="JL239" s="60"/>
      <c r="JM239" s="60"/>
      <c r="JN239" s="60"/>
      <c r="JO239" s="60"/>
      <c r="JP239" s="60"/>
      <c r="JQ239" s="60"/>
      <c r="JR239" s="60"/>
      <c r="JS239" s="60"/>
      <c r="JT239" s="60"/>
      <c r="JU239" s="60"/>
      <c r="JV239" s="60"/>
      <c r="JW239" s="60"/>
      <c r="JX239" s="60"/>
      <c r="JY239" s="60"/>
      <c r="JZ239" s="60"/>
      <c r="KA239" s="60"/>
      <c r="KB239" s="60"/>
      <c r="KC239" s="60"/>
      <c r="KD239" s="60"/>
      <c r="KE239" s="60"/>
      <c r="KF239" s="60"/>
      <c r="KG239" s="60"/>
      <c r="KH239" s="60"/>
      <c r="KI239" s="60"/>
      <c r="KJ239" s="60"/>
      <c r="KK239" s="60"/>
      <c r="KL239" s="60"/>
      <c r="KM239" s="60"/>
      <c r="KN239" s="60"/>
      <c r="KO239" s="60"/>
      <c r="KP239" s="60"/>
      <c r="KQ239" s="60"/>
      <c r="KR239" s="60"/>
      <c r="KS239" s="60"/>
      <c r="KT239" s="60"/>
      <c r="KU239" s="60"/>
      <c r="KV239" s="60"/>
      <c r="KW239" s="60"/>
      <c r="KX239" s="60"/>
      <c r="KY239" s="60"/>
      <c r="KZ239" s="60"/>
      <c r="LA239" s="60"/>
      <c r="LB239" s="60"/>
      <c r="LC239" s="60"/>
      <c r="LD239" s="60"/>
      <c r="LE239" s="60"/>
      <c r="LF239" s="60"/>
      <c r="LG239" s="60"/>
      <c r="LH239" s="60"/>
    </row>
    <row r="240" spans="1:320" s="146" customFormat="1" x14ac:dyDescent="0.25">
      <c r="A240" s="147"/>
      <c r="B240" s="1"/>
      <c r="C240" s="1"/>
      <c r="D240" s="1"/>
      <c r="F240" s="148" t="s">
        <v>94</v>
      </c>
      <c r="G240" s="148"/>
      <c r="T240" s="17"/>
      <c r="U240" s="17"/>
      <c r="V240" s="17"/>
      <c r="W240" s="17"/>
      <c r="X240" s="17"/>
      <c r="Y240" s="17"/>
      <c r="Z240" s="17"/>
      <c r="AA240" s="17"/>
      <c r="AB240" s="17"/>
      <c r="AC240" s="60"/>
      <c r="AD240" s="60"/>
      <c r="AE240" s="60"/>
      <c r="AF240" s="60"/>
      <c r="AG240" s="60"/>
      <c r="AH240" s="60"/>
      <c r="AI240" s="60"/>
      <c r="AJ240" s="60"/>
      <c r="AK240" s="60"/>
      <c r="AL240" s="60"/>
      <c r="AM240" s="60"/>
      <c r="AN240" s="60"/>
      <c r="AO240" s="60"/>
      <c r="AP240" s="60"/>
      <c r="AQ240" s="60"/>
      <c r="AR240" s="60"/>
      <c r="AS240" s="60"/>
      <c r="AT240" s="60"/>
      <c r="AU240" s="60"/>
      <c r="AV240" s="60"/>
      <c r="AW240" s="60"/>
      <c r="AX240" s="60"/>
      <c r="AY240" s="60"/>
      <c r="AZ240" s="60"/>
      <c r="BA240" s="60"/>
      <c r="BB240" s="60"/>
      <c r="BC240" s="60"/>
      <c r="BD240" s="60"/>
      <c r="BE240" s="60"/>
      <c r="BF240" s="60"/>
      <c r="BG240" s="60"/>
      <c r="BH240" s="60"/>
      <c r="BI240" s="60"/>
      <c r="BJ240" s="60"/>
      <c r="BK240" s="60"/>
      <c r="BL240" s="60"/>
      <c r="BM240" s="60"/>
      <c r="BN240" s="60"/>
      <c r="BO240" s="60"/>
      <c r="BP240" s="60"/>
      <c r="BQ240" s="60"/>
      <c r="BR240" s="60"/>
      <c r="BS240" s="60"/>
      <c r="BT240" s="60"/>
      <c r="BU240" s="60"/>
      <c r="BV240" s="60"/>
      <c r="BW240" s="60"/>
      <c r="BX240" s="60"/>
      <c r="BY240" s="60"/>
      <c r="BZ240" s="60"/>
      <c r="CA240" s="60"/>
      <c r="CB240" s="60"/>
      <c r="CC240" s="60"/>
      <c r="CD240" s="60"/>
      <c r="CE240" s="60"/>
      <c r="CF240" s="60"/>
      <c r="CG240" s="60"/>
      <c r="CH240" s="60"/>
      <c r="CI240" s="60"/>
      <c r="CJ240" s="60"/>
      <c r="CK240" s="60"/>
      <c r="CL240" s="60"/>
      <c r="CM240" s="60"/>
      <c r="CN240" s="60"/>
      <c r="CO240" s="60"/>
      <c r="CP240" s="60"/>
      <c r="CQ240" s="60"/>
      <c r="CR240" s="60"/>
      <c r="CS240" s="60"/>
      <c r="CT240" s="60"/>
      <c r="CU240" s="60"/>
      <c r="CV240" s="60"/>
      <c r="CW240" s="60"/>
      <c r="CX240" s="60"/>
      <c r="CY240" s="60"/>
      <c r="CZ240" s="60"/>
      <c r="DA240" s="60"/>
      <c r="DB240" s="60"/>
      <c r="DC240" s="60"/>
      <c r="DD240" s="60"/>
      <c r="DE240" s="60"/>
      <c r="DF240" s="60"/>
      <c r="DG240" s="60"/>
      <c r="DH240" s="60"/>
      <c r="DI240" s="60"/>
      <c r="DJ240" s="60"/>
      <c r="DK240" s="60"/>
      <c r="DL240" s="60"/>
      <c r="DM240" s="60"/>
      <c r="DN240" s="60"/>
      <c r="DO240" s="60"/>
      <c r="DP240" s="60"/>
      <c r="DQ240" s="60"/>
      <c r="DR240" s="60"/>
      <c r="DS240" s="60"/>
      <c r="DT240" s="60"/>
      <c r="DU240" s="60"/>
      <c r="DV240" s="60"/>
      <c r="DW240" s="60"/>
      <c r="DX240" s="60"/>
      <c r="DY240" s="60"/>
      <c r="DZ240" s="60"/>
      <c r="EA240" s="60"/>
      <c r="EB240" s="60"/>
      <c r="EC240" s="60"/>
      <c r="ED240" s="60"/>
      <c r="EE240" s="60"/>
      <c r="EF240" s="60"/>
      <c r="EG240" s="60"/>
      <c r="EH240" s="60"/>
      <c r="EI240" s="60"/>
      <c r="EJ240" s="60"/>
      <c r="EK240" s="60"/>
      <c r="EL240" s="60"/>
      <c r="EM240" s="60"/>
      <c r="EN240" s="60"/>
      <c r="EO240" s="60"/>
      <c r="EP240" s="60"/>
      <c r="EQ240" s="60"/>
      <c r="ER240" s="60"/>
      <c r="ES240" s="60"/>
      <c r="ET240" s="60"/>
      <c r="EU240" s="60"/>
      <c r="EV240" s="60"/>
      <c r="EW240" s="60"/>
      <c r="EX240" s="60"/>
      <c r="EY240" s="60"/>
      <c r="EZ240" s="60"/>
      <c r="FA240" s="60"/>
      <c r="FB240" s="60"/>
      <c r="FC240" s="60"/>
      <c r="FD240" s="60"/>
      <c r="FE240" s="60"/>
      <c r="FF240" s="60"/>
      <c r="FG240" s="60"/>
      <c r="FH240" s="60"/>
      <c r="FI240" s="60"/>
      <c r="FJ240" s="60"/>
      <c r="FK240" s="60"/>
      <c r="FL240" s="60"/>
      <c r="FM240" s="60"/>
      <c r="FN240" s="60"/>
      <c r="FO240" s="60"/>
      <c r="FP240" s="60"/>
      <c r="FQ240" s="60"/>
      <c r="FR240" s="60"/>
      <c r="FS240" s="60"/>
      <c r="FT240" s="60"/>
      <c r="FU240" s="60"/>
      <c r="FV240" s="60"/>
      <c r="FW240" s="60"/>
      <c r="FX240" s="60"/>
      <c r="FY240" s="60"/>
      <c r="FZ240" s="60"/>
      <c r="GA240" s="60"/>
      <c r="GB240" s="60"/>
      <c r="GC240" s="60"/>
      <c r="GD240" s="60"/>
      <c r="GE240" s="60"/>
      <c r="GF240" s="60"/>
      <c r="GG240" s="60"/>
      <c r="GH240" s="60"/>
      <c r="GI240" s="60"/>
      <c r="GJ240" s="60"/>
      <c r="GK240" s="60"/>
      <c r="GL240" s="60"/>
      <c r="GM240" s="60"/>
      <c r="GN240" s="60"/>
      <c r="GO240" s="60"/>
      <c r="GP240" s="60"/>
      <c r="GQ240" s="60"/>
      <c r="GR240" s="60"/>
      <c r="GS240" s="60"/>
      <c r="GT240" s="60"/>
      <c r="GU240" s="60"/>
      <c r="GV240" s="60"/>
      <c r="GW240" s="60"/>
      <c r="GX240" s="60"/>
      <c r="GY240" s="60"/>
      <c r="GZ240" s="60"/>
      <c r="HA240" s="60"/>
      <c r="HB240" s="60"/>
      <c r="HC240" s="60"/>
      <c r="HD240" s="60"/>
      <c r="HE240" s="60"/>
      <c r="HF240" s="60"/>
      <c r="HG240" s="60"/>
      <c r="HH240" s="60"/>
      <c r="HI240" s="60"/>
      <c r="HJ240" s="60"/>
      <c r="HK240" s="60"/>
      <c r="HL240" s="60"/>
      <c r="HM240" s="60"/>
      <c r="HN240" s="60"/>
      <c r="HO240" s="60"/>
      <c r="HP240" s="60"/>
      <c r="HQ240" s="60"/>
      <c r="HR240" s="60"/>
      <c r="HS240" s="60"/>
      <c r="HT240" s="60"/>
      <c r="HU240" s="60"/>
      <c r="HV240" s="60"/>
      <c r="HW240" s="60"/>
      <c r="HX240" s="60"/>
      <c r="HY240" s="60"/>
      <c r="HZ240" s="60"/>
      <c r="IA240" s="60"/>
      <c r="IB240" s="60"/>
      <c r="IC240" s="60"/>
      <c r="ID240" s="60"/>
      <c r="IE240" s="60"/>
      <c r="IF240" s="60"/>
      <c r="IG240" s="60"/>
      <c r="IH240" s="60"/>
      <c r="II240" s="60"/>
      <c r="IJ240" s="60"/>
      <c r="IK240" s="60"/>
      <c r="IL240" s="60"/>
      <c r="IM240" s="60"/>
      <c r="IN240" s="60"/>
      <c r="IO240" s="60"/>
      <c r="IP240" s="60"/>
      <c r="IQ240" s="60"/>
      <c r="IR240" s="60"/>
      <c r="IS240" s="60"/>
      <c r="IT240" s="60"/>
      <c r="IU240" s="60"/>
      <c r="IV240" s="60"/>
      <c r="IW240" s="60"/>
      <c r="IX240" s="60"/>
      <c r="IY240" s="60"/>
      <c r="IZ240" s="60"/>
      <c r="JA240" s="60"/>
      <c r="JB240" s="60"/>
      <c r="JC240" s="60"/>
      <c r="JD240" s="60"/>
      <c r="JE240" s="60"/>
      <c r="JF240" s="60"/>
      <c r="JG240" s="60"/>
      <c r="JH240" s="60"/>
      <c r="JI240" s="60"/>
      <c r="JJ240" s="60"/>
      <c r="JK240" s="60"/>
      <c r="JL240" s="60"/>
      <c r="JM240" s="60"/>
      <c r="JN240" s="60"/>
      <c r="JO240" s="60"/>
      <c r="JP240" s="60"/>
      <c r="JQ240" s="60"/>
      <c r="JR240" s="60"/>
      <c r="JS240" s="60"/>
      <c r="JT240" s="60"/>
      <c r="JU240" s="60"/>
      <c r="JV240" s="60"/>
      <c r="JW240" s="60"/>
      <c r="JX240" s="60"/>
      <c r="JY240" s="60"/>
      <c r="JZ240" s="60"/>
      <c r="KA240" s="60"/>
      <c r="KB240" s="60"/>
      <c r="KC240" s="60"/>
      <c r="KD240" s="60"/>
      <c r="KE240" s="60"/>
      <c r="KF240" s="60"/>
      <c r="KG240" s="60"/>
      <c r="KH240" s="60"/>
      <c r="KI240" s="60"/>
      <c r="KJ240" s="60"/>
      <c r="KK240" s="60"/>
      <c r="KL240" s="60"/>
      <c r="KM240" s="60"/>
      <c r="KN240" s="60"/>
      <c r="KO240" s="60"/>
      <c r="KP240" s="60"/>
      <c r="KQ240" s="60"/>
      <c r="KR240" s="60"/>
      <c r="KS240" s="60"/>
      <c r="KT240" s="60"/>
      <c r="KU240" s="60"/>
      <c r="KV240" s="60"/>
      <c r="KW240" s="60"/>
      <c r="KX240" s="60"/>
      <c r="KY240" s="60"/>
      <c r="KZ240" s="60"/>
      <c r="LA240" s="60"/>
      <c r="LB240" s="60"/>
      <c r="LC240" s="60"/>
      <c r="LD240" s="60"/>
      <c r="LE240" s="60"/>
      <c r="LF240" s="60"/>
      <c r="LG240" s="60"/>
      <c r="LH240" s="60"/>
    </row>
    <row r="241" spans="1:320" s="146" customFormat="1" x14ac:dyDescent="0.25">
      <c r="A241" s="147"/>
      <c r="B241" s="1"/>
      <c r="C241" s="1"/>
      <c r="D241" s="1"/>
      <c r="F241" s="148"/>
      <c r="G241" s="148"/>
      <c r="T241" s="17"/>
      <c r="U241" s="17"/>
      <c r="V241" s="17"/>
      <c r="W241" s="17"/>
      <c r="X241" s="17"/>
      <c r="Y241" s="17"/>
      <c r="Z241" s="17"/>
      <c r="AA241" s="17"/>
      <c r="AB241" s="17"/>
      <c r="AC241" s="60"/>
      <c r="AD241" s="60"/>
      <c r="AE241" s="60"/>
      <c r="AF241" s="60"/>
      <c r="AG241" s="60"/>
      <c r="AH241" s="60"/>
      <c r="AI241" s="60"/>
      <c r="AJ241" s="60"/>
      <c r="AK241" s="60"/>
      <c r="AL241" s="60"/>
      <c r="AM241" s="60"/>
      <c r="AN241" s="60"/>
      <c r="AO241" s="60"/>
      <c r="AP241" s="60"/>
      <c r="AQ241" s="60"/>
      <c r="AR241" s="60"/>
      <c r="AS241" s="60"/>
      <c r="AT241" s="60"/>
      <c r="AU241" s="60"/>
      <c r="AV241" s="60"/>
      <c r="AW241" s="60"/>
      <c r="AX241" s="60"/>
      <c r="AY241" s="60"/>
      <c r="AZ241" s="60"/>
      <c r="BA241" s="60"/>
      <c r="BB241" s="60"/>
      <c r="BC241" s="60"/>
      <c r="BD241" s="60"/>
      <c r="BE241" s="60"/>
      <c r="BF241" s="60"/>
      <c r="BG241" s="60"/>
      <c r="BH241" s="60"/>
      <c r="BI241" s="60"/>
      <c r="BJ241" s="60"/>
      <c r="BK241" s="60"/>
      <c r="BL241" s="60"/>
      <c r="BM241" s="60"/>
      <c r="BN241" s="60"/>
      <c r="BO241" s="60"/>
      <c r="BP241" s="60"/>
      <c r="BQ241" s="60"/>
      <c r="BR241" s="60"/>
      <c r="BS241" s="60"/>
      <c r="BT241" s="60"/>
      <c r="BU241" s="60"/>
      <c r="BV241" s="60"/>
      <c r="BW241" s="60"/>
      <c r="BX241" s="60"/>
      <c r="BY241" s="60"/>
      <c r="BZ241" s="60"/>
      <c r="CA241" s="60"/>
      <c r="CB241" s="60"/>
      <c r="CC241" s="60"/>
      <c r="CD241" s="60"/>
      <c r="CE241" s="60"/>
      <c r="CF241" s="60"/>
      <c r="CG241" s="60"/>
      <c r="CH241" s="60"/>
      <c r="CI241" s="60"/>
      <c r="CJ241" s="60"/>
      <c r="CK241" s="60"/>
      <c r="CL241" s="60"/>
      <c r="CM241" s="60"/>
      <c r="CN241" s="60"/>
      <c r="CO241" s="60"/>
      <c r="CP241" s="60"/>
      <c r="CQ241" s="60"/>
      <c r="CR241" s="60"/>
      <c r="CS241" s="60"/>
      <c r="CT241" s="60"/>
      <c r="CU241" s="60"/>
      <c r="CV241" s="60"/>
      <c r="CW241" s="60"/>
      <c r="CX241" s="60"/>
      <c r="CY241" s="60"/>
      <c r="CZ241" s="60"/>
      <c r="DA241" s="60"/>
      <c r="DB241" s="60"/>
      <c r="DC241" s="60"/>
      <c r="DD241" s="60"/>
      <c r="DE241" s="60"/>
      <c r="DF241" s="60"/>
      <c r="DG241" s="60"/>
      <c r="DH241" s="60"/>
      <c r="DI241" s="60"/>
      <c r="DJ241" s="60"/>
      <c r="DK241" s="60"/>
      <c r="DL241" s="60"/>
      <c r="DM241" s="60"/>
      <c r="DN241" s="60"/>
      <c r="DO241" s="60"/>
      <c r="DP241" s="60"/>
      <c r="DQ241" s="60"/>
      <c r="DR241" s="60"/>
      <c r="DS241" s="60"/>
      <c r="DT241" s="60"/>
      <c r="DU241" s="60"/>
      <c r="DV241" s="60"/>
      <c r="DW241" s="60"/>
      <c r="DX241" s="60"/>
      <c r="DY241" s="60"/>
      <c r="DZ241" s="60"/>
      <c r="EA241" s="60"/>
      <c r="EB241" s="60"/>
      <c r="EC241" s="60"/>
      <c r="ED241" s="60"/>
      <c r="EE241" s="60"/>
      <c r="EF241" s="60"/>
      <c r="EG241" s="60"/>
      <c r="EH241" s="60"/>
      <c r="EI241" s="60"/>
      <c r="EJ241" s="60"/>
      <c r="EK241" s="60"/>
      <c r="EL241" s="60"/>
      <c r="EM241" s="60"/>
      <c r="EN241" s="60"/>
      <c r="EO241" s="60"/>
      <c r="EP241" s="60"/>
      <c r="EQ241" s="60"/>
      <c r="ER241" s="60"/>
      <c r="ES241" s="60"/>
      <c r="ET241" s="60"/>
      <c r="EU241" s="60"/>
      <c r="EV241" s="60"/>
      <c r="EW241" s="60"/>
      <c r="EX241" s="60"/>
      <c r="EY241" s="60"/>
      <c r="EZ241" s="60"/>
      <c r="FA241" s="60"/>
      <c r="FB241" s="60"/>
      <c r="FC241" s="60"/>
      <c r="FD241" s="60"/>
      <c r="FE241" s="60"/>
      <c r="FF241" s="60"/>
      <c r="FG241" s="60"/>
      <c r="FH241" s="60"/>
      <c r="FI241" s="60"/>
      <c r="FJ241" s="60"/>
      <c r="FK241" s="60"/>
      <c r="FL241" s="60"/>
      <c r="FM241" s="60"/>
      <c r="FN241" s="60"/>
      <c r="FO241" s="60"/>
      <c r="FP241" s="60"/>
      <c r="FQ241" s="60"/>
      <c r="FR241" s="60"/>
      <c r="FS241" s="60"/>
      <c r="FT241" s="60"/>
      <c r="FU241" s="60"/>
      <c r="FV241" s="60"/>
      <c r="FW241" s="60"/>
      <c r="FX241" s="60"/>
      <c r="FY241" s="60"/>
      <c r="FZ241" s="60"/>
      <c r="GA241" s="60"/>
      <c r="GB241" s="60"/>
      <c r="GC241" s="60"/>
      <c r="GD241" s="60"/>
      <c r="GE241" s="60"/>
      <c r="GF241" s="60"/>
      <c r="GG241" s="60"/>
      <c r="GH241" s="60"/>
      <c r="GI241" s="60"/>
      <c r="GJ241" s="60"/>
      <c r="GK241" s="60"/>
      <c r="GL241" s="60"/>
      <c r="GM241" s="60"/>
      <c r="GN241" s="60"/>
      <c r="GO241" s="60"/>
      <c r="GP241" s="60"/>
      <c r="GQ241" s="60"/>
      <c r="GR241" s="60"/>
      <c r="GS241" s="60"/>
      <c r="GT241" s="60"/>
      <c r="GU241" s="60"/>
      <c r="GV241" s="60"/>
      <c r="GW241" s="60"/>
      <c r="GX241" s="60"/>
      <c r="GY241" s="60"/>
      <c r="GZ241" s="60"/>
      <c r="HA241" s="60"/>
      <c r="HB241" s="60"/>
      <c r="HC241" s="60"/>
      <c r="HD241" s="60"/>
      <c r="HE241" s="60"/>
      <c r="HF241" s="60"/>
      <c r="HG241" s="60"/>
      <c r="HH241" s="60"/>
      <c r="HI241" s="60"/>
      <c r="HJ241" s="60"/>
      <c r="HK241" s="60"/>
      <c r="HL241" s="60"/>
      <c r="HM241" s="60"/>
      <c r="HN241" s="60"/>
      <c r="HO241" s="60"/>
      <c r="HP241" s="60"/>
      <c r="HQ241" s="60"/>
      <c r="HR241" s="60"/>
      <c r="HS241" s="60"/>
      <c r="HT241" s="60"/>
      <c r="HU241" s="60"/>
      <c r="HV241" s="60"/>
      <c r="HW241" s="60"/>
      <c r="HX241" s="60"/>
      <c r="HY241" s="60"/>
      <c r="HZ241" s="60"/>
      <c r="IA241" s="60"/>
      <c r="IB241" s="60"/>
      <c r="IC241" s="60"/>
      <c r="ID241" s="60"/>
      <c r="IE241" s="60"/>
      <c r="IF241" s="60"/>
      <c r="IG241" s="60"/>
      <c r="IH241" s="60"/>
      <c r="II241" s="60"/>
      <c r="IJ241" s="60"/>
      <c r="IK241" s="60"/>
      <c r="IL241" s="60"/>
      <c r="IM241" s="60"/>
      <c r="IN241" s="60"/>
      <c r="IO241" s="60"/>
      <c r="IP241" s="60"/>
      <c r="IQ241" s="60"/>
      <c r="IR241" s="60"/>
      <c r="IS241" s="60"/>
      <c r="IT241" s="60"/>
      <c r="IU241" s="60"/>
      <c r="IV241" s="60"/>
      <c r="IW241" s="60"/>
      <c r="IX241" s="60"/>
      <c r="IY241" s="60"/>
      <c r="IZ241" s="60"/>
      <c r="JA241" s="60"/>
      <c r="JB241" s="60"/>
      <c r="JC241" s="60"/>
      <c r="JD241" s="60"/>
      <c r="JE241" s="60"/>
      <c r="JF241" s="60"/>
      <c r="JG241" s="60"/>
      <c r="JH241" s="60"/>
      <c r="JI241" s="60"/>
      <c r="JJ241" s="60"/>
      <c r="JK241" s="60"/>
      <c r="JL241" s="60"/>
      <c r="JM241" s="60"/>
      <c r="JN241" s="60"/>
      <c r="JO241" s="60"/>
      <c r="JP241" s="60"/>
      <c r="JQ241" s="60"/>
      <c r="JR241" s="60"/>
      <c r="JS241" s="60"/>
      <c r="JT241" s="60"/>
      <c r="JU241" s="60"/>
      <c r="JV241" s="60"/>
      <c r="JW241" s="60"/>
      <c r="JX241" s="60"/>
      <c r="JY241" s="60"/>
      <c r="JZ241" s="60"/>
      <c r="KA241" s="60"/>
      <c r="KB241" s="60"/>
      <c r="KC241" s="60"/>
      <c r="KD241" s="60"/>
      <c r="KE241" s="60"/>
      <c r="KF241" s="60"/>
      <c r="KG241" s="60"/>
      <c r="KH241" s="60"/>
      <c r="KI241" s="60"/>
      <c r="KJ241" s="60"/>
      <c r="KK241" s="60"/>
      <c r="KL241" s="60"/>
      <c r="KM241" s="60"/>
      <c r="KN241" s="60"/>
      <c r="KO241" s="60"/>
      <c r="KP241" s="60"/>
      <c r="KQ241" s="60"/>
      <c r="KR241" s="60"/>
      <c r="KS241" s="60"/>
      <c r="KT241" s="60"/>
      <c r="KU241" s="60"/>
      <c r="KV241" s="60"/>
      <c r="KW241" s="60"/>
      <c r="KX241" s="60"/>
      <c r="KY241" s="60"/>
      <c r="KZ241" s="60"/>
      <c r="LA241" s="60"/>
      <c r="LB241" s="60"/>
      <c r="LC241" s="60"/>
      <c r="LD241" s="60"/>
      <c r="LE241" s="60"/>
      <c r="LF241" s="60"/>
      <c r="LG241" s="60"/>
      <c r="LH241" s="60"/>
    </row>
  </sheetData>
  <sheetProtection algorithmName="SHA-512" hashValue="mQnynX9nz3P5JpDEdgXg4UN7473ChPYXo4ORjpkUOHiLPW6BnubBmWQW7Stcn5vdCVstznNCuJW4jsJpGlYIUg==" saltValue="WRUrd3hzZj22NrENAy60Wg==" spinCount="100000" sheet="1" objects="1" scenarios="1" formatColumns="0" formatRows="0" selectLockedCells="1"/>
  <protectedRanges>
    <protectedRange sqref="F187:H187 AF22:LH22 F4:G4" name="Range1"/>
    <protectedRange sqref="H22 J22:AE22" name="Range1_5"/>
    <protectedRange sqref="G3 G5:G8 F5:F6 F8" name="Range1_6"/>
  </protectedRanges>
  <mergeCells count="39">
    <mergeCell ref="F25:G25"/>
    <mergeCell ref="C10:E10"/>
    <mergeCell ref="B11:B12"/>
    <mergeCell ref="C13:G13"/>
    <mergeCell ref="B16:G16"/>
    <mergeCell ref="B17:G17"/>
    <mergeCell ref="B14:G15"/>
    <mergeCell ref="B1:G1"/>
    <mergeCell ref="B188:E188"/>
    <mergeCell ref="F188:H188"/>
    <mergeCell ref="B26:E26"/>
    <mergeCell ref="F26:G26"/>
    <mergeCell ref="B150:L150"/>
    <mergeCell ref="B152:H152"/>
    <mergeCell ref="B187:E187"/>
    <mergeCell ref="F187:H187"/>
    <mergeCell ref="B20:E20"/>
    <mergeCell ref="F20:J20"/>
    <mergeCell ref="C22:F22"/>
    <mergeCell ref="B8:E8"/>
    <mergeCell ref="F8:G8"/>
    <mergeCell ref="F10:G10"/>
    <mergeCell ref="B25:E25"/>
    <mergeCell ref="H2:J2"/>
    <mergeCell ref="I13:I16"/>
    <mergeCell ref="I5:M7"/>
    <mergeCell ref="B9:J9"/>
    <mergeCell ref="A1:A9"/>
    <mergeCell ref="B2:E2"/>
    <mergeCell ref="F2:G2"/>
    <mergeCell ref="B3:E3"/>
    <mergeCell ref="B4:E4"/>
    <mergeCell ref="F4:G4"/>
    <mergeCell ref="B5:E5"/>
    <mergeCell ref="F5:G5"/>
    <mergeCell ref="B6:E6"/>
    <mergeCell ref="F6:G6"/>
    <mergeCell ref="B7:E7"/>
    <mergeCell ref="F7:G7"/>
  </mergeCells>
  <conditionalFormatting sqref="B8:G8">
    <cfRule type="cellIs" dxfId="117" priority="45" operator="equal">
      <formula>"caca"</formula>
    </cfRule>
  </conditionalFormatting>
  <conditionalFormatting sqref="F7 G154">
    <cfRule type="cellIs" dxfId="116" priority="54" operator="lessThan">
      <formula>10</formula>
    </cfRule>
  </conditionalFormatting>
  <conditionalFormatting sqref="F187:G187">
    <cfRule type="cellIs" dxfId="115" priority="56" operator="greaterThan">
      <formula>1-(1/#REF!)</formula>
    </cfRule>
  </conditionalFormatting>
  <conditionalFormatting sqref="F188:G188">
    <cfRule type="cellIs" dxfId="114" priority="55" operator="notEqual">
      <formula>10/F187</formula>
    </cfRule>
  </conditionalFormatting>
  <conditionalFormatting sqref="G3">
    <cfRule type="cellIs" dxfId="113" priority="49" operator="lessThan">
      <formula>1</formula>
    </cfRule>
  </conditionalFormatting>
  <conditionalFormatting sqref="H15">
    <cfRule type="cellIs" dxfId="112" priority="46" operator="equal">
      <formula>0</formula>
    </cfRule>
  </conditionalFormatting>
  <conditionalFormatting sqref="I10">
    <cfRule type="cellIs" dxfId="111" priority="53" operator="equal">
      <formula>0</formula>
    </cfRule>
  </conditionalFormatting>
  <conditionalFormatting sqref="I11 K11 M11 O11 Q11">
    <cfRule type="containsText" dxfId="110" priority="50" operator="containsText" text="From">
      <formula>NOT(ISERROR(SEARCH("From",I11)))</formula>
    </cfRule>
  </conditionalFormatting>
  <conditionalFormatting sqref="J10:AD17">
    <cfRule type="cellIs" dxfId="109" priority="52" operator="equal">
      <formula>0</formula>
    </cfRule>
  </conditionalFormatting>
  <conditionalFormatting sqref="K11 M11 O11 Q11">
    <cfRule type="containsText" dxfId="108" priority="51" operator="containsText" text="Throw away">
      <formula>NOT(ISERROR(SEARCH("Throw away",K11)))</formula>
    </cfRule>
  </conditionalFormatting>
  <conditionalFormatting sqref="L154">
    <cfRule type="cellIs" dxfId="107" priority="57" operator="notEqual">
      <formula>ROUNDDOWN(P5,N5)</formula>
    </cfRule>
  </conditionalFormatting>
  <conditionalFormatting sqref="R15">
    <cfRule type="containsText" dxfId="106" priority="42" operator="containsText" text="caca">
      <formula>NOT(ISERROR(SEARCH("caca",R15)))</formula>
    </cfRule>
  </conditionalFormatting>
  <conditionalFormatting sqref="R13:T14">
    <cfRule type="cellIs" dxfId="105" priority="43" operator="equal">
      <formula>0</formula>
    </cfRule>
  </conditionalFormatting>
  <conditionalFormatting sqref="S10 S15">
    <cfRule type="cellIs" dxfId="104" priority="44" operator="equal">
      <formula>0</formula>
    </cfRule>
  </conditionalFormatting>
  <conditionalFormatting sqref="S11">
    <cfRule type="containsText" dxfId="103" priority="18" operator="containsText" text="From">
      <formula>NOT(ISERROR(SEARCH("From",S11)))</formula>
    </cfRule>
    <cfRule type="containsText" dxfId="102" priority="19" operator="containsText" text="Throw away">
      <formula>NOT(ISERROR(SEARCH("Throw away",S11)))</formula>
    </cfRule>
  </conditionalFormatting>
  <conditionalFormatting sqref="T15">
    <cfRule type="containsText" dxfId="101" priority="41" operator="containsText" text="caca">
      <formula>NOT(ISERROR(SEARCH("caca",T15)))</formula>
    </cfRule>
  </conditionalFormatting>
  <conditionalFormatting sqref="U10 U13:U15">
    <cfRule type="cellIs" dxfId="100" priority="39" operator="equal">
      <formula>0</formula>
    </cfRule>
  </conditionalFormatting>
  <conditionalFormatting sqref="U11">
    <cfRule type="containsText" dxfId="99" priority="16" operator="containsText" text="From">
      <formula>NOT(ISERROR(SEARCH("From",U11)))</formula>
    </cfRule>
    <cfRule type="containsText" dxfId="98" priority="17" operator="containsText" text="Throw away">
      <formula>NOT(ISERROR(SEARCH("Throw away",U11)))</formula>
    </cfRule>
  </conditionalFormatting>
  <conditionalFormatting sqref="U22">
    <cfRule type="cellIs" dxfId="97" priority="40" operator="equal">
      <formula>0</formula>
    </cfRule>
  </conditionalFormatting>
  <conditionalFormatting sqref="V13:V14">
    <cfRule type="cellIs" dxfId="96" priority="38" operator="equal">
      <formula>0</formula>
    </cfRule>
  </conditionalFormatting>
  <conditionalFormatting sqref="W10 W13:W15">
    <cfRule type="cellIs" dxfId="95" priority="36" operator="equal">
      <formula>0</formula>
    </cfRule>
  </conditionalFormatting>
  <conditionalFormatting sqref="W11">
    <cfRule type="containsText" dxfId="94" priority="14" operator="containsText" text="From">
      <formula>NOT(ISERROR(SEARCH("From",W11)))</formula>
    </cfRule>
    <cfRule type="containsText" dxfId="93" priority="15" operator="containsText" text="Throw away">
      <formula>NOT(ISERROR(SEARCH("Throw away",W11)))</formula>
    </cfRule>
  </conditionalFormatting>
  <conditionalFormatting sqref="W22">
    <cfRule type="cellIs" dxfId="92" priority="37" operator="equal">
      <formula>0</formula>
    </cfRule>
  </conditionalFormatting>
  <conditionalFormatting sqref="X13:X14">
    <cfRule type="cellIs" dxfId="91" priority="35" operator="equal">
      <formula>0</formula>
    </cfRule>
  </conditionalFormatting>
  <conditionalFormatting sqref="X15">
    <cfRule type="containsText" dxfId="90" priority="34" operator="containsText" text="caca">
      <formula>NOT(ISERROR(SEARCH("caca",X15)))</formula>
    </cfRule>
  </conditionalFormatting>
  <conditionalFormatting sqref="Y10 Y13:Y15">
    <cfRule type="cellIs" dxfId="89" priority="32" operator="equal">
      <formula>0</formula>
    </cfRule>
  </conditionalFormatting>
  <conditionalFormatting sqref="Y11">
    <cfRule type="containsText" dxfId="88" priority="12" operator="containsText" text="From">
      <formula>NOT(ISERROR(SEARCH("From",Y11)))</formula>
    </cfRule>
    <cfRule type="containsText" dxfId="87" priority="13" operator="containsText" text="Throw away">
      <formula>NOT(ISERROR(SEARCH("Throw away",Y11)))</formula>
    </cfRule>
  </conditionalFormatting>
  <conditionalFormatting sqref="Y22">
    <cfRule type="cellIs" dxfId="86" priority="33" operator="equal">
      <formula>0</formula>
    </cfRule>
  </conditionalFormatting>
  <conditionalFormatting sqref="Z13:Z14">
    <cfRule type="cellIs" dxfId="85" priority="31" operator="equal">
      <formula>0</formula>
    </cfRule>
  </conditionalFormatting>
  <conditionalFormatting sqref="Z15">
    <cfRule type="containsText" dxfId="84" priority="30" operator="containsText" text="caca">
      <formula>NOT(ISERROR(SEARCH("caca",Z15)))</formula>
    </cfRule>
  </conditionalFormatting>
  <conditionalFormatting sqref="AA10 AA13:AA15">
    <cfRule type="cellIs" dxfId="83" priority="28" operator="equal">
      <formula>0</formula>
    </cfRule>
  </conditionalFormatting>
  <conditionalFormatting sqref="AA11">
    <cfRule type="containsText" dxfId="82" priority="10" operator="containsText" text="From">
      <formula>NOT(ISERROR(SEARCH("From",AA11)))</formula>
    </cfRule>
    <cfRule type="containsText" dxfId="81" priority="11" operator="containsText" text="Throw away">
      <formula>NOT(ISERROR(SEARCH("Throw away",AA11)))</formula>
    </cfRule>
  </conditionalFormatting>
  <conditionalFormatting sqref="AA22">
    <cfRule type="cellIs" dxfId="80" priority="29" operator="equal">
      <formula>0</formula>
    </cfRule>
  </conditionalFormatting>
  <conditionalFormatting sqref="AB13:AB14">
    <cfRule type="cellIs" dxfId="79" priority="27" operator="equal">
      <formula>0</formula>
    </cfRule>
  </conditionalFormatting>
  <conditionalFormatting sqref="AB15">
    <cfRule type="containsText" dxfId="78" priority="26" operator="containsText" text="caca">
      <formula>NOT(ISERROR(SEARCH("caca",AB15)))</formula>
    </cfRule>
  </conditionalFormatting>
  <conditionalFormatting sqref="AC10 AC13:AC15">
    <cfRule type="cellIs" dxfId="77" priority="24" operator="equal">
      <formula>0</formula>
    </cfRule>
  </conditionalFormatting>
  <conditionalFormatting sqref="AC11">
    <cfRule type="containsText" dxfId="76" priority="8" operator="containsText" text="From">
      <formula>NOT(ISERROR(SEARCH("From",AC11)))</formula>
    </cfRule>
    <cfRule type="containsText" dxfId="75" priority="9" operator="containsText" text="Throw away">
      <formula>NOT(ISERROR(SEARCH("Throw away",AC11)))</formula>
    </cfRule>
  </conditionalFormatting>
  <conditionalFormatting sqref="AC22">
    <cfRule type="cellIs" dxfId="74" priority="25" operator="equal">
      <formula>0</formula>
    </cfRule>
  </conditionalFormatting>
  <conditionalFormatting sqref="AD13:AD14">
    <cfRule type="cellIs" dxfId="73" priority="23" operator="equal">
      <formula>0</formula>
    </cfRule>
  </conditionalFormatting>
  <conditionalFormatting sqref="AD15">
    <cfRule type="containsText" dxfId="72" priority="22" operator="containsText" text="caca">
      <formula>NOT(ISERROR(SEARCH("caca",AD15)))</formula>
    </cfRule>
  </conditionalFormatting>
  <conditionalFormatting sqref="AE11">
    <cfRule type="containsText" dxfId="71" priority="7" operator="containsText" text="Throw away">
      <formula>NOT(ISERROR(SEARCH("Throw away",AE11)))</formula>
    </cfRule>
  </conditionalFormatting>
  <conditionalFormatting sqref="AE22">
    <cfRule type="cellIs" dxfId="70" priority="21" operator="equal">
      <formula>0</formula>
    </cfRule>
  </conditionalFormatting>
  <conditionalFormatting sqref="AE10:AF10 AE13:AE15">
    <cfRule type="cellIs" dxfId="69" priority="20" operator="equal">
      <formula>0</formula>
    </cfRule>
  </conditionalFormatting>
  <conditionalFormatting sqref="AE11:AF11">
    <cfRule type="containsText" dxfId="68" priority="6" operator="containsText" text="From">
      <formula>NOT(ISERROR(SEARCH("From",AE11)))</formula>
    </cfRule>
  </conditionalFormatting>
  <conditionalFormatting sqref="AF11">
    <cfRule type="containsText" dxfId="67" priority="47" operator="containsText" text="Throw away">
      <formula>NOT(ISERROR(SEARCH("Throw away",AF11)))</formula>
    </cfRule>
  </conditionalFormatting>
  <conditionalFormatting sqref="AF13">
    <cfRule type="cellIs" dxfId="66" priority="48" operator="equal">
      <formula>0</formula>
    </cfRule>
  </conditionalFormatting>
  <conditionalFormatting sqref="I5">
    <cfRule type="cellIs" dxfId="65" priority="4" operator="notEqual">
      <formula>"Bla"</formula>
    </cfRule>
  </conditionalFormatting>
  <conditionalFormatting sqref="I13:I17">
    <cfRule type="expression" dxfId="64" priority="3">
      <formula>H13</formula>
    </cfRule>
  </conditionalFormatting>
  <conditionalFormatting sqref="M154">
    <cfRule type="cellIs" dxfId="63" priority="135" operator="notEqual">
      <formula>ROUNDDOWN(B25,P5)</formula>
    </cfRule>
  </conditionalFormatting>
  <conditionalFormatting sqref="N154">
    <cfRule type="cellIs" dxfId="62" priority="136" operator="notEqual">
      <formula>ROUNDDOWN(B25,P5)</formula>
    </cfRule>
  </conditionalFormatting>
  <conditionalFormatting sqref="O154">
    <cfRule type="cellIs" dxfId="61" priority="137" operator="notEqual">
      <formula>ROUNDDOWN(T5,B25)</formula>
    </cfRule>
  </conditionalFormatting>
  <conditionalFormatting sqref="P154">
    <cfRule type="cellIs" dxfId="60" priority="138" operator="notEqual">
      <formula>ROUNDDOWN(T5,B25)</formula>
    </cfRule>
  </conditionalFormatting>
  <conditionalFormatting sqref="H17">
    <cfRule type="cellIs" dxfId="59" priority="1" operator="equal">
      <formula>0</formula>
    </cfRule>
  </conditionalFormatting>
  <dataValidations disablePrompts="1" count="1">
    <dataValidation type="list" allowBlank="1" showInputMessage="1" showErrorMessage="1" sqref="F25" xr:uid="{9C50890B-059C-4771-BE14-B052213C87A5}">
      <formula1>$T$5:$U$5</formula1>
    </dataValidation>
  </dataValidations>
  <hyperlinks>
    <hyperlink ref="F20" r:id="rId1" xr:uid="{49D149DE-D746-4E93-B2EA-D57D919E2134}"/>
  </hyperlinks>
  <pageMargins left="0.7" right="0.7" top="0.75" bottom="0.75" header="0.3" footer="0.3"/>
  <pageSetup orientation="portrait" horizontalDpi="4294967292" verticalDpi="4294967292"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F7BF6F-B888-43A5-9313-11D4D910397B}">
  <sheetPr codeName="Sheet6"/>
  <dimension ref="A1:LH241"/>
  <sheetViews>
    <sheetView showGridLines="0" showRuler="0" zoomScale="75" zoomScaleNormal="75" workbookViewId="0">
      <selection activeCell="A16" sqref="A16"/>
    </sheetView>
  </sheetViews>
  <sheetFormatPr defaultColWidth="8.5703125" defaultRowHeight="15" x14ac:dyDescent="0.25"/>
  <cols>
    <col min="1" max="1" width="11.42578125" style="147" customWidth="1"/>
    <col min="2" max="2" width="14.28515625" style="1" customWidth="1"/>
    <col min="3" max="3" width="15.7109375" style="1" customWidth="1"/>
    <col min="4" max="4" width="2.85546875" style="1" customWidth="1"/>
    <col min="5" max="5" width="42.85546875" style="146" customWidth="1"/>
    <col min="6" max="6" width="8.5703125" style="146" customWidth="1"/>
    <col min="7" max="7" width="22.85546875" style="146" customWidth="1"/>
    <col min="8" max="19" width="15.7109375" style="146" customWidth="1"/>
    <col min="20" max="22" width="15.7109375" style="17" customWidth="1"/>
    <col min="23" max="23" width="12.28515625" style="17" customWidth="1"/>
    <col min="24" max="24" width="15.7109375" style="17" customWidth="1"/>
    <col min="25" max="25" width="12.28515625" style="17" customWidth="1"/>
    <col min="26" max="26" width="15.7109375" style="17" customWidth="1"/>
    <col min="27" max="27" width="12.28515625" style="17" customWidth="1"/>
    <col min="28" max="28" width="15.7109375" style="17" customWidth="1"/>
    <col min="29" max="29" width="12.28515625" style="60" customWidth="1"/>
    <col min="30" max="30" width="15.7109375" style="60" customWidth="1"/>
    <col min="31" max="31" width="12.28515625" style="60" customWidth="1"/>
    <col min="32" max="32" width="15.7109375" style="60" customWidth="1"/>
    <col min="33" max="33" width="12.28515625" style="60" customWidth="1"/>
    <col min="34" max="34" width="10.140625" style="60" customWidth="1"/>
    <col min="35" max="35" width="12.28515625" style="60" customWidth="1"/>
    <col min="36" max="37" width="10.140625" style="60" customWidth="1"/>
    <col min="38" max="38" width="16" style="60" bestFit="1" customWidth="1"/>
    <col min="39" max="39" width="16.5703125" style="60" bestFit="1" customWidth="1"/>
    <col min="40" max="40" width="15.42578125" style="60" bestFit="1" customWidth="1"/>
    <col min="41" max="41" width="16" style="60" bestFit="1" customWidth="1"/>
    <col min="42" max="50" width="15.42578125" style="60" bestFit="1" customWidth="1"/>
    <col min="51" max="51" width="14.42578125" style="60" bestFit="1" customWidth="1"/>
    <col min="52" max="53" width="15" style="60" bestFit="1" customWidth="1"/>
    <col min="54" max="54" width="15.42578125" style="60" bestFit="1" customWidth="1"/>
    <col min="55" max="56" width="15" style="60" bestFit="1" customWidth="1"/>
    <col min="57" max="58" width="15.42578125" style="60" bestFit="1" customWidth="1"/>
    <col min="59" max="59" width="14.42578125" style="60" bestFit="1" customWidth="1"/>
    <col min="60" max="60" width="15" style="60" bestFit="1" customWidth="1"/>
    <col min="61" max="63" width="14.42578125" style="60" bestFit="1" customWidth="1"/>
    <col min="64" max="64" width="13.85546875" style="60" bestFit="1" customWidth="1"/>
    <col min="65" max="65" width="15" style="60" bestFit="1" customWidth="1"/>
    <col min="66" max="66" width="14" style="60" bestFit="1" customWidth="1"/>
    <col min="67" max="67" width="13.140625" style="60" bestFit="1" customWidth="1"/>
    <col min="68" max="69" width="13.42578125" style="60" bestFit="1" customWidth="1"/>
    <col min="70" max="71" width="13.140625" style="60" bestFit="1" customWidth="1"/>
    <col min="72" max="74" width="13.42578125" style="60" bestFit="1" customWidth="1"/>
    <col min="75" max="75" width="14" style="60" bestFit="1" customWidth="1"/>
    <col min="76" max="76" width="13.42578125" style="60" bestFit="1" customWidth="1"/>
    <col min="77" max="78" width="14" style="60" bestFit="1" customWidth="1"/>
    <col min="79" max="79" width="13.42578125" style="60" bestFit="1" customWidth="1"/>
    <col min="80" max="82" width="14" style="60" bestFit="1" customWidth="1"/>
    <col min="83" max="84" width="13.42578125" style="60" bestFit="1" customWidth="1"/>
    <col min="85" max="86" width="13.140625" style="60" bestFit="1" customWidth="1"/>
    <col min="87" max="87" width="13.42578125" style="60" bestFit="1" customWidth="1"/>
    <col min="88" max="88" width="12" style="60" bestFit="1" customWidth="1"/>
    <col min="89" max="89" width="13.42578125" style="60" bestFit="1" customWidth="1"/>
    <col min="90" max="90" width="13.140625" style="60" bestFit="1" customWidth="1"/>
    <col min="91" max="91" width="13.42578125" style="60" bestFit="1" customWidth="1"/>
    <col min="92" max="92" width="14" style="60" bestFit="1" customWidth="1"/>
    <col min="93" max="93" width="13.42578125" style="60" bestFit="1" customWidth="1"/>
    <col min="94" max="96" width="14" style="60" bestFit="1" customWidth="1"/>
    <col min="97" max="97" width="13.42578125" style="60" bestFit="1" customWidth="1"/>
    <col min="98" max="99" width="14" style="60" bestFit="1" customWidth="1"/>
    <col min="100" max="100" width="13.42578125" style="60" bestFit="1" customWidth="1"/>
    <col min="101" max="101" width="14" style="60" bestFit="1" customWidth="1"/>
    <col min="102" max="102" width="13.42578125" style="60" bestFit="1" customWidth="1"/>
    <col min="103" max="103" width="14" style="60" bestFit="1" customWidth="1"/>
    <col min="104" max="104" width="13.42578125" style="60" bestFit="1" customWidth="1"/>
    <col min="105" max="106" width="14" style="60" bestFit="1" customWidth="1"/>
    <col min="107" max="107" width="13.140625" style="60" bestFit="1" customWidth="1"/>
    <col min="108" max="109" width="12.85546875" style="60" bestFit="1" customWidth="1"/>
    <col min="110" max="110" width="12.42578125" style="60" bestFit="1" customWidth="1"/>
    <col min="111" max="111" width="13.42578125" style="60" bestFit="1" customWidth="1"/>
    <col min="112" max="112" width="13.140625" style="60" bestFit="1" customWidth="1"/>
    <col min="113" max="113" width="13.42578125" style="60" bestFit="1" customWidth="1"/>
    <col min="114" max="118" width="14" style="60" bestFit="1" customWidth="1"/>
    <col min="119" max="120" width="13.42578125" style="60" bestFit="1" customWidth="1"/>
    <col min="121" max="122" width="14" style="60" bestFit="1" customWidth="1"/>
    <col min="123" max="123" width="13.42578125" style="60" bestFit="1" customWidth="1"/>
    <col min="124" max="128" width="14" style="60" bestFit="1" customWidth="1"/>
    <col min="129" max="132" width="13.140625" style="60" bestFit="1" customWidth="1"/>
    <col min="133" max="134" width="13.42578125" style="60" bestFit="1" customWidth="1"/>
    <col min="135" max="135" width="13.140625" style="60" bestFit="1" customWidth="1"/>
    <col min="136" max="136" width="12.85546875" style="60" bestFit="1" customWidth="1"/>
    <col min="137" max="137" width="13.42578125" style="60" bestFit="1" customWidth="1"/>
    <col min="138" max="138" width="14" style="60" bestFit="1" customWidth="1"/>
    <col min="139" max="140" width="13.42578125" style="60" bestFit="1" customWidth="1"/>
    <col min="141" max="143" width="14" style="60" bestFit="1" customWidth="1"/>
    <col min="144" max="145" width="13.42578125" style="60" bestFit="1" customWidth="1"/>
    <col min="146" max="146" width="14" style="60" bestFit="1" customWidth="1"/>
    <col min="147" max="147" width="13.42578125" style="60" bestFit="1" customWidth="1"/>
    <col min="148" max="149" width="14" style="60" bestFit="1" customWidth="1"/>
    <col min="150" max="150" width="13.42578125" style="60" bestFit="1" customWidth="1"/>
    <col min="151" max="153" width="14" style="60" bestFit="1" customWidth="1"/>
    <col min="154" max="158" width="13.42578125" style="60" bestFit="1" customWidth="1"/>
    <col min="159" max="159" width="13.140625" style="60" bestFit="1" customWidth="1"/>
    <col min="160" max="160" width="13.42578125" style="60" bestFit="1" customWidth="1"/>
    <col min="161" max="161" width="13.140625" style="60" bestFit="1" customWidth="1"/>
    <col min="162" max="166" width="14" style="60" bestFit="1" customWidth="1"/>
    <col min="167" max="167" width="13.42578125" style="60" bestFit="1" customWidth="1"/>
    <col min="168" max="168" width="14" style="60" bestFit="1" customWidth="1"/>
    <col min="169" max="169" width="13.42578125" style="60" bestFit="1" customWidth="1"/>
    <col min="170" max="173" width="14" style="60" bestFit="1" customWidth="1"/>
    <col min="174" max="174" width="13.42578125" style="60" bestFit="1" customWidth="1"/>
    <col min="175" max="177" width="14" style="60" bestFit="1" customWidth="1"/>
    <col min="178" max="179" width="13.42578125" style="60" bestFit="1" customWidth="1"/>
    <col min="180" max="180" width="13.140625" style="60" bestFit="1" customWidth="1"/>
    <col min="181" max="184" width="13.42578125" style="60" bestFit="1" customWidth="1"/>
    <col min="185" max="186" width="12.85546875" style="60" bestFit="1" customWidth="1"/>
    <col min="187" max="187" width="13.42578125" style="60" bestFit="1" customWidth="1"/>
    <col min="188" max="191" width="14" style="60" bestFit="1" customWidth="1"/>
    <col min="192" max="193" width="13.42578125" style="60" bestFit="1" customWidth="1"/>
    <col min="194" max="203" width="14" style="60" bestFit="1" customWidth="1"/>
    <col min="204" max="208" width="13.42578125" style="60" bestFit="1" customWidth="1"/>
    <col min="209" max="209" width="13.140625" style="60" bestFit="1" customWidth="1"/>
    <col min="210" max="210" width="13.42578125" style="60" bestFit="1" customWidth="1"/>
    <col min="211" max="227" width="14" style="60" bestFit="1" customWidth="1"/>
    <col min="228" max="232" width="13.42578125" style="60" bestFit="1" customWidth="1"/>
    <col min="233" max="233" width="13.140625" style="60" bestFit="1" customWidth="1"/>
    <col min="234" max="234" width="13.42578125" style="60" bestFit="1" customWidth="1"/>
    <col min="235" max="254" width="14" style="60" bestFit="1" customWidth="1"/>
    <col min="255" max="265" width="13.42578125" style="60" bestFit="1" customWidth="1"/>
    <col min="266" max="320" width="14" style="60" bestFit="1" customWidth="1"/>
    <col min="321" max="16384" width="8.5703125" style="1"/>
  </cols>
  <sheetData>
    <row r="1" spans="1:320" ht="23.1" customHeight="1" thickBot="1" x14ac:dyDescent="0.4">
      <c r="A1" s="301"/>
      <c r="B1" s="376" t="s">
        <v>152</v>
      </c>
      <c r="C1" s="377"/>
      <c r="D1" s="377"/>
      <c r="E1" s="377"/>
      <c r="F1" s="377"/>
      <c r="G1" s="378"/>
    </row>
    <row r="2" spans="1:320" s="17" customFormat="1" ht="49.9" customHeight="1" thickBot="1" x14ac:dyDescent="0.3">
      <c r="B2" s="386" t="s">
        <v>116</v>
      </c>
      <c r="C2" s="387"/>
      <c r="D2" s="387"/>
      <c r="E2" s="387"/>
      <c r="F2" s="405">
        <v>0.01</v>
      </c>
      <c r="G2" s="406"/>
      <c r="H2" s="343" t="s">
        <v>126</v>
      </c>
      <c r="I2" s="344"/>
      <c r="J2" s="344"/>
      <c r="K2" s="414">
        <f>IF(H3&gt;100,"Pre-dilution recommended → ", 1)</f>
        <v>1</v>
      </c>
      <c r="L2" s="415"/>
      <c r="M2" s="311">
        <f>IF(H3&gt;100,H3/100,1)</f>
        <v>1</v>
      </c>
      <c r="N2" s="412" t="str">
        <f>IF(H3&gt;100,"After Pre-dilution →","Without Pre-dilution→")</f>
        <v>Without Pre-dilution→</v>
      </c>
      <c r="O2" s="413"/>
      <c r="P2" s="305">
        <f>F2/M2</f>
        <v>0.01</v>
      </c>
      <c r="Q2" s="306" t="s">
        <v>78</v>
      </c>
      <c r="AC2" s="60"/>
      <c r="AD2" s="60"/>
      <c r="AE2" s="60"/>
      <c r="AF2" s="60"/>
      <c r="AG2" s="60"/>
      <c r="AH2" s="60"/>
      <c r="AI2" s="60"/>
      <c r="AJ2" s="60"/>
      <c r="AK2" s="60"/>
      <c r="AL2" s="60"/>
      <c r="AM2" s="60"/>
      <c r="AN2" s="60"/>
      <c r="AO2" s="60"/>
      <c r="AP2" s="60"/>
      <c r="AQ2" s="60"/>
      <c r="AR2" s="60"/>
      <c r="AS2" s="60"/>
      <c r="AT2" s="60"/>
      <c r="AU2" s="60"/>
      <c r="AV2" s="60"/>
      <c r="AW2" s="60"/>
      <c r="AX2" s="60"/>
      <c r="AY2" s="60"/>
      <c r="AZ2" s="60"/>
      <c r="BA2" s="60"/>
      <c r="BB2" s="60"/>
      <c r="BC2" s="60"/>
      <c r="BD2" s="60"/>
      <c r="BE2" s="60"/>
      <c r="BF2" s="60"/>
      <c r="BG2" s="60"/>
      <c r="BH2" s="60"/>
      <c r="BI2" s="60"/>
      <c r="BJ2" s="60"/>
      <c r="BK2" s="60"/>
      <c r="BL2" s="60"/>
      <c r="BM2" s="60"/>
      <c r="BN2" s="60"/>
      <c r="BO2" s="60"/>
      <c r="BP2" s="60"/>
      <c r="BQ2" s="60"/>
      <c r="BR2" s="60"/>
      <c r="BS2" s="60"/>
      <c r="BT2" s="60"/>
      <c r="BU2" s="60"/>
      <c r="BV2" s="60"/>
      <c r="BW2" s="60"/>
      <c r="BX2" s="60"/>
      <c r="BY2" s="60"/>
      <c r="BZ2" s="60"/>
      <c r="CA2" s="60"/>
      <c r="CB2" s="60"/>
      <c r="CC2" s="60"/>
      <c r="CD2" s="60"/>
      <c r="CE2" s="60"/>
      <c r="CF2" s="60"/>
      <c r="CG2" s="60"/>
      <c r="CH2" s="60"/>
      <c r="CI2" s="60"/>
      <c r="CJ2" s="60"/>
      <c r="CK2" s="60"/>
      <c r="CL2" s="60"/>
      <c r="CM2" s="60"/>
      <c r="CN2" s="60"/>
      <c r="CO2" s="60"/>
      <c r="CP2" s="60"/>
      <c r="CQ2" s="60"/>
      <c r="CR2" s="60"/>
      <c r="CS2" s="60"/>
      <c r="CT2" s="60"/>
      <c r="CU2" s="60"/>
      <c r="CV2" s="60"/>
      <c r="CW2" s="60"/>
      <c r="CX2" s="60"/>
      <c r="CY2" s="60"/>
      <c r="CZ2" s="60"/>
      <c r="DA2" s="60"/>
      <c r="DB2" s="60"/>
      <c r="DC2" s="60"/>
      <c r="DD2" s="60"/>
      <c r="DE2" s="60"/>
      <c r="DF2" s="60"/>
      <c r="DG2" s="60"/>
      <c r="DH2" s="60"/>
      <c r="DI2" s="60"/>
      <c r="DJ2" s="60"/>
      <c r="DK2" s="60"/>
      <c r="DL2" s="60"/>
      <c r="DM2" s="60"/>
      <c r="DN2" s="60"/>
      <c r="DO2" s="60"/>
      <c r="DP2" s="60"/>
      <c r="DQ2" s="60"/>
      <c r="DR2" s="60"/>
      <c r="DS2" s="60"/>
      <c r="DT2" s="60"/>
      <c r="DU2" s="60"/>
      <c r="DV2" s="60"/>
      <c r="DW2" s="60"/>
      <c r="DX2" s="60"/>
      <c r="DY2" s="60"/>
      <c r="DZ2" s="60"/>
      <c r="EA2" s="60"/>
      <c r="EB2" s="60"/>
      <c r="EC2" s="60"/>
      <c r="ED2" s="60"/>
      <c r="EE2" s="60"/>
      <c r="EF2" s="60"/>
      <c r="EG2" s="60"/>
      <c r="EH2" s="60"/>
      <c r="EI2" s="60"/>
      <c r="EJ2" s="60"/>
      <c r="EK2" s="60"/>
      <c r="EL2" s="60"/>
      <c r="EM2" s="60"/>
      <c r="EN2" s="60"/>
      <c r="EO2" s="60"/>
      <c r="EP2" s="60"/>
      <c r="EQ2" s="60"/>
      <c r="ER2" s="60"/>
      <c r="ES2" s="60"/>
      <c r="ET2" s="60"/>
      <c r="EU2" s="60"/>
      <c r="EV2" s="60"/>
      <c r="EW2" s="60"/>
      <c r="EX2" s="60"/>
      <c r="EY2" s="60"/>
      <c r="EZ2" s="60"/>
      <c r="FA2" s="60"/>
      <c r="FB2" s="60"/>
      <c r="FC2" s="60"/>
      <c r="FD2" s="60"/>
      <c r="FE2" s="60"/>
      <c r="FF2" s="60"/>
      <c r="FG2" s="60"/>
      <c r="FH2" s="60"/>
      <c r="FI2" s="60"/>
      <c r="FJ2" s="60"/>
      <c r="FK2" s="60"/>
      <c r="FL2" s="60"/>
      <c r="FM2" s="60"/>
      <c r="FN2" s="60"/>
      <c r="FO2" s="60"/>
      <c r="FP2" s="60"/>
      <c r="FQ2" s="60"/>
      <c r="FR2" s="60"/>
      <c r="FS2" s="60"/>
      <c r="FT2" s="60"/>
      <c r="FU2" s="60"/>
      <c r="FV2" s="60"/>
      <c r="FW2" s="60"/>
      <c r="FX2" s="60"/>
      <c r="FY2" s="60"/>
      <c r="FZ2" s="60"/>
      <c r="GA2" s="60"/>
      <c r="GB2" s="60"/>
      <c r="GC2" s="60"/>
      <c r="GD2" s="60"/>
      <c r="GE2" s="60"/>
      <c r="GF2" s="60"/>
      <c r="GG2" s="60"/>
      <c r="GH2" s="60"/>
      <c r="GI2" s="60"/>
      <c r="GJ2" s="60"/>
      <c r="GK2" s="60"/>
      <c r="GL2" s="60"/>
      <c r="GM2" s="60"/>
      <c r="GN2" s="60"/>
      <c r="GO2" s="60"/>
      <c r="GP2" s="60"/>
      <c r="GQ2" s="60"/>
      <c r="GR2" s="60"/>
      <c r="GS2" s="60"/>
      <c r="GT2" s="60"/>
      <c r="GU2" s="60"/>
      <c r="GV2" s="60"/>
      <c r="GW2" s="60"/>
      <c r="GX2" s="60"/>
      <c r="GY2" s="60"/>
      <c r="GZ2" s="60"/>
      <c r="HA2" s="60"/>
      <c r="HB2" s="60"/>
      <c r="HC2" s="60"/>
      <c r="HD2" s="60"/>
      <c r="HE2" s="60"/>
      <c r="HF2" s="60"/>
      <c r="HG2" s="60"/>
      <c r="HH2" s="60"/>
      <c r="HI2" s="60"/>
      <c r="HJ2" s="60"/>
      <c r="HK2" s="60"/>
      <c r="HL2" s="60"/>
      <c r="HM2" s="60"/>
      <c r="HN2" s="60"/>
      <c r="HO2" s="60"/>
      <c r="HP2" s="60"/>
      <c r="HQ2" s="60"/>
      <c r="HR2" s="60"/>
      <c r="HS2" s="60"/>
      <c r="HT2" s="60"/>
      <c r="HU2" s="60"/>
      <c r="HV2" s="60"/>
      <c r="HW2" s="60"/>
      <c r="HX2" s="60"/>
      <c r="HY2" s="60"/>
      <c r="HZ2" s="60"/>
      <c r="IA2" s="60"/>
      <c r="IB2" s="60"/>
      <c r="IC2" s="60"/>
      <c r="ID2" s="60"/>
      <c r="IE2" s="60"/>
      <c r="IF2" s="60"/>
      <c r="IG2" s="60"/>
      <c r="IH2" s="60"/>
      <c r="II2" s="60"/>
      <c r="IJ2" s="60"/>
      <c r="IK2" s="60"/>
      <c r="IL2" s="60"/>
      <c r="IM2" s="60"/>
      <c r="IN2" s="60"/>
      <c r="IO2" s="60"/>
      <c r="IP2" s="60"/>
      <c r="IQ2" s="60"/>
      <c r="IR2" s="60"/>
      <c r="IS2" s="60"/>
      <c r="IT2" s="60"/>
      <c r="IU2" s="60"/>
      <c r="IV2" s="60"/>
      <c r="IW2" s="60"/>
      <c r="IX2" s="60"/>
      <c r="IY2" s="60"/>
      <c r="IZ2" s="60"/>
      <c r="JA2" s="60"/>
      <c r="JB2" s="60"/>
      <c r="JC2" s="60"/>
      <c r="JD2" s="60"/>
      <c r="JE2" s="60"/>
      <c r="JF2" s="60"/>
      <c r="JG2" s="60"/>
      <c r="JH2" s="60"/>
      <c r="JI2" s="60"/>
      <c r="JJ2" s="60"/>
      <c r="JK2" s="60"/>
      <c r="JL2" s="60"/>
      <c r="JM2" s="60"/>
      <c r="JN2" s="60"/>
      <c r="JO2" s="60"/>
      <c r="JP2" s="60"/>
      <c r="JQ2" s="60"/>
      <c r="JR2" s="60"/>
      <c r="JS2" s="60"/>
      <c r="JT2" s="60"/>
      <c r="JU2" s="60"/>
      <c r="JV2" s="60"/>
      <c r="JW2" s="60"/>
      <c r="JX2" s="60"/>
      <c r="JY2" s="60"/>
      <c r="JZ2" s="60"/>
      <c r="KA2" s="60"/>
      <c r="KB2" s="60"/>
      <c r="KC2" s="60"/>
      <c r="KD2" s="60"/>
      <c r="KE2" s="60"/>
      <c r="KF2" s="60"/>
      <c r="KG2" s="60"/>
      <c r="KH2" s="60"/>
      <c r="KI2" s="60"/>
      <c r="KJ2" s="60"/>
      <c r="KK2" s="60"/>
      <c r="KL2" s="60"/>
      <c r="KM2" s="60"/>
      <c r="KN2" s="60"/>
      <c r="KO2" s="60"/>
      <c r="KP2" s="60"/>
      <c r="KQ2" s="60"/>
      <c r="KR2" s="60"/>
      <c r="KS2" s="60"/>
      <c r="KT2" s="60"/>
      <c r="KU2" s="60"/>
      <c r="KV2" s="60"/>
      <c r="KW2" s="60"/>
      <c r="KX2" s="60"/>
      <c r="KY2" s="60"/>
      <c r="KZ2" s="60"/>
      <c r="LA2" s="60"/>
      <c r="LB2" s="60"/>
      <c r="LC2" s="60"/>
      <c r="LD2" s="60"/>
      <c r="LE2" s="60"/>
      <c r="LF2" s="60"/>
      <c r="LG2" s="60"/>
      <c r="LH2" s="60"/>
    </row>
    <row r="3" spans="1:320" s="244" customFormat="1" ht="18" customHeight="1" x14ac:dyDescent="0.25">
      <c r="A3" s="199">
        <f>(1000000*F2)/MAX(Create!I15:I26)</f>
        <v>100</v>
      </c>
      <c r="B3" s="403" t="s">
        <v>115</v>
      </c>
      <c r="C3" s="404"/>
      <c r="D3" s="404"/>
      <c r="E3" s="404"/>
      <c r="F3" s="302" t="str">
        <f>"1:"</f>
        <v>1:</v>
      </c>
      <c r="G3" s="303">
        <f>(1000000*P2)/MAX(Create!I15:I26)</f>
        <v>100</v>
      </c>
      <c r="H3" s="312">
        <f>(1000000*F2)/MAX(Create!I15:I26)</f>
        <v>100</v>
      </c>
      <c r="P3" s="307"/>
      <c r="Q3" s="307"/>
      <c r="T3" s="310"/>
      <c r="U3" s="308"/>
      <c r="AF3" s="245"/>
      <c r="AG3" s="245"/>
      <c r="AH3" s="245"/>
      <c r="AI3" s="245"/>
      <c r="AJ3" s="245"/>
      <c r="AK3" s="245"/>
      <c r="AL3" s="245"/>
      <c r="AM3" s="245"/>
      <c r="AN3" s="245"/>
      <c r="AO3" s="245"/>
      <c r="AP3" s="245"/>
      <c r="AQ3" s="245"/>
      <c r="AR3" s="245"/>
      <c r="AS3" s="245"/>
      <c r="AT3" s="245"/>
      <c r="AU3" s="245"/>
      <c r="AV3" s="245"/>
      <c r="AW3" s="245"/>
      <c r="AX3" s="245"/>
      <c r="AY3" s="245"/>
      <c r="AZ3" s="245"/>
      <c r="BA3" s="245"/>
      <c r="BB3" s="245"/>
      <c r="BC3" s="245"/>
      <c r="BD3" s="245"/>
      <c r="BE3" s="245"/>
      <c r="BF3" s="245"/>
      <c r="BG3" s="245"/>
      <c r="BH3" s="245"/>
      <c r="BI3" s="245"/>
      <c r="BJ3" s="245"/>
      <c r="BK3" s="245"/>
      <c r="BL3" s="245"/>
      <c r="BM3" s="245"/>
      <c r="BN3" s="245"/>
      <c r="BO3" s="245"/>
      <c r="BP3" s="245"/>
      <c r="BQ3" s="245"/>
      <c r="BR3" s="245"/>
      <c r="BS3" s="245"/>
      <c r="BT3" s="245"/>
      <c r="BU3" s="245"/>
      <c r="BV3" s="245"/>
      <c r="BW3" s="245"/>
      <c r="BX3" s="245"/>
      <c r="BY3" s="245"/>
      <c r="BZ3" s="245"/>
      <c r="CA3" s="245"/>
      <c r="CB3" s="245"/>
      <c r="CC3" s="245"/>
      <c r="CD3" s="245"/>
      <c r="CE3" s="245"/>
      <c r="CF3" s="245"/>
      <c r="CG3" s="245"/>
      <c r="CH3" s="245"/>
      <c r="CI3" s="245"/>
      <c r="CJ3" s="245"/>
      <c r="CK3" s="245"/>
      <c r="CL3" s="245"/>
      <c r="CM3" s="245"/>
      <c r="CN3" s="245"/>
      <c r="CO3" s="245"/>
      <c r="CP3" s="245"/>
      <c r="CQ3" s="245"/>
      <c r="CR3" s="245"/>
      <c r="CS3" s="245"/>
      <c r="CT3" s="245"/>
      <c r="CU3" s="245"/>
      <c r="CV3" s="245"/>
      <c r="CW3" s="245"/>
      <c r="CX3" s="245"/>
      <c r="CY3" s="245"/>
      <c r="CZ3" s="245"/>
      <c r="DA3" s="245"/>
      <c r="DB3" s="245"/>
      <c r="DC3" s="245"/>
      <c r="DD3" s="245"/>
      <c r="DE3" s="245"/>
      <c r="DF3" s="245"/>
      <c r="DG3" s="245"/>
      <c r="DH3" s="245"/>
      <c r="DI3" s="245"/>
      <c r="DJ3" s="245"/>
      <c r="DK3" s="245"/>
      <c r="DL3" s="245"/>
      <c r="DM3" s="245"/>
      <c r="DN3" s="245"/>
      <c r="DO3" s="245"/>
      <c r="DP3" s="245"/>
      <c r="DQ3" s="245"/>
      <c r="DR3" s="245"/>
      <c r="DS3" s="245"/>
      <c r="DT3" s="245"/>
      <c r="DU3" s="245"/>
      <c r="DV3" s="245"/>
      <c r="DW3" s="245"/>
      <c r="DX3" s="245"/>
      <c r="DY3" s="245"/>
      <c r="DZ3" s="245"/>
      <c r="EA3" s="245"/>
      <c r="EB3" s="245"/>
      <c r="EC3" s="245"/>
      <c r="ED3" s="245"/>
      <c r="EE3" s="245"/>
      <c r="EF3" s="245"/>
      <c r="EG3" s="245"/>
      <c r="EH3" s="245"/>
      <c r="EI3" s="245"/>
      <c r="EJ3" s="245"/>
      <c r="EK3" s="245"/>
      <c r="EL3" s="245"/>
      <c r="EM3" s="245"/>
      <c r="EN3" s="245"/>
      <c r="EO3" s="245"/>
      <c r="EP3" s="245"/>
      <c r="EQ3" s="245"/>
      <c r="ER3" s="245"/>
      <c r="ES3" s="245"/>
      <c r="ET3" s="245"/>
      <c r="EU3" s="245"/>
      <c r="EV3" s="245"/>
      <c r="EW3" s="245"/>
      <c r="EX3" s="245"/>
      <c r="EY3" s="245"/>
      <c r="EZ3" s="245"/>
      <c r="FA3" s="245"/>
      <c r="FB3" s="245"/>
      <c r="FC3" s="245"/>
      <c r="FD3" s="245"/>
      <c r="FE3" s="245"/>
      <c r="FF3" s="245"/>
      <c r="FG3" s="245"/>
      <c r="FH3" s="245"/>
      <c r="FI3" s="245"/>
      <c r="FJ3" s="245"/>
      <c r="FK3" s="245"/>
      <c r="FL3" s="245"/>
      <c r="FM3" s="245"/>
      <c r="FN3" s="245"/>
      <c r="FO3" s="245"/>
      <c r="FP3" s="245"/>
      <c r="FQ3" s="245"/>
      <c r="FR3" s="245"/>
      <c r="FS3" s="245"/>
      <c r="FT3" s="245"/>
      <c r="FU3" s="245"/>
      <c r="FV3" s="245"/>
      <c r="FW3" s="245"/>
      <c r="FX3" s="245"/>
      <c r="FY3" s="245"/>
      <c r="FZ3" s="245"/>
      <c r="GA3" s="245"/>
      <c r="GB3" s="245"/>
      <c r="GC3" s="245"/>
      <c r="GD3" s="245"/>
      <c r="GE3" s="245"/>
      <c r="GF3" s="245"/>
      <c r="GG3" s="245"/>
      <c r="GH3" s="245"/>
      <c r="GI3" s="245"/>
      <c r="GJ3" s="245"/>
      <c r="GK3" s="245"/>
      <c r="GL3" s="245"/>
      <c r="GM3" s="245"/>
      <c r="GN3" s="245"/>
      <c r="GO3" s="245"/>
      <c r="GP3" s="245"/>
      <c r="GQ3" s="245"/>
      <c r="GR3" s="245"/>
      <c r="GS3" s="245"/>
      <c r="GT3" s="245"/>
      <c r="GU3" s="245"/>
      <c r="GV3" s="245"/>
      <c r="GW3" s="245"/>
      <c r="GX3" s="245"/>
      <c r="GY3" s="245"/>
      <c r="GZ3" s="245"/>
      <c r="HA3" s="245"/>
      <c r="HB3" s="245"/>
      <c r="HC3" s="245"/>
      <c r="HD3" s="245"/>
      <c r="HE3" s="245"/>
      <c r="HF3" s="245"/>
      <c r="HG3" s="245"/>
      <c r="HH3" s="245"/>
      <c r="HI3" s="245"/>
      <c r="HJ3" s="245"/>
      <c r="HK3" s="245"/>
      <c r="HL3" s="245"/>
      <c r="HM3" s="245"/>
      <c r="HN3" s="245"/>
      <c r="HO3" s="245"/>
      <c r="HP3" s="245"/>
      <c r="HQ3" s="245"/>
      <c r="HR3" s="245"/>
      <c r="HS3" s="245"/>
      <c r="HT3" s="245"/>
      <c r="HU3" s="245"/>
      <c r="HV3" s="245"/>
      <c r="HW3" s="245"/>
      <c r="HX3" s="245"/>
      <c r="HY3" s="245"/>
      <c r="HZ3" s="245"/>
      <c r="IA3" s="245"/>
      <c r="IB3" s="245"/>
      <c r="IC3" s="245"/>
      <c r="ID3" s="245"/>
      <c r="IE3" s="245"/>
      <c r="IF3" s="245"/>
      <c r="IG3" s="245"/>
      <c r="IH3" s="245"/>
      <c r="II3" s="245"/>
      <c r="IJ3" s="245"/>
      <c r="IK3" s="245"/>
      <c r="IL3" s="245"/>
      <c r="IM3" s="245"/>
      <c r="IN3" s="245"/>
      <c r="IO3" s="245"/>
      <c r="IP3" s="245"/>
      <c r="IQ3" s="245"/>
      <c r="IR3" s="245"/>
      <c r="IS3" s="245"/>
      <c r="IT3" s="245"/>
      <c r="IU3" s="245"/>
      <c r="IV3" s="245"/>
      <c r="IW3" s="245"/>
      <c r="IX3" s="245"/>
      <c r="IY3" s="245"/>
      <c r="IZ3" s="245"/>
      <c r="JA3" s="245"/>
      <c r="JB3" s="245"/>
      <c r="JC3" s="245"/>
      <c r="JD3" s="245"/>
      <c r="JE3" s="245"/>
      <c r="JF3" s="245"/>
      <c r="JG3" s="245"/>
      <c r="JH3" s="245"/>
      <c r="JI3" s="245"/>
      <c r="JJ3" s="245"/>
      <c r="JK3" s="245"/>
      <c r="JL3" s="245"/>
      <c r="JM3" s="245"/>
      <c r="JN3" s="245"/>
      <c r="JO3" s="245"/>
      <c r="JP3" s="245"/>
      <c r="JQ3" s="245"/>
      <c r="JR3" s="245"/>
      <c r="JS3" s="245"/>
      <c r="JT3" s="245"/>
      <c r="JU3" s="245"/>
      <c r="JV3" s="245"/>
      <c r="JW3" s="245"/>
      <c r="JX3" s="245"/>
      <c r="JY3" s="245"/>
      <c r="JZ3" s="245"/>
      <c r="KA3" s="245"/>
      <c r="KB3" s="245"/>
      <c r="KC3" s="245"/>
      <c r="KD3" s="245"/>
      <c r="KE3" s="245"/>
      <c r="KF3" s="245"/>
      <c r="KG3" s="245"/>
      <c r="KH3" s="245"/>
      <c r="KI3" s="245"/>
      <c r="KJ3" s="245"/>
      <c r="KK3" s="245"/>
      <c r="KL3" s="245"/>
      <c r="KM3" s="245"/>
      <c r="KN3" s="245"/>
      <c r="KO3" s="245"/>
      <c r="KP3" s="245"/>
      <c r="KQ3" s="245"/>
      <c r="KR3" s="245"/>
      <c r="KS3" s="245"/>
      <c r="KT3" s="245"/>
      <c r="KU3" s="245"/>
      <c r="KV3" s="245"/>
      <c r="KW3" s="245"/>
      <c r="KX3" s="245"/>
      <c r="KY3" s="245"/>
      <c r="KZ3" s="245"/>
      <c r="LA3" s="245"/>
      <c r="LB3" s="245"/>
      <c r="LC3" s="245"/>
      <c r="LD3" s="245"/>
      <c r="LE3" s="245"/>
      <c r="LF3" s="245"/>
      <c r="LG3" s="245"/>
      <c r="LH3" s="245"/>
    </row>
    <row r="4" spans="1:320" s="244" customFormat="1" ht="18" customHeight="1" x14ac:dyDescent="0.25">
      <c r="A4" s="240"/>
      <c r="B4" s="390" t="s">
        <v>114</v>
      </c>
      <c r="C4" s="391"/>
      <c r="D4" s="391"/>
      <c r="E4" s="391"/>
      <c r="F4" s="394">
        <f>MAX(Create!I15:I26) / LARGE(Create!I15:I26, 2)</f>
        <v>2.1544346900318838</v>
      </c>
      <c r="G4" s="395"/>
      <c r="H4" s="193"/>
      <c r="I4" s="191"/>
      <c r="J4" s="167">
        <v>1</v>
      </c>
      <c r="K4" s="192"/>
      <c r="L4" s="191">
        <v>2</v>
      </c>
      <c r="M4" s="191"/>
      <c r="N4" s="191">
        <v>3</v>
      </c>
      <c r="O4" s="191"/>
      <c r="P4" s="191">
        <v>4</v>
      </c>
      <c r="Q4" s="191"/>
      <c r="R4" s="191">
        <v>5</v>
      </c>
      <c r="S4" s="191"/>
      <c r="T4" s="191">
        <v>6</v>
      </c>
      <c r="U4" s="309"/>
      <c r="V4" s="191">
        <v>7</v>
      </c>
      <c r="W4" s="191"/>
      <c r="X4" s="191">
        <v>8</v>
      </c>
      <c r="Y4" s="191"/>
      <c r="Z4" s="191">
        <v>9</v>
      </c>
      <c r="AA4" s="191"/>
      <c r="AB4" s="191">
        <v>10</v>
      </c>
      <c r="AC4" s="191"/>
      <c r="AD4" s="191">
        <v>11</v>
      </c>
      <c r="AE4" s="191"/>
      <c r="AF4" s="245">
        <v>12</v>
      </c>
      <c r="AG4" s="245"/>
      <c r="AH4" s="245"/>
      <c r="AI4" s="246"/>
      <c r="AJ4" s="245"/>
      <c r="AK4" s="245"/>
      <c r="AL4" s="245"/>
      <c r="AM4" s="245"/>
      <c r="AN4" s="245"/>
      <c r="AO4" s="245"/>
      <c r="AP4" s="245"/>
      <c r="AQ4" s="245"/>
      <c r="AR4" s="245"/>
      <c r="AS4" s="245"/>
      <c r="AT4" s="245"/>
      <c r="AU4" s="245"/>
      <c r="AV4" s="245"/>
      <c r="AW4" s="245"/>
      <c r="AX4" s="245"/>
      <c r="AY4" s="245"/>
      <c r="AZ4" s="245"/>
      <c r="BA4" s="245"/>
      <c r="BB4" s="245"/>
      <c r="BC4" s="245"/>
      <c r="BD4" s="245"/>
      <c r="BE4" s="245"/>
      <c r="BF4" s="245"/>
      <c r="BG4" s="245"/>
      <c r="BH4" s="245"/>
      <c r="BI4" s="245"/>
      <c r="BJ4" s="245"/>
      <c r="BK4" s="245"/>
      <c r="BL4" s="245"/>
      <c r="BM4" s="245"/>
      <c r="BN4" s="245"/>
      <c r="BO4" s="245"/>
      <c r="BP4" s="245"/>
      <c r="BQ4" s="245"/>
      <c r="BR4" s="245"/>
      <c r="BS4" s="245"/>
      <c r="BT4" s="245"/>
      <c r="BU4" s="245"/>
      <c r="BV4" s="245"/>
      <c r="BW4" s="245"/>
      <c r="BX4" s="245"/>
      <c r="BY4" s="245"/>
      <c r="BZ4" s="245"/>
      <c r="CA4" s="245"/>
      <c r="CB4" s="245"/>
      <c r="CC4" s="245"/>
      <c r="CD4" s="245"/>
      <c r="CE4" s="245"/>
      <c r="CF4" s="245"/>
      <c r="CG4" s="245"/>
      <c r="CH4" s="245"/>
      <c r="CI4" s="245"/>
      <c r="CJ4" s="245"/>
      <c r="CK4" s="245"/>
      <c r="CL4" s="245"/>
      <c r="CM4" s="245"/>
      <c r="CN4" s="245"/>
      <c r="CO4" s="245"/>
      <c r="CP4" s="245"/>
      <c r="CQ4" s="245"/>
      <c r="CR4" s="245"/>
      <c r="CS4" s="245"/>
      <c r="CT4" s="245"/>
      <c r="CU4" s="245"/>
      <c r="CV4" s="245"/>
      <c r="CW4" s="245"/>
      <c r="CX4" s="245"/>
      <c r="CY4" s="245"/>
      <c r="CZ4" s="245"/>
      <c r="DA4" s="245"/>
      <c r="DB4" s="245"/>
      <c r="DC4" s="245"/>
      <c r="DD4" s="245"/>
      <c r="DE4" s="245"/>
      <c r="DF4" s="245"/>
      <c r="DG4" s="245"/>
      <c r="DH4" s="245"/>
      <c r="DI4" s="245"/>
      <c r="DJ4" s="245"/>
      <c r="DK4" s="245"/>
      <c r="DL4" s="245"/>
      <c r="DM4" s="245"/>
      <c r="DN4" s="245"/>
      <c r="DO4" s="245"/>
      <c r="DP4" s="245"/>
      <c r="DQ4" s="245"/>
      <c r="DR4" s="245"/>
      <c r="DS4" s="245"/>
      <c r="DT4" s="245"/>
      <c r="DU4" s="245"/>
      <c r="DV4" s="245"/>
      <c r="DW4" s="245"/>
      <c r="DX4" s="245"/>
      <c r="DY4" s="245"/>
      <c r="DZ4" s="245"/>
      <c r="EA4" s="245"/>
      <c r="EB4" s="245"/>
      <c r="EC4" s="245"/>
      <c r="ED4" s="245"/>
      <c r="EE4" s="245"/>
      <c r="EF4" s="245"/>
      <c r="EG4" s="245"/>
      <c r="EH4" s="245"/>
      <c r="EI4" s="245"/>
      <c r="EJ4" s="245"/>
      <c r="EK4" s="245"/>
      <c r="EL4" s="245"/>
      <c r="EM4" s="245"/>
      <c r="EN4" s="245"/>
      <c r="EO4" s="245"/>
      <c r="EP4" s="245"/>
      <c r="EQ4" s="245"/>
      <c r="ER4" s="245"/>
      <c r="ES4" s="245"/>
      <c r="ET4" s="245"/>
      <c r="EU4" s="245"/>
      <c r="EV4" s="245"/>
      <c r="EW4" s="245"/>
      <c r="EX4" s="245"/>
      <c r="EY4" s="245"/>
      <c r="EZ4" s="245"/>
      <c r="FA4" s="245"/>
      <c r="FB4" s="245"/>
      <c r="FC4" s="245"/>
      <c r="FD4" s="245"/>
      <c r="FE4" s="245"/>
      <c r="FF4" s="245"/>
      <c r="FG4" s="245"/>
      <c r="FH4" s="245"/>
      <c r="FI4" s="245"/>
      <c r="FJ4" s="245"/>
      <c r="FK4" s="245"/>
      <c r="FL4" s="245"/>
      <c r="FM4" s="245"/>
      <c r="FN4" s="245"/>
      <c r="FO4" s="245"/>
      <c r="FP4" s="245"/>
      <c r="FQ4" s="245"/>
      <c r="FR4" s="245"/>
      <c r="FS4" s="245"/>
      <c r="FT4" s="245"/>
      <c r="FU4" s="245"/>
      <c r="FV4" s="245"/>
      <c r="FW4" s="245"/>
      <c r="FX4" s="245"/>
      <c r="FY4" s="245"/>
      <c r="FZ4" s="245"/>
      <c r="GA4" s="245"/>
      <c r="GB4" s="245"/>
      <c r="GC4" s="245"/>
      <c r="GD4" s="245"/>
      <c r="GE4" s="245"/>
      <c r="GF4" s="245"/>
      <c r="GG4" s="245"/>
      <c r="GH4" s="245"/>
      <c r="GI4" s="245"/>
      <c r="GJ4" s="245"/>
      <c r="GK4" s="245"/>
      <c r="GL4" s="245"/>
      <c r="GM4" s="245"/>
      <c r="GN4" s="245"/>
      <c r="GO4" s="245"/>
      <c r="GP4" s="245"/>
      <c r="GQ4" s="245"/>
      <c r="GR4" s="245"/>
      <c r="GS4" s="245"/>
      <c r="GT4" s="245"/>
      <c r="GU4" s="245"/>
      <c r="GV4" s="245"/>
      <c r="GW4" s="245"/>
      <c r="GX4" s="245"/>
      <c r="GY4" s="245"/>
      <c r="GZ4" s="245"/>
      <c r="HA4" s="245"/>
      <c r="HB4" s="245"/>
      <c r="HC4" s="245"/>
      <c r="HD4" s="245"/>
      <c r="HE4" s="245"/>
      <c r="HF4" s="245"/>
      <c r="HG4" s="245"/>
      <c r="HH4" s="245"/>
      <c r="HI4" s="245"/>
      <c r="HJ4" s="245"/>
      <c r="HK4" s="245"/>
      <c r="HL4" s="245"/>
      <c r="HM4" s="245"/>
      <c r="HN4" s="245"/>
      <c r="HO4" s="245"/>
      <c r="HP4" s="245"/>
      <c r="HQ4" s="245"/>
      <c r="HR4" s="245"/>
      <c r="HS4" s="245"/>
      <c r="HT4" s="245"/>
      <c r="HU4" s="245"/>
      <c r="HV4" s="245"/>
      <c r="HW4" s="245"/>
      <c r="HX4" s="245"/>
      <c r="HY4" s="245"/>
      <c r="HZ4" s="245"/>
      <c r="IA4" s="245"/>
      <c r="IB4" s="245"/>
      <c r="IC4" s="245"/>
      <c r="ID4" s="245"/>
      <c r="IE4" s="245"/>
      <c r="IF4" s="245"/>
      <c r="IG4" s="245"/>
      <c r="IH4" s="245"/>
      <c r="II4" s="245"/>
      <c r="IJ4" s="245"/>
      <c r="IK4" s="245"/>
      <c r="IL4" s="245"/>
      <c r="IM4" s="245"/>
      <c r="IN4" s="245"/>
      <c r="IO4" s="245"/>
      <c r="IP4" s="245"/>
      <c r="IQ4" s="245"/>
      <c r="IR4" s="245"/>
      <c r="IS4" s="245"/>
      <c r="IT4" s="245"/>
      <c r="IU4" s="245"/>
      <c r="IV4" s="245"/>
      <c r="IW4" s="245"/>
      <c r="IX4" s="245"/>
      <c r="IY4" s="245"/>
      <c r="IZ4" s="245"/>
      <c r="JA4" s="245"/>
      <c r="JB4" s="245"/>
      <c r="JC4" s="245"/>
      <c r="JD4" s="245"/>
      <c r="JE4" s="245"/>
      <c r="JF4" s="245"/>
      <c r="JG4" s="245"/>
      <c r="JH4" s="245"/>
      <c r="JI4" s="245"/>
      <c r="JJ4" s="245"/>
      <c r="JK4" s="245"/>
      <c r="JL4" s="245"/>
      <c r="JM4" s="245"/>
      <c r="JN4" s="245"/>
      <c r="JO4" s="245"/>
      <c r="JP4" s="245"/>
      <c r="JQ4" s="245"/>
      <c r="JR4" s="245"/>
      <c r="JS4" s="245"/>
      <c r="JT4" s="245"/>
      <c r="JU4" s="245"/>
      <c r="JV4" s="245"/>
      <c r="JW4" s="245"/>
      <c r="JX4" s="245"/>
      <c r="JY4" s="245"/>
      <c r="JZ4" s="245"/>
      <c r="KA4" s="245"/>
      <c r="KB4" s="245"/>
      <c r="KC4" s="245"/>
      <c r="KD4" s="245"/>
      <c r="KE4" s="245"/>
      <c r="KF4" s="245"/>
      <c r="KG4" s="245"/>
      <c r="KH4" s="245"/>
      <c r="KI4" s="245"/>
      <c r="KJ4" s="245"/>
      <c r="KK4" s="245"/>
      <c r="KL4" s="245"/>
      <c r="KM4" s="245"/>
      <c r="KN4" s="245"/>
      <c r="KO4" s="245"/>
      <c r="KP4" s="245"/>
      <c r="KQ4" s="245"/>
      <c r="KR4" s="245"/>
      <c r="KS4" s="245"/>
      <c r="KT4" s="245"/>
      <c r="KU4" s="245"/>
      <c r="KV4" s="245"/>
      <c r="KW4" s="245"/>
      <c r="KX4" s="245"/>
      <c r="KY4" s="245"/>
      <c r="KZ4" s="245"/>
      <c r="LA4" s="245"/>
      <c r="LB4" s="245"/>
      <c r="LC4" s="245"/>
      <c r="LD4" s="245"/>
      <c r="LE4" s="245"/>
      <c r="LF4" s="245"/>
      <c r="LG4" s="245"/>
      <c r="LH4" s="245"/>
    </row>
    <row r="5" spans="1:320" s="178" customFormat="1" ht="18" customHeight="1" x14ac:dyDescent="0.25">
      <c r="A5" s="240"/>
      <c r="B5" s="390" t="s">
        <v>113</v>
      </c>
      <c r="C5" s="391"/>
      <c r="D5" s="391"/>
      <c r="E5" s="391"/>
      <c r="F5" s="394">
        <f>IF(COUNTIF(Create!I15:I26, 0) &gt; 0, Create!I6-1, Create!I6)</f>
        <v>7</v>
      </c>
      <c r="G5" s="395"/>
      <c r="H5" s="190"/>
      <c r="I5" s="402" t="str">
        <f>IF(AND(Create!G6 = 1, Create!H6 = 1), "Bla", "This whole serial dilution needs to be done " &amp; Create!G6*Create!H6 &amp; " times, once for each Sample Diluent and Sample type.")</f>
        <v>Bla</v>
      </c>
      <c r="J5" s="402"/>
      <c r="K5" s="402"/>
      <c r="L5" s="402"/>
      <c r="M5" s="402"/>
      <c r="N5" s="36"/>
      <c r="O5" s="36"/>
      <c r="P5" s="36"/>
      <c r="Q5" s="36"/>
      <c r="R5" s="241"/>
      <c r="S5" s="241"/>
      <c r="T5" s="182" t="s">
        <v>112</v>
      </c>
      <c r="U5" s="241"/>
      <c r="V5" s="182" t="s">
        <v>112</v>
      </c>
      <c r="W5" s="241"/>
      <c r="X5" s="182" t="s">
        <v>112</v>
      </c>
      <c r="Y5" s="241"/>
      <c r="Z5" s="182" t="s">
        <v>112</v>
      </c>
      <c r="AA5" s="241"/>
      <c r="AB5" s="182" t="s">
        <v>112</v>
      </c>
      <c r="AC5" s="241"/>
      <c r="AD5" s="182" t="s">
        <v>112</v>
      </c>
      <c r="AE5" s="241"/>
      <c r="AF5" s="182"/>
      <c r="AG5" s="182"/>
      <c r="AH5" s="182"/>
      <c r="AI5" s="182"/>
      <c r="AJ5" s="182"/>
      <c r="AK5" s="182"/>
      <c r="AL5" s="182"/>
      <c r="AM5" s="182"/>
      <c r="AN5" s="182"/>
      <c r="AO5" s="182"/>
      <c r="AP5" s="182"/>
      <c r="AQ5" s="182"/>
      <c r="AR5" s="182"/>
      <c r="AS5" s="182"/>
      <c r="AT5" s="182"/>
      <c r="AU5" s="182"/>
      <c r="AV5" s="182"/>
      <c r="AW5" s="182"/>
      <c r="AX5" s="182"/>
      <c r="AY5" s="182"/>
      <c r="AZ5" s="182"/>
      <c r="BA5" s="182"/>
      <c r="BB5" s="182"/>
      <c r="BC5" s="182"/>
      <c r="BD5" s="182"/>
      <c r="BE5" s="182"/>
      <c r="BF5" s="182"/>
      <c r="BG5" s="182"/>
      <c r="BH5" s="182"/>
      <c r="BI5" s="182"/>
      <c r="BJ5" s="182"/>
      <c r="BK5" s="182"/>
      <c r="BL5" s="182"/>
      <c r="BM5" s="182"/>
      <c r="BN5" s="182"/>
      <c r="BO5" s="182"/>
      <c r="BP5" s="182"/>
      <c r="BQ5" s="182"/>
      <c r="BR5" s="182"/>
      <c r="BS5" s="182"/>
      <c r="BT5" s="182"/>
      <c r="BU5" s="182"/>
      <c r="BV5" s="182"/>
      <c r="BW5" s="182"/>
      <c r="BX5" s="182"/>
      <c r="BY5" s="182"/>
      <c r="BZ5" s="182"/>
      <c r="CA5" s="182"/>
      <c r="CB5" s="182"/>
      <c r="CC5" s="182"/>
      <c r="CD5" s="182"/>
      <c r="CE5" s="182"/>
      <c r="CF5" s="182"/>
      <c r="CG5" s="182"/>
      <c r="CH5" s="182"/>
      <c r="CI5" s="182"/>
      <c r="CJ5" s="182"/>
      <c r="CK5" s="182"/>
      <c r="CL5" s="182"/>
      <c r="CM5" s="182"/>
      <c r="CN5" s="182"/>
      <c r="CO5" s="182"/>
      <c r="CP5" s="182"/>
      <c r="CQ5" s="182"/>
      <c r="CR5" s="182"/>
      <c r="CS5" s="182"/>
      <c r="CT5" s="182"/>
      <c r="CU5" s="182"/>
      <c r="CV5" s="182"/>
      <c r="CW5" s="182"/>
      <c r="CX5" s="182"/>
      <c r="CY5" s="182"/>
      <c r="CZ5" s="182"/>
      <c r="DA5" s="182"/>
      <c r="DB5" s="182"/>
      <c r="DC5" s="182"/>
      <c r="DD5" s="182"/>
      <c r="DE5" s="182"/>
      <c r="DF5" s="182"/>
      <c r="DG5" s="182"/>
      <c r="DH5" s="182"/>
      <c r="DI5" s="182"/>
      <c r="DJ5" s="182"/>
      <c r="DK5" s="182"/>
      <c r="DL5" s="182"/>
      <c r="DM5" s="182"/>
      <c r="DN5" s="182"/>
      <c r="DO5" s="182"/>
      <c r="DP5" s="182"/>
      <c r="DQ5" s="182"/>
      <c r="DR5" s="182"/>
      <c r="DS5" s="182"/>
      <c r="DT5" s="182"/>
      <c r="DU5" s="182"/>
      <c r="DV5" s="182"/>
      <c r="DW5" s="182"/>
      <c r="DX5" s="182"/>
      <c r="DY5" s="182"/>
      <c r="DZ5" s="182"/>
      <c r="EA5" s="182"/>
      <c r="EB5" s="182"/>
      <c r="EC5" s="182"/>
      <c r="ED5" s="182"/>
      <c r="EE5" s="182"/>
      <c r="EF5" s="182"/>
      <c r="EG5" s="182"/>
      <c r="EH5" s="182"/>
      <c r="EI5" s="182"/>
      <c r="EJ5" s="182"/>
      <c r="EK5" s="182"/>
      <c r="EL5" s="182"/>
      <c r="EM5" s="182"/>
      <c r="EN5" s="182"/>
      <c r="EO5" s="182"/>
      <c r="EP5" s="182"/>
      <c r="EQ5" s="182"/>
      <c r="ER5" s="182"/>
      <c r="ES5" s="182"/>
      <c r="ET5" s="182"/>
      <c r="EU5" s="182"/>
      <c r="EV5" s="182"/>
      <c r="EW5" s="182"/>
      <c r="EX5" s="182"/>
      <c r="EY5" s="182"/>
      <c r="EZ5" s="182"/>
      <c r="FA5" s="182"/>
      <c r="FB5" s="182"/>
      <c r="FC5" s="182"/>
      <c r="FD5" s="182"/>
      <c r="FE5" s="182"/>
      <c r="FF5" s="182"/>
      <c r="FG5" s="182"/>
      <c r="FH5" s="182"/>
      <c r="FI5" s="182"/>
      <c r="FJ5" s="182"/>
      <c r="FK5" s="182"/>
      <c r="FL5" s="182"/>
      <c r="FM5" s="182"/>
      <c r="FN5" s="182"/>
      <c r="FO5" s="182"/>
      <c r="FP5" s="182"/>
      <c r="FQ5" s="182"/>
      <c r="FR5" s="182"/>
      <c r="FS5" s="182"/>
      <c r="FT5" s="182"/>
      <c r="FU5" s="182"/>
      <c r="FV5" s="182"/>
      <c r="FW5" s="182"/>
      <c r="FX5" s="182"/>
      <c r="FY5" s="182"/>
      <c r="FZ5" s="182"/>
      <c r="GA5" s="182"/>
      <c r="GB5" s="182"/>
      <c r="GC5" s="182"/>
      <c r="GD5" s="182"/>
      <c r="GE5" s="182"/>
      <c r="GF5" s="182"/>
      <c r="GG5" s="182"/>
      <c r="GH5" s="182"/>
      <c r="GI5" s="182"/>
      <c r="GJ5" s="182"/>
      <c r="GK5" s="182"/>
      <c r="GL5" s="182"/>
      <c r="GM5" s="182"/>
      <c r="GN5" s="182"/>
      <c r="GO5" s="182"/>
      <c r="GP5" s="182"/>
      <c r="GQ5" s="182"/>
      <c r="GR5" s="182"/>
      <c r="GS5" s="182"/>
      <c r="GT5" s="182"/>
      <c r="GU5" s="182"/>
      <c r="GV5" s="182"/>
      <c r="GW5" s="182"/>
      <c r="GX5" s="182"/>
      <c r="GY5" s="182"/>
      <c r="GZ5" s="182"/>
      <c r="HA5" s="182"/>
      <c r="HB5" s="182"/>
      <c r="HC5" s="182"/>
      <c r="HD5" s="182"/>
      <c r="HE5" s="182"/>
      <c r="HF5" s="182"/>
      <c r="HG5" s="182"/>
      <c r="HH5" s="182"/>
      <c r="HI5" s="182"/>
      <c r="HJ5" s="182"/>
      <c r="HK5" s="182"/>
      <c r="HL5" s="182"/>
      <c r="HM5" s="182"/>
      <c r="HN5" s="182"/>
      <c r="HO5" s="182"/>
      <c r="HP5" s="182"/>
      <c r="HQ5" s="182"/>
      <c r="HR5" s="182"/>
      <c r="HS5" s="182"/>
      <c r="HT5" s="182"/>
      <c r="HU5" s="182"/>
      <c r="HV5" s="182"/>
      <c r="HW5" s="182"/>
      <c r="HX5" s="182"/>
      <c r="HY5" s="182"/>
      <c r="HZ5" s="182"/>
      <c r="IA5" s="182"/>
      <c r="IB5" s="182"/>
      <c r="IC5" s="182"/>
      <c r="ID5" s="182"/>
      <c r="IE5" s="182"/>
      <c r="IF5" s="182"/>
      <c r="IG5" s="182"/>
      <c r="IH5" s="182"/>
      <c r="II5" s="182"/>
      <c r="IJ5" s="182"/>
      <c r="IK5" s="182"/>
      <c r="IL5" s="182"/>
      <c r="IM5" s="182"/>
      <c r="IN5" s="182"/>
      <c r="IO5" s="182"/>
      <c r="IP5" s="182"/>
      <c r="IQ5" s="182"/>
      <c r="IR5" s="182"/>
      <c r="IS5" s="182"/>
      <c r="IT5" s="182"/>
      <c r="IU5" s="182"/>
      <c r="IV5" s="182"/>
      <c r="IW5" s="182"/>
      <c r="IX5" s="182"/>
      <c r="IY5" s="182"/>
      <c r="IZ5" s="182"/>
      <c r="JA5" s="182"/>
      <c r="JB5" s="182"/>
      <c r="JC5" s="182"/>
      <c r="JD5" s="182"/>
      <c r="JE5" s="182"/>
      <c r="JF5" s="182"/>
      <c r="JG5" s="182"/>
      <c r="JH5" s="182"/>
      <c r="JI5" s="182"/>
      <c r="JJ5" s="182"/>
      <c r="JK5" s="182"/>
      <c r="JL5" s="182"/>
      <c r="JM5" s="182"/>
      <c r="JN5" s="182"/>
      <c r="JO5" s="182"/>
      <c r="JP5" s="182"/>
      <c r="JQ5" s="182"/>
      <c r="JR5" s="182"/>
      <c r="JS5" s="182"/>
      <c r="JT5" s="182"/>
      <c r="JU5" s="182"/>
      <c r="JV5" s="182"/>
      <c r="JW5" s="182"/>
      <c r="JX5" s="182"/>
      <c r="JY5" s="182"/>
      <c r="JZ5" s="182"/>
      <c r="KA5" s="182"/>
      <c r="KB5" s="182"/>
      <c r="KC5" s="182"/>
      <c r="KD5" s="182"/>
      <c r="KE5" s="182"/>
      <c r="KF5" s="182"/>
      <c r="KG5" s="182"/>
      <c r="KH5" s="182"/>
      <c r="KI5" s="182"/>
      <c r="KJ5" s="182"/>
      <c r="KK5" s="182"/>
      <c r="KL5" s="182"/>
      <c r="KM5" s="182"/>
      <c r="KN5" s="182"/>
      <c r="KO5" s="182"/>
      <c r="KP5" s="182"/>
      <c r="KQ5" s="182"/>
      <c r="KR5" s="182"/>
      <c r="KS5" s="182"/>
      <c r="KT5" s="182"/>
      <c r="KU5" s="182"/>
      <c r="KV5" s="182"/>
      <c r="KW5" s="182"/>
      <c r="KX5" s="182"/>
      <c r="KY5" s="182"/>
      <c r="KZ5" s="182"/>
      <c r="LA5" s="182"/>
      <c r="LB5" s="182"/>
      <c r="LC5" s="182"/>
      <c r="LD5" s="182"/>
      <c r="LE5" s="182"/>
      <c r="LF5" s="182"/>
      <c r="LG5" s="182"/>
      <c r="LH5" s="182"/>
    </row>
    <row r="6" spans="1:320" s="178" customFormat="1" ht="18" customHeight="1" x14ac:dyDescent="0.25">
      <c r="A6" s="240"/>
      <c r="B6" s="390" t="str">
        <f>IF(F25="on","how many capillaries for dilution 1 :","how many wells for each dilutions :")</f>
        <v>how many wells for each dilutions :</v>
      </c>
      <c r="C6" s="391"/>
      <c r="D6" s="391"/>
      <c r="E6" s="391"/>
      <c r="F6" s="394">
        <f>ROUNDUP(((Create!I7*Create!I8)/(Create!G6*Create!H6))*1.2,0)</f>
        <v>8</v>
      </c>
      <c r="G6" s="395"/>
      <c r="H6" s="190"/>
      <c r="I6" s="402"/>
      <c r="J6" s="402"/>
      <c r="K6" s="402"/>
      <c r="L6" s="402"/>
      <c r="M6" s="402"/>
      <c r="N6" s="36"/>
      <c r="O6" s="36"/>
      <c r="P6" s="36"/>
      <c r="Q6" s="36"/>
      <c r="R6" s="241"/>
      <c r="S6" s="241"/>
      <c r="T6" s="182"/>
      <c r="U6" s="241"/>
      <c r="V6" s="182"/>
      <c r="W6" s="241"/>
      <c r="X6" s="182"/>
      <c r="Y6" s="241"/>
      <c r="Z6" s="182"/>
      <c r="AA6" s="241"/>
      <c r="AB6" s="182"/>
      <c r="AC6" s="241"/>
      <c r="AD6" s="182"/>
      <c r="AE6" s="241"/>
      <c r="AF6" s="182"/>
      <c r="AG6" s="182"/>
      <c r="AH6" s="182"/>
      <c r="AI6" s="182"/>
      <c r="AJ6" s="182"/>
      <c r="AK6" s="182"/>
      <c r="AL6" s="182"/>
      <c r="AM6" s="182"/>
      <c r="AN6" s="182"/>
      <c r="AO6" s="182"/>
      <c r="AP6" s="182"/>
      <c r="AQ6" s="182"/>
      <c r="AR6" s="182"/>
      <c r="AS6" s="182"/>
      <c r="AT6" s="182"/>
      <c r="AU6" s="182"/>
      <c r="AV6" s="182"/>
      <c r="AW6" s="182"/>
      <c r="AX6" s="182"/>
      <c r="AY6" s="182"/>
      <c r="AZ6" s="182"/>
      <c r="BA6" s="182"/>
      <c r="BB6" s="182"/>
      <c r="BC6" s="182"/>
      <c r="BD6" s="182"/>
      <c r="BE6" s="182"/>
      <c r="BF6" s="182"/>
      <c r="BG6" s="182"/>
      <c r="BH6" s="182"/>
      <c r="BI6" s="182"/>
      <c r="BJ6" s="182"/>
      <c r="BK6" s="182"/>
      <c r="BL6" s="182"/>
      <c r="BM6" s="182"/>
      <c r="BN6" s="182"/>
      <c r="BO6" s="182"/>
      <c r="BP6" s="182"/>
      <c r="BQ6" s="182"/>
      <c r="BR6" s="182"/>
      <c r="BS6" s="182"/>
      <c r="BT6" s="182"/>
      <c r="BU6" s="182"/>
      <c r="BV6" s="182"/>
      <c r="BW6" s="182"/>
      <c r="BX6" s="182"/>
      <c r="BY6" s="182"/>
      <c r="BZ6" s="182"/>
      <c r="CA6" s="182"/>
      <c r="CB6" s="182"/>
      <c r="CC6" s="182"/>
      <c r="CD6" s="182"/>
      <c r="CE6" s="182"/>
      <c r="CF6" s="182"/>
      <c r="CG6" s="182"/>
      <c r="CH6" s="182"/>
      <c r="CI6" s="182"/>
      <c r="CJ6" s="182"/>
      <c r="CK6" s="182"/>
      <c r="CL6" s="182"/>
      <c r="CM6" s="182"/>
      <c r="CN6" s="182"/>
      <c r="CO6" s="182"/>
      <c r="CP6" s="182"/>
      <c r="CQ6" s="182"/>
      <c r="CR6" s="182"/>
      <c r="CS6" s="182"/>
      <c r="CT6" s="182"/>
      <c r="CU6" s="182"/>
      <c r="CV6" s="182"/>
      <c r="CW6" s="182"/>
      <c r="CX6" s="182"/>
      <c r="CY6" s="182"/>
      <c r="CZ6" s="182"/>
      <c r="DA6" s="182"/>
      <c r="DB6" s="182"/>
      <c r="DC6" s="182"/>
      <c r="DD6" s="182"/>
      <c r="DE6" s="182"/>
      <c r="DF6" s="182"/>
      <c r="DG6" s="182"/>
      <c r="DH6" s="182"/>
      <c r="DI6" s="182"/>
      <c r="DJ6" s="182"/>
      <c r="DK6" s="182"/>
      <c r="DL6" s="182"/>
      <c r="DM6" s="182"/>
      <c r="DN6" s="182"/>
      <c r="DO6" s="182"/>
      <c r="DP6" s="182"/>
      <c r="DQ6" s="182"/>
      <c r="DR6" s="182"/>
      <c r="DS6" s="182"/>
      <c r="DT6" s="182"/>
      <c r="DU6" s="182"/>
      <c r="DV6" s="182"/>
      <c r="DW6" s="182"/>
      <c r="DX6" s="182"/>
      <c r="DY6" s="182"/>
      <c r="DZ6" s="182"/>
      <c r="EA6" s="182"/>
      <c r="EB6" s="182"/>
      <c r="EC6" s="182"/>
      <c r="ED6" s="182"/>
      <c r="EE6" s="182"/>
      <c r="EF6" s="182"/>
      <c r="EG6" s="182"/>
      <c r="EH6" s="182"/>
      <c r="EI6" s="182"/>
      <c r="EJ6" s="182"/>
      <c r="EK6" s="182"/>
      <c r="EL6" s="182"/>
      <c r="EM6" s="182"/>
      <c r="EN6" s="182"/>
      <c r="EO6" s="182"/>
      <c r="EP6" s="182"/>
      <c r="EQ6" s="182"/>
      <c r="ER6" s="182"/>
      <c r="ES6" s="182"/>
      <c r="ET6" s="182"/>
      <c r="EU6" s="182"/>
      <c r="EV6" s="182"/>
      <c r="EW6" s="182"/>
      <c r="EX6" s="182"/>
      <c r="EY6" s="182"/>
      <c r="EZ6" s="182"/>
      <c r="FA6" s="182"/>
      <c r="FB6" s="182"/>
      <c r="FC6" s="182"/>
      <c r="FD6" s="182"/>
      <c r="FE6" s="182"/>
      <c r="FF6" s="182"/>
      <c r="FG6" s="182"/>
      <c r="FH6" s="182"/>
      <c r="FI6" s="182"/>
      <c r="FJ6" s="182"/>
      <c r="FK6" s="182"/>
      <c r="FL6" s="182"/>
      <c r="FM6" s="182"/>
      <c r="FN6" s="182"/>
      <c r="FO6" s="182"/>
      <c r="FP6" s="182"/>
      <c r="FQ6" s="182"/>
      <c r="FR6" s="182"/>
      <c r="FS6" s="182"/>
      <c r="FT6" s="182"/>
      <c r="FU6" s="182"/>
      <c r="FV6" s="182"/>
      <c r="FW6" s="182"/>
      <c r="FX6" s="182"/>
      <c r="FY6" s="182"/>
      <c r="FZ6" s="182"/>
      <c r="GA6" s="182"/>
      <c r="GB6" s="182"/>
      <c r="GC6" s="182"/>
      <c r="GD6" s="182"/>
      <c r="GE6" s="182"/>
      <c r="GF6" s="182"/>
      <c r="GG6" s="182"/>
      <c r="GH6" s="182"/>
      <c r="GI6" s="182"/>
      <c r="GJ6" s="182"/>
      <c r="GK6" s="182"/>
      <c r="GL6" s="182"/>
      <c r="GM6" s="182"/>
      <c r="GN6" s="182"/>
      <c r="GO6" s="182"/>
      <c r="GP6" s="182"/>
      <c r="GQ6" s="182"/>
      <c r="GR6" s="182"/>
      <c r="GS6" s="182"/>
      <c r="GT6" s="182"/>
      <c r="GU6" s="182"/>
      <c r="GV6" s="182"/>
      <c r="GW6" s="182"/>
      <c r="GX6" s="182"/>
      <c r="GY6" s="182"/>
      <c r="GZ6" s="182"/>
      <c r="HA6" s="182"/>
      <c r="HB6" s="182"/>
      <c r="HC6" s="182"/>
      <c r="HD6" s="182"/>
      <c r="HE6" s="182"/>
      <c r="HF6" s="182"/>
      <c r="HG6" s="182"/>
      <c r="HH6" s="182"/>
      <c r="HI6" s="182"/>
      <c r="HJ6" s="182"/>
      <c r="HK6" s="182"/>
      <c r="HL6" s="182"/>
      <c r="HM6" s="182"/>
      <c r="HN6" s="182"/>
      <c r="HO6" s="182"/>
      <c r="HP6" s="182"/>
      <c r="HQ6" s="182"/>
      <c r="HR6" s="182"/>
      <c r="HS6" s="182"/>
      <c r="HT6" s="182"/>
      <c r="HU6" s="182"/>
      <c r="HV6" s="182"/>
      <c r="HW6" s="182"/>
      <c r="HX6" s="182"/>
      <c r="HY6" s="182"/>
      <c r="HZ6" s="182"/>
      <c r="IA6" s="182"/>
      <c r="IB6" s="182"/>
      <c r="IC6" s="182"/>
      <c r="ID6" s="182"/>
      <c r="IE6" s="182"/>
      <c r="IF6" s="182"/>
      <c r="IG6" s="182"/>
      <c r="IH6" s="182"/>
      <c r="II6" s="182"/>
      <c r="IJ6" s="182"/>
      <c r="IK6" s="182"/>
      <c r="IL6" s="182"/>
      <c r="IM6" s="182"/>
      <c r="IN6" s="182"/>
      <c r="IO6" s="182"/>
      <c r="IP6" s="182"/>
      <c r="IQ6" s="182"/>
      <c r="IR6" s="182"/>
      <c r="IS6" s="182"/>
      <c r="IT6" s="182"/>
      <c r="IU6" s="182"/>
      <c r="IV6" s="182"/>
      <c r="IW6" s="182"/>
      <c r="IX6" s="182"/>
      <c r="IY6" s="182"/>
      <c r="IZ6" s="182"/>
      <c r="JA6" s="182"/>
      <c r="JB6" s="182"/>
      <c r="JC6" s="182"/>
      <c r="JD6" s="182"/>
      <c r="JE6" s="182"/>
      <c r="JF6" s="182"/>
      <c r="JG6" s="182"/>
      <c r="JH6" s="182"/>
      <c r="JI6" s="182"/>
      <c r="JJ6" s="182"/>
      <c r="JK6" s="182"/>
      <c r="JL6" s="182"/>
      <c r="JM6" s="182"/>
      <c r="JN6" s="182"/>
      <c r="JO6" s="182"/>
      <c r="JP6" s="182"/>
      <c r="JQ6" s="182"/>
      <c r="JR6" s="182"/>
      <c r="JS6" s="182"/>
      <c r="JT6" s="182"/>
      <c r="JU6" s="182"/>
      <c r="JV6" s="182"/>
      <c r="JW6" s="182"/>
      <c r="JX6" s="182"/>
      <c r="JY6" s="182"/>
      <c r="JZ6" s="182"/>
      <c r="KA6" s="182"/>
      <c r="KB6" s="182"/>
      <c r="KC6" s="182"/>
      <c r="KD6" s="182"/>
      <c r="KE6" s="182"/>
      <c r="KF6" s="182"/>
      <c r="KG6" s="182"/>
      <c r="KH6" s="182"/>
      <c r="KI6" s="182"/>
      <c r="KJ6" s="182"/>
      <c r="KK6" s="182"/>
      <c r="KL6" s="182"/>
      <c r="KM6" s="182"/>
      <c r="KN6" s="182"/>
      <c r="KO6" s="182"/>
      <c r="KP6" s="182"/>
      <c r="KQ6" s="182"/>
      <c r="KR6" s="182"/>
      <c r="KS6" s="182"/>
      <c r="KT6" s="182"/>
      <c r="KU6" s="182"/>
      <c r="KV6" s="182"/>
      <c r="KW6" s="182"/>
      <c r="KX6" s="182"/>
      <c r="KY6" s="182"/>
      <c r="KZ6" s="182"/>
      <c r="LA6" s="182"/>
      <c r="LB6" s="182"/>
      <c r="LC6" s="182"/>
      <c r="LD6" s="182"/>
      <c r="LE6" s="182"/>
      <c r="LF6" s="182"/>
      <c r="LG6" s="182"/>
      <c r="LH6" s="182"/>
    </row>
    <row r="7" spans="1:320" s="241" customFormat="1" ht="37.5" customHeight="1" thickBot="1" x14ac:dyDescent="0.3">
      <c r="A7" s="242"/>
      <c r="B7" s="398" t="s">
        <v>111</v>
      </c>
      <c r="C7" s="399"/>
      <c r="D7" s="399"/>
      <c r="E7" s="399"/>
      <c r="F7" s="400">
        <v>50</v>
      </c>
      <c r="G7" s="401"/>
      <c r="H7" s="243"/>
      <c r="I7" s="402"/>
      <c r="J7" s="402"/>
      <c r="K7" s="402"/>
      <c r="L7" s="402"/>
      <c r="M7" s="402"/>
      <c r="N7" s="36"/>
      <c r="O7" s="36"/>
      <c r="P7" s="36"/>
      <c r="Q7" s="36"/>
      <c r="T7" s="42"/>
      <c r="V7" s="42"/>
      <c r="X7" s="42"/>
      <c r="Z7" s="42"/>
      <c r="AB7" s="42"/>
      <c r="AD7" s="42"/>
      <c r="AF7" s="42"/>
      <c r="AG7" s="42"/>
      <c r="AH7" s="42"/>
      <c r="AI7" s="42"/>
      <c r="AJ7" s="42"/>
      <c r="AK7" s="42"/>
      <c r="AL7" s="42"/>
      <c r="AM7" s="42"/>
      <c r="AN7" s="42"/>
      <c r="AO7" s="42"/>
      <c r="AP7" s="42"/>
      <c r="AQ7" s="42"/>
      <c r="AR7" s="42"/>
      <c r="AS7" s="42"/>
      <c r="AT7" s="42"/>
      <c r="AU7" s="42"/>
      <c r="AV7" s="42"/>
      <c r="AW7" s="42"/>
      <c r="AX7" s="42"/>
      <c r="AY7" s="42"/>
      <c r="AZ7" s="42"/>
      <c r="BA7" s="42"/>
      <c r="BB7" s="42"/>
      <c r="BC7" s="42"/>
      <c r="BD7" s="42"/>
      <c r="BE7" s="42"/>
      <c r="BF7" s="42"/>
      <c r="BG7" s="42"/>
      <c r="BH7" s="42"/>
      <c r="BI7" s="42"/>
      <c r="BJ7" s="42"/>
      <c r="BK7" s="42"/>
      <c r="BL7" s="42"/>
      <c r="BM7" s="42"/>
      <c r="BN7" s="42"/>
      <c r="BO7" s="42"/>
      <c r="BP7" s="42"/>
      <c r="BQ7" s="42"/>
      <c r="BR7" s="42"/>
      <c r="BS7" s="42"/>
      <c r="BT7" s="42"/>
      <c r="BU7" s="42"/>
      <c r="BV7" s="42"/>
      <c r="BW7" s="42"/>
      <c r="BX7" s="42"/>
      <c r="BY7" s="42"/>
      <c r="BZ7" s="42"/>
      <c r="CA7" s="42"/>
      <c r="CB7" s="42"/>
      <c r="CC7" s="42"/>
      <c r="CD7" s="42"/>
      <c r="CE7" s="42"/>
      <c r="CF7" s="42"/>
      <c r="CG7" s="42"/>
      <c r="CH7" s="42"/>
      <c r="CI7" s="42"/>
      <c r="CJ7" s="42"/>
      <c r="CK7" s="42"/>
      <c r="CL7" s="42"/>
      <c r="CM7" s="42"/>
      <c r="CN7" s="42"/>
      <c r="CO7" s="42"/>
      <c r="CP7" s="42"/>
      <c r="CQ7" s="42"/>
      <c r="CR7" s="42"/>
      <c r="CS7" s="42"/>
      <c r="CT7" s="42"/>
      <c r="CU7" s="42"/>
      <c r="CV7" s="42"/>
      <c r="CW7" s="42"/>
      <c r="CX7" s="42"/>
      <c r="CY7" s="42"/>
      <c r="CZ7" s="42"/>
      <c r="DA7" s="42"/>
      <c r="DB7" s="42"/>
      <c r="DC7" s="42"/>
      <c r="DD7" s="42"/>
      <c r="DE7" s="42"/>
      <c r="DF7" s="42"/>
      <c r="DG7" s="42"/>
      <c r="DH7" s="42"/>
      <c r="DI7" s="42"/>
      <c r="DJ7" s="42"/>
      <c r="DK7" s="42"/>
      <c r="DL7" s="42"/>
      <c r="DM7" s="42"/>
      <c r="DN7" s="42"/>
      <c r="DO7" s="42"/>
      <c r="DP7" s="42"/>
      <c r="DQ7" s="42"/>
      <c r="DR7" s="42"/>
      <c r="DS7" s="42"/>
      <c r="DT7" s="42"/>
      <c r="DU7" s="42"/>
      <c r="DV7" s="42"/>
      <c r="DW7" s="42"/>
      <c r="DX7" s="42"/>
      <c r="DY7" s="42"/>
      <c r="DZ7" s="42"/>
      <c r="EA7" s="42"/>
      <c r="EB7" s="42"/>
      <c r="EC7" s="42"/>
      <c r="ED7" s="42"/>
      <c r="EE7" s="42"/>
      <c r="EF7" s="42"/>
      <c r="EG7" s="42"/>
      <c r="EH7" s="42"/>
      <c r="EI7" s="42"/>
      <c r="EJ7" s="42"/>
      <c r="EK7" s="42"/>
      <c r="EL7" s="42"/>
      <c r="EM7" s="42"/>
      <c r="EN7" s="42"/>
      <c r="EO7" s="42"/>
      <c r="EP7" s="42"/>
      <c r="EQ7" s="42"/>
      <c r="ER7" s="42"/>
      <c r="ES7" s="42"/>
      <c r="ET7" s="42"/>
      <c r="EU7" s="42"/>
      <c r="EV7" s="42"/>
      <c r="EW7" s="42"/>
      <c r="EX7" s="42"/>
      <c r="EY7" s="42"/>
      <c r="EZ7" s="42"/>
      <c r="FA7" s="42"/>
      <c r="FB7" s="42"/>
      <c r="FC7" s="42"/>
      <c r="FD7" s="42"/>
      <c r="FE7" s="42"/>
      <c r="FF7" s="42"/>
      <c r="FG7" s="42"/>
      <c r="FH7" s="42"/>
      <c r="FI7" s="42"/>
      <c r="FJ7" s="42"/>
      <c r="FK7" s="42"/>
      <c r="FL7" s="42"/>
      <c r="FM7" s="42"/>
      <c r="FN7" s="42"/>
      <c r="FO7" s="42"/>
      <c r="FP7" s="42"/>
      <c r="FQ7" s="42"/>
      <c r="FR7" s="42"/>
      <c r="FS7" s="42"/>
      <c r="FT7" s="42"/>
      <c r="FU7" s="42"/>
      <c r="FV7" s="42"/>
      <c r="FW7" s="42"/>
      <c r="FX7" s="42"/>
      <c r="FY7" s="42"/>
      <c r="FZ7" s="42"/>
      <c r="GA7" s="42"/>
      <c r="GB7" s="42"/>
      <c r="GC7" s="42"/>
      <c r="GD7" s="42"/>
      <c r="GE7" s="42"/>
      <c r="GF7" s="42"/>
      <c r="GG7" s="42"/>
      <c r="GH7" s="42"/>
      <c r="GI7" s="42"/>
      <c r="GJ7" s="42"/>
      <c r="GK7" s="42"/>
      <c r="GL7" s="42"/>
      <c r="GM7" s="42"/>
      <c r="GN7" s="42"/>
      <c r="GO7" s="42"/>
      <c r="GP7" s="42"/>
      <c r="GQ7" s="42"/>
      <c r="GR7" s="42"/>
      <c r="GS7" s="42"/>
      <c r="GT7" s="42"/>
      <c r="GU7" s="42"/>
      <c r="GV7" s="42"/>
      <c r="GW7" s="42"/>
      <c r="GX7" s="42"/>
      <c r="GY7" s="42"/>
      <c r="GZ7" s="42"/>
      <c r="HA7" s="42"/>
      <c r="HB7" s="42"/>
      <c r="HC7" s="42"/>
      <c r="HD7" s="42"/>
      <c r="HE7" s="42"/>
      <c r="HF7" s="42"/>
      <c r="HG7" s="42"/>
      <c r="HH7" s="42"/>
      <c r="HI7" s="42"/>
      <c r="HJ7" s="42"/>
      <c r="HK7" s="42"/>
      <c r="HL7" s="42"/>
      <c r="HM7" s="42"/>
      <c r="HN7" s="42"/>
      <c r="HO7" s="42"/>
      <c r="HP7" s="42"/>
      <c r="HQ7" s="42"/>
      <c r="HR7" s="42"/>
      <c r="HS7" s="42"/>
      <c r="HT7" s="42"/>
      <c r="HU7" s="42"/>
      <c r="HV7" s="42"/>
      <c r="HW7" s="42"/>
      <c r="HX7" s="42"/>
      <c r="HY7" s="42"/>
      <c r="HZ7" s="42"/>
      <c r="IA7" s="42"/>
      <c r="IB7" s="42"/>
      <c r="IC7" s="42"/>
      <c r="ID7" s="42"/>
      <c r="IE7" s="42"/>
      <c r="IF7" s="42"/>
      <c r="IG7" s="42"/>
      <c r="IH7" s="42"/>
      <c r="II7" s="42"/>
      <c r="IJ7" s="42"/>
      <c r="IK7" s="42"/>
      <c r="IL7" s="42"/>
      <c r="IM7" s="42"/>
      <c r="IN7" s="42"/>
      <c r="IO7" s="42"/>
      <c r="IP7" s="42"/>
      <c r="IQ7" s="42"/>
      <c r="IR7" s="42"/>
      <c r="IS7" s="42"/>
      <c r="IT7" s="42"/>
      <c r="IU7" s="42"/>
      <c r="IV7" s="42"/>
      <c r="IW7" s="42"/>
      <c r="IX7" s="42"/>
      <c r="IY7" s="42"/>
      <c r="IZ7" s="42"/>
      <c r="JA7" s="42"/>
      <c r="JB7" s="42"/>
      <c r="JC7" s="42"/>
      <c r="JD7" s="42"/>
      <c r="JE7" s="42"/>
      <c r="JF7" s="42"/>
      <c r="JG7" s="42"/>
      <c r="JH7" s="42"/>
      <c r="JI7" s="42"/>
      <c r="JJ7" s="42"/>
      <c r="JK7" s="42"/>
      <c r="JL7" s="42"/>
      <c r="JM7" s="42"/>
      <c r="JN7" s="42"/>
      <c r="JO7" s="42"/>
      <c r="JP7" s="42"/>
      <c r="JQ7" s="42"/>
      <c r="JR7" s="42"/>
      <c r="JS7" s="42"/>
      <c r="JT7" s="42"/>
      <c r="JU7" s="42"/>
      <c r="JV7" s="42"/>
      <c r="JW7" s="42"/>
      <c r="JX7" s="42"/>
      <c r="JY7" s="42"/>
      <c r="JZ7" s="42"/>
      <c r="KA7" s="42"/>
      <c r="KB7" s="42"/>
      <c r="KC7" s="42"/>
      <c r="KD7" s="42"/>
      <c r="KE7" s="42"/>
      <c r="KF7" s="42"/>
      <c r="KG7" s="42"/>
      <c r="KH7" s="42"/>
      <c r="KI7" s="42"/>
      <c r="KJ7" s="42"/>
      <c r="KK7" s="42"/>
      <c r="KL7" s="42"/>
      <c r="KM7" s="42"/>
      <c r="KN7" s="42"/>
      <c r="KO7" s="42"/>
      <c r="KP7" s="42"/>
      <c r="KQ7" s="42"/>
      <c r="KR7" s="42"/>
      <c r="KS7" s="42"/>
      <c r="KT7" s="42"/>
      <c r="KU7" s="42"/>
      <c r="KV7" s="42"/>
      <c r="KW7" s="42"/>
      <c r="KX7" s="42"/>
      <c r="KY7" s="42"/>
      <c r="KZ7" s="42"/>
      <c r="LA7" s="42"/>
      <c r="LB7" s="42"/>
      <c r="LC7" s="42"/>
      <c r="LD7" s="42"/>
      <c r="LE7" s="42"/>
      <c r="LF7" s="42"/>
      <c r="LG7" s="42"/>
      <c r="LH7" s="42"/>
    </row>
    <row r="8" spans="1:320" ht="16.5" customHeight="1" x14ac:dyDescent="0.25">
      <c r="A8" s="194"/>
      <c r="B8" s="362"/>
      <c r="C8" s="362"/>
      <c r="D8" s="362"/>
      <c r="E8" s="362"/>
      <c r="F8" s="369"/>
      <c r="G8" s="369"/>
      <c r="H8" s="156"/>
      <c r="J8" s="189"/>
      <c r="K8" s="189"/>
      <c r="L8" s="156"/>
      <c r="M8" s="156"/>
      <c r="N8" s="156"/>
      <c r="O8" s="156"/>
      <c r="P8" s="156"/>
      <c r="Q8" s="156"/>
      <c r="T8" s="60"/>
      <c r="U8" s="146"/>
      <c r="V8" s="60"/>
      <c r="W8" s="146"/>
      <c r="X8" s="60"/>
      <c r="Y8" s="146"/>
      <c r="Z8" s="60"/>
      <c r="AA8" s="146"/>
      <c r="AB8" s="60"/>
      <c r="AC8" s="146"/>
      <c r="AE8" s="146"/>
    </row>
    <row r="9" spans="1:320" s="17" customFormat="1" ht="48.95" customHeight="1" thickBot="1" x14ac:dyDescent="0.3">
      <c r="A9" s="195"/>
      <c r="B9" s="313"/>
      <c r="C9" s="314"/>
      <c r="D9" s="314"/>
      <c r="E9" s="314"/>
      <c r="F9" s="314"/>
      <c r="G9" s="314"/>
      <c r="H9" s="314"/>
      <c r="I9" s="314"/>
      <c r="J9" s="314"/>
      <c r="K9" s="188"/>
      <c r="L9" s="188"/>
      <c r="M9" s="188"/>
      <c r="N9" s="188"/>
      <c r="O9" s="188"/>
      <c r="P9" s="188"/>
      <c r="Q9" s="188"/>
      <c r="R9" s="156"/>
      <c r="S9" s="156"/>
      <c r="T9" s="187"/>
      <c r="U9" s="156"/>
      <c r="V9" s="187"/>
      <c r="W9" s="156"/>
      <c r="X9" s="187"/>
      <c r="Y9" s="156"/>
      <c r="Z9" s="187"/>
      <c r="AA9" s="156"/>
      <c r="AB9" s="187"/>
      <c r="AC9" s="156"/>
      <c r="AD9" s="187"/>
      <c r="AE9" s="156"/>
      <c r="AF9" s="60"/>
      <c r="AG9" s="60"/>
      <c r="AH9" s="60"/>
      <c r="AI9" s="60"/>
      <c r="AJ9" s="60"/>
      <c r="AK9" s="60"/>
      <c r="AL9" s="60"/>
      <c r="AM9" s="60"/>
      <c r="AN9" s="60"/>
      <c r="AO9" s="60"/>
      <c r="AP9" s="60"/>
      <c r="AQ9" s="60"/>
      <c r="AR9" s="60"/>
      <c r="AS9" s="60"/>
      <c r="AT9" s="60"/>
      <c r="AU9" s="60"/>
      <c r="AV9" s="60"/>
      <c r="AW9" s="60"/>
      <c r="AX9" s="60"/>
      <c r="AY9" s="60"/>
      <c r="AZ9" s="60"/>
      <c r="BA9" s="60"/>
      <c r="BB9" s="60"/>
      <c r="BC9" s="60"/>
      <c r="BD9" s="60"/>
      <c r="BE9" s="60"/>
      <c r="BF9" s="60"/>
      <c r="BG9" s="60"/>
      <c r="BH9" s="60"/>
      <c r="BI9" s="60"/>
      <c r="BJ9" s="60"/>
      <c r="BK9" s="60"/>
      <c r="BL9" s="60"/>
      <c r="BM9" s="60"/>
      <c r="BN9" s="60"/>
      <c r="BO9" s="60"/>
      <c r="BP9" s="60"/>
      <c r="BQ9" s="60"/>
      <c r="BR9" s="60"/>
      <c r="BS9" s="60"/>
      <c r="BT9" s="60"/>
      <c r="BU9" s="60"/>
      <c r="BV9" s="60"/>
      <c r="BW9" s="60"/>
      <c r="BX9" s="60"/>
      <c r="BY9" s="60"/>
      <c r="BZ9" s="60"/>
      <c r="CA9" s="60"/>
      <c r="CB9" s="60"/>
      <c r="CC9" s="60"/>
      <c r="CD9" s="60"/>
      <c r="CE9" s="60"/>
      <c r="CF9" s="60"/>
      <c r="CG9" s="60"/>
      <c r="CH9" s="60"/>
      <c r="CI9" s="60"/>
      <c r="CJ9" s="60"/>
      <c r="CK9" s="60"/>
      <c r="CL9" s="60"/>
      <c r="CM9" s="60"/>
      <c r="CN9" s="60"/>
      <c r="CO9" s="60"/>
      <c r="CP9" s="60"/>
      <c r="CQ9" s="60"/>
      <c r="CR9" s="60"/>
      <c r="CS9" s="60"/>
      <c r="CT9" s="60"/>
      <c r="CU9" s="60"/>
      <c r="CV9" s="60"/>
      <c r="CW9" s="60"/>
      <c r="CX9" s="60"/>
      <c r="CY9" s="60"/>
      <c r="CZ9" s="60"/>
      <c r="DA9" s="60"/>
      <c r="DB9" s="60"/>
      <c r="DC9" s="60"/>
      <c r="DD9" s="60"/>
      <c r="DE9" s="60"/>
      <c r="DF9" s="60"/>
      <c r="DG9" s="60"/>
      <c r="DH9" s="60"/>
      <c r="DI9" s="60"/>
      <c r="DJ9" s="60"/>
      <c r="DK9" s="60"/>
      <c r="DL9" s="60"/>
      <c r="DM9" s="60"/>
      <c r="DN9" s="60"/>
      <c r="DO9" s="60"/>
      <c r="DP9" s="60"/>
      <c r="DQ9" s="60"/>
      <c r="DR9" s="60"/>
      <c r="DS9" s="60"/>
      <c r="DT9" s="60"/>
      <c r="DU9" s="60"/>
      <c r="DV9" s="60"/>
      <c r="DW9" s="60"/>
      <c r="DX9" s="60"/>
      <c r="DY9" s="60"/>
      <c r="DZ9" s="60"/>
      <c r="EA9" s="60"/>
      <c r="EB9" s="60"/>
      <c r="EC9" s="60"/>
      <c r="ED9" s="60"/>
      <c r="EE9" s="60"/>
      <c r="EF9" s="60"/>
      <c r="EG9" s="60"/>
      <c r="EH9" s="60"/>
      <c r="EI9" s="60"/>
      <c r="EJ9" s="60"/>
      <c r="EK9" s="60"/>
      <c r="EL9" s="60"/>
      <c r="EM9" s="60"/>
      <c r="EN9" s="60"/>
      <c r="EO9" s="60"/>
      <c r="EP9" s="60"/>
      <c r="EQ9" s="60"/>
      <c r="ER9" s="60"/>
      <c r="ES9" s="60"/>
      <c r="ET9" s="60"/>
      <c r="EU9" s="60"/>
      <c r="EV9" s="60"/>
      <c r="EW9" s="60"/>
      <c r="EX9" s="60"/>
      <c r="EY9" s="60"/>
      <c r="EZ9" s="60"/>
      <c r="FA9" s="60"/>
      <c r="FB9" s="60"/>
      <c r="FC9" s="60"/>
      <c r="FD9" s="60"/>
      <c r="FE9" s="60"/>
      <c r="FF9" s="60"/>
      <c r="FG9" s="60"/>
      <c r="FH9" s="60"/>
      <c r="FI9" s="60"/>
      <c r="FJ9" s="60"/>
      <c r="FK9" s="60"/>
      <c r="FL9" s="60"/>
      <c r="FM9" s="60"/>
      <c r="FN9" s="60"/>
      <c r="FO9" s="60"/>
      <c r="FP9" s="60"/>
      <c r="FQ9" s="60"/>
      <c r="FR9" s="60"/>
      <c r="FS9" s="60"/>
      <c r="FT9" s="60"/>
      <c r="FU9" s="60"/>
      <c r="FV9" s="60"/>
      <c r="FW9" s="60"/>
      <c r="FX9" s="60"/>
      <c r="FY9" s="60"/>
      <c r="FZ9" s="60"/>
      <c r="GA9" s="60"/>
      <c r="GB9" s="60"/>
      <c r="GC9" s="60"/>
      <c r="GD9" s="60"/>
      <c r="GE9" s="60"/>
      <c r="GF9" s="60"/>
      <c r="GG9" s="60"/>
      <c r="GH9" s="60"/>
      <c r="GI9" s="60"/>
      <c r="GJ9" s="60"/>
      <c r="GK9" s="60"/>
      <c r="GL9" s="60"/>
      <c r="GM9" s="60"/>
      <c r="GN9" s="60"/>
      <c r="GO9" s="60"/>
      <c r="GP9" s="60"/>
      <c r="GQ9" s="60"/>
      <c r="GR9" s="60"/>
      <c r="GS9" s="60"/>
      <c r="GT9" s="60"/>
      <c r="GU9" s="60"/>
      <c r="GV9" s="60"/>
      <c r="GW9" s="60"/>
      <c r="GX9" s="60"/>
      <c r="GY9" s="60"/>
      <c r="GZ9" s="60"/>
      <c r="HA9" s="60"/>
      <c r="HB9" s="60"/>
      <c r="HC9" s="60"/>
      <c r="HD9" s="60"/>
      <c r="HE9" s="60"/>
      <c r="HF9" s="60"/>
      <c r="HG9" s="60"/>
      <c r="HH9" s="60"/>
      <c r="HI9" s="60"/>
      <c r="HJ9" s="60"/>
      <c r="HK9" s="60"/>
      <c r="HL9" s="60"/>
      <c r="HM9" s="60"/>
      <c r="HN9" s="60"/>
      <c r="HO9" s="60"/>
      <c r="HP9" s="60"/>
      <c r="HQ9" s="60"/>
      <c r="HR9" s="60"/>
      <c r="HS9" s="60"/>
      <c r="HT9" s="60"/>
      <c r="HU9" s="60"/>
      <c r="HV9" s="60"/>
      <c r="HW9" s="60"/>
      <c r="HX9" s="60"/>
      <c r="HY9" s="60"/>
      <c r="HZ9" s="60"/>
      <c r="IA9" s="60"/>
      <c r="IB9" s="60"/>
      <c r="IC9" s="60"/>
      <c r="ID9" s="60"/>
      <c r="IE9" s="60"/>
      <c r="IF9" s="60"/>
      <c r="IG9" s="60"/>
      <c r="IH9" s="60"/>
      <c r="II9" s="60"/>
      <c r="IJ9" s="60"/>
      <c r="IK9" s="60"/>
      <c r="IL9" s="60"/>
      <c r="IM9" s="60"/>
      <c r="IN9" s="60"/>
      <c r="IO9" s="60"/>
      <c r="IP9" s="60"/>
      <c r="IQ9" s="60"/>
      <c r="IR9" s="60"/>
      <c r="IS9" s="60"/>
      <c r="IT9" s="60"/>
      <c r="IU9" s="60"/>
      <c r="IV9" s="60"/>
      <c r="IW9" s="60"/>
      <c r="IX9" s="60"/>
      <c r="IY9" s="60"/>
      <c r="IZ9" s="60"/>
      <c r="JA9" s="60"/>
      <c r="JB9" s="60"/>
      <c r="JC9" s="60"/>
      <c r="JD9" s="60"/>
      <c r="JE9" s="60"/>
      <c r="JF9" s="60"/>
      <c r="JG9" s="60"/>
      <c r="JH9" s="60"/>
      <c r="JI9" s="60"/>
      <c r="JJ9" s="60"/>
      <c r="JK9" s="60"/>
      <c r="JL9" s="60"/>
      <c r="JM9" s="60"/>
      <c r="JN9" s="60"/>
      <c r="JO9" s="60"/>
      <c r="JP9" s="60"/>
      <c r="JQ9" s="60"/>
      <c r="JR9" s="60"/>
      <c r="JS9" s="60"/>
      <c r="JT9" s="60"/>
      <c r="JU9" s="60"/>
      <c r="JV9" s="60"/>
      <c r="JW9" s="60"/>
      <c r="JX9" s="60"/>
      <c r="JY9" s="60"/>
      <c r="JZ9" s="60"/>
      <c r="KA9" s="60"/>
      <c r="KB9" s="60"/>
      <c r="KC9" s="60"/>
      <c r="KD9" s="60"/>
      <c r="KE9" s="60"/>
      <c r="KF9" s="60"/>
      <c r="KG9" s="60"/>
      <c r="KH9" s="60"/>
      <c r="KI9" s="60"/>
      <c r="KJ9" s="60"/>
      <c r="KK9" s="60"/>
      <c r="KL9" s="60"/>
      <c r="KM9" s="60"/>
      <c r="KN9" s="60"/>
      <c r="KO9" s="60"/>
      <c r="KP9" s="60"/>
      <c r="KQ9" s="60"/>
      <c r="KR9" s="60"/>
      <c r="KS9" s="60"/>
      <c r="KT9" s="60"/>
      <c r="KU9" s="60"/>
      <c r="KV9" s="60"/>
      <c r="KW9" s="60"/>
      <c r="KX9" s="60"/>
      <c r="KY9" s="60"/>
      <c r="KZ9" s="60"/>
      <c r="LA9" s="60"/>
      <c r="LB9" s="60"/>
      <c r="LC9" s="60"/>
      <c r="LD9" s="60"/>
      <c r="LE9" s="60"/>
      <c r="LF9" s="60"/>
      <c r="LG9" s="60"/>
      <c r="LH9" s="60"/>
    </row>
    <row r="10" spans="1:320" s="253" customFormat="1" ht="45" customHeight="1" thickTop="1" thickBot="1" x14ac:dyDescent="0.4">
      <c r="A10" s="177" t="s">
        <v>110</v>
      </c>
      <c r="B10" s="186" t="s">
        <v>107</v>
      </c>
      <c r="C10" s="348" t="str">
        <f>IF(M2=1,"Standard (µL)","PRE-DILUTED Standard (µL)")</f>
        <v>Standard (µL)</v>
      </c>
      <c r="D10" s="348"/>
      <c r="E10" s="349"/>
      <c r="F10" s="350">
        <f>IF(F5&lt;2,((F6*F7*H16)/P2),(H15*H22))</f>
        <v>7.4648993438420721</v>
      </c>
      <c r="G10" s="351"/>
      <c r="H10" s="251"/>
      <c r="I10" s="252">
        <f>(IF($F$5&gt;1,(J22*J15)/H15,0))</f>
        <v>346.48993438420723</v>
      </c>
      <c r="K10" s="252">
        <f>(IF($F$5&gt;=2,I10,0))</f>
        <v>346.48993438420723</v>
      </c>
      <c r="M10" s="252">
        <f>(IF($F$5&gt;=3,I10,0))</f>
        <v>346.48993438420723</v>
      </c>
      <c r="O10" s="252">
        <f>(IF($F$5&gt;=4,I10,0))</f>
        <v>346.48993438420723</v>
      </c>
      <c r="Q10" s="252">
        <f>(IF($F$5&gt;=5,I10,0))</f>
        <v>346.48993438420723</v>
      </c>
      <c r="S10" s="252">
        <f>(IF($F$5&gt;=6,K10,0))</f>
        <v>346.48993438420723</v>
      </c>
      <c r="U10" s="252">
        <f>(IF($F$5&gt;=7,M10,0))</f>
        <v>346.48993438420723</v>
      </c>
      <c r="W10" s="252">
        <f>(IF($F$5&gt;=8,O10,0))</f>
        <v>0</v>
      </c>
      <c r="Y10" s="252">
        <f>(IF($F$5&gt;=9,Q10,0))</f>
        <v>0</v>
      </c>
      <c r="AA10" s="252">
        <f>(IF($F$5&gt;=10,S10,0))</f>
        <v>0</v>
      </c>
      <c r="AC10" s="252">
        <f>(IF($F$5&gt;=11,U10,0))</f>
        <v>0</v>
      </c>
      <c r="AE10" s="252">
        <f>(IF($F$5&gt;=12,W10,0))</f>
        <v>0</v>
      </c>
      <c r="AF10" s="254"/>
      <c r="AG10" s="136"/>
      <c r="AH10" s="136"/>
      <c r="AI10" s="136"/>
      <c r="AJ10" s="136"/>
      <c r="AK10" s="136"/>
      <c r="AL10" s="136"/>
      <c r="AM10" s="136"/>
      <c r="AN10" s="136"/>
      <c r="AO10" s="136"/>
      <c r="AP10" s="136"/>
      <c r="AQ10" s="136"/>
      <c r="AR10" s="136"/>
      <c r="AS10" s="136"/>
      <c r="AT10" s="136"/>
      <c r="AU10" s="136"/>
      <c r="AV10" s="136"/>
      <c r="AW10" s="136"/>
      <c r="AX10" s="136"/>
      <c r="AY10" s="136"/>
      <c r="AZ10" s="136"/>
      <c r="BA10" s="136"/>
      <c r="BB10" s="136"/>
      <c r="BC10" s="136"/>
      <c r="BD10" s="136"/>
      <c r="BE10" s="136"/>
      <c r="BF10" s="136"/>
      <c r="BG10" s="136"/>
      <c r="BH10" s="136"/>
      <c r="BI10" s="136"/>
      <c r="BJ10" s="136"/>
      <c r="BK10" s="136"/>
      <c r="BL10" s="136"/>
      <c r="BM10" s="136"/>
      <c r="BN10" s="136"/>
      <c r="BO10" s="136"/>
      <c r="BP10" s="136"/>
      <c r="BQ10" s="136"/>
      <c r="BR10" s="136"/>
      <c r="BS10" s="136"/>
      <c r="BT10" s="136"/>
      <c r="BU10" s="136"/>
      <c r="BV10" s="136"/>
      <c r="BW10" s="136"/>
      <c r="BX10" s="136"/>
      <c r="BY10" s="136"/>
      <c r="BZ10" s="136"/>
      <c r="CA10" s="136"/>
      <c r="CB10" s="136"/>
      <c r="CC10" s="136"/>
      <c r="CD10" s="136"/>
      <c r="CE10" s="136"/>
      <c r="CF10" s="136"/>
      <c r="CG10" s="136"/>
      <c r="CH10" s="136"/>
      <c r="CI10" s="136"/>
      <c r="CJ10" s="136"/>
      <c r="CK10" s="136"/>
      <c r="CL10" s="136"/>
      <c r="CM10" s="136"/>
      <c r="CN10" s="136"/>
      <c r="CO10" s="136"/>
      <c r="CP10" s="136"/>
      <c r="CQ10" s="136"/>
      <c r="CR10" s="136"/>
      <c r="CS10" s="136"/>
      <c r="CT10" s="136"/>
      <c r="CU10" s="136"/>
      <c r="CV10" s="136"/>
      <c r="CW10" s="136"/>
      <c r="CX10" s="136"/>
      <c r="CY10" s="136"/>
      <c r="CZ10" s="136"/>
      <c r="DA10" s="136"/>
      <c r="DB10" s="136"/>
      <c r="DC10" s="136"/>
      <c r="DD10" s="136"/>
      <c r="DE10" s="136"/>
      <c r="DF10" s="136"/>
      <c r="DG10" s="136"/>
      <c r="DH10" s="136"/>
      <c r="DI10" s="136"/>
      <c r="DJ10" s="136"/>
      <c r="DK10" s="136"/>
      <c r="DL10" s="136"/>
      <c r="DM10" s="136"/>
      <c r="DN10" s="136"/>
      <c r="DO10" s="136"/>
      <c r="DP10" s="136"/>
      <c r="DQ10" s="136"/>
      <c r="DR10" s="136"/>
      <c r="DS10" s="136"/>
      <c r="DT10" s="136"/>
      <c r="DU10" s="136"/>
      <c r="DV10" s="136"/>
      <c r="DW10" s="136"/>
      <c r="DX10" s="136"/>
      <c r="DY10" s="136"/>
      <c r="DZ10" s="136"/>
      <c r="EA10" s="136"/>
      <c r="EB10" s="136"/>
      <c r="EC10" s="136"/>
      <c r="ED10" s="136"/>
      <c r="EE10" s="136"/>
      <c r="EF10" s="136"/>
      <c r="EG10" s="136"/>
      <c r="EH10" s="136"/>
      <c r="EI10" s="136"/>
      <c r="EJ10" s="136"/>
      <c r="EK10" s="136"/>
      <c r="EL10" s="136"/>
      <c r="EM10" s="136"/>
      <c r="EN10" s="136"/>
      <c r="EO10" s="136"/>
      <c r="EP10" s="136"/>
      <c r="EQ10" s="136"/>
      <c r="ER10" s="136"/>
      <c r="ES10" s="136"/>
      <c r="ET10" s="136"/>
      <c r="EU10" s="136"/>
      <c r="EV10" s="136"/>
      <c r="EW10" s="136"/>
      <c r="EX10" s="136"/>
      <c r="EY10" s="136"/>
      <c r="EZ10" s="136"/>
      <c r="FA10" s="136"/>
      <c r="FB10" s="136"/>
      <c r="FC10" s="136"/>
      <c r="FD10" s="136"/>
      <c r="FE10" s="136"/>
      <c r="FF10" s="136"/>
      <c r="FG10" s="136"/>
      <c r="FH10" s="136"/>
      <c r="FI10" s="136"/>
      <c r="FJ10" s="136"/>
      <c r="FK10" s="136"/>
      <c r="FL10" s="136"/>
      <c r="FM10" s="136"/>
      <c r="FN10" s="136"/>
      <c r="FO10" s="136"/>
      <c r="FP10" s="136"/>
      <c r="FQ10" s="136"/>
      <c r="FR10" s="136"/>
      <c r="FS10" s="136"/>
      <c r="FT10" s="136"/>
      <c r="FU10" s="136"/>
      <c r="FV10" s="136"/>
      <c r="FW10" s="136"/>
      <c r="FX10" s="136"/>
      <c r="FY10" s="136"/>
      <c r="FZ10" s="136"/>
      <c r="GA10" s="136"/>
      <c r="GB10" s="136"/>
      <c r="GC10" s="136"/>
      <c r="GD10" s="136"/>
      <c r="GE10" s="136"/>
      <c r="GF10" s="136"/>
      <c r="GG10" s="136"/>
      <c r="GH10" s="136"/>
      <c r="GI10" s="136"/>
      <c r="GJ10" s="136"/>
      <c r="GK10" s="136"/>
      <c r="GL10" s="136"/>
      <c r="GM10" s="136"/>
      <c r="GN10" s="136"/>
      <c r="GO10" s="136"/>
      <c r="GP10" s="136"/>
      <c r="GQ10" s="136"/>
      <c r="GR10" s="136"/>
      <c r="GS10" s="136"/>
      <c r="GT10" s="136"/>
      <c r="GU10" s="136"/>
      <c r="GV10" s="136"/>
      <c r="GW10" s="136"/>
      <c r="GX10" s="136"/>
      <c r="GY10" s="136"/>
      <c r="GZ10" s="136"/>
      <c r="HA10" s="136"/>
      <c r="HB10" s="136"/>
      <c r="HC10" s="136"/>
      <c r="HD10" s="136"/>
      <c r="HE10" s="136"/>
      <c r="HF10" s="136"/>
      <c r="HG10" s="136"/>
      <c r="HH10" s="136"/>
      <c r="HI10" s="136"/>
      <c r="HJ10" s="136"/>
      <c r="HK10" s="136"/>
      <c r="HL10" s="136"/>
      <c r="HM10" s="136"/>
      <c r="HN10" s="136"/>
      <c r="HO10" s="136"/>
      <c r="HP10" s="136"/>
      <c r="HQ10" s="136"/>
      <c r="HR10" s="136"/>
      <c r="HS10" s="136"/>
      <c r="HT10" s="136"/>
      <c r="HU10" s="136"/>
      <c r="HV10" s="136"/>
      <c r="HW10" s="136"/>
      <c r="HX10" s="136"/>
      <c r="HY10" s="136"/>
      <c r="HZ10" s="136"/>
      <c r="IA10" s="136"/>
      <c r="IB10" s="136"/>
      <c r="IC10" s="136"/>
      <c r="ID10" s="136"/>
      <c r="IE10" s="136"/>
      <c r="IF10" s="136"/>
      <c r="IG10" s="136"/>
      <c r="IH10" s="136"/>
      <c r="II10" s="136"/>
      <c r="IJ10" s="136"/>
      <c r="IK10" s="136"/>
      <c r="IL10" s="136"/>
      <c r="IM10" s="136"/>
      <c r="IN10" s="136"/>
      <c r="IO10" s="136"/>
      <c r="IP10" s="136"/>
      <c r="IQ10" s="136"/>
      <c r="IR10" s="136"/>
      <c r="IS10" s="136"/>
      <c r="IT10" s="136"/>
      <c r="IU10" s="136"/>
      <c r="IV10" s="136"/>
      <c r="IW10" s="136"/>
      <c r="IX10" s="136"/>
      <c r="IY10" s="136"/>
      <c r="IZ10" s="136"/>
      <c r="JA10" s="136"/>
      <c r="JB10" s="136"/>
      <c r="JC10" s="136"/>
      <c r="JD10" s="136"/>
      <c r="JE10" s="136"/>
      <c r="JF10" s="136"/>
      <c r="JG10" s="136"/>
      <c r="JH10" s="136"/>
      <c r="JI10" s="136"/>
      <c r="JJ10" s="136"/>
      <c r="JK10" s="136"/>
      <c r="JL10" s="136"/>
      <c r="JM10" s="136"/>
      <c r="JN10" s="136"/>
      <c r="JO10" s="136"/>
      <c r="JP10" s="136"/>
      <c r="JQ10" s="136"/>
      <c r="JR10" s="136"/>
      <c r="JS10" s="136"/>
      <c r="JT10" s="136"/>
      <c r="JU10" s="136"/>
      <c r="JV10" s="136"/>
      <c r="JW10" s="136"/>
      <c r="JX10" s="136"/>
      <c r="JY10" s="136"/>
      <c r="JZ10" s="136"/>
      <c r="KA10" s="136"/>
      <c r="KB10" s="136"/>
      <c r="KC10" s="136"/>
      <c r="KD10" s="136"/>
      <c r="KE10" s="136"/>
      <c r="KF10" s="136"/>
      <c r="KG10" s="136"/>
      <c r="KH10" s="136"/>
      <c r="KI10" s="136"/>
      <c r="KJ10" s="136"/>
      <c r="KK10" s="136"/>
      <c r="KL10" s="136"/>
      <c r="KM10" s="136"/>
      <c r="KN10" s="136"/>
      <c r="KO10" s="136"/>
      <c r="KP10" s="136"/>
      <c r="KQ10" s="136"/>
      <c r="KR10" s="136"/>
      <c r="KS10" s="136"/>
      <c r="KT10" s="136"/>
      <c r="KU10" s="136"/>
      <c r="KV10" s="136"/>
      <c r="KW10" s="136"/>
      <c r="KX10" s="136"/>
      <c r="KY10" s="136"/>
      <c r="KZ10" s="136"/>
      <c r="LA10" s="136"/>
      <c r="LB10" s="136"/>
      <c r="LC10" s="136"/>
      <c r="LD10" s="136"/>
      <c r="LE10" s="136"/>
      <c r="LF10" s="136"/>
      <c r="LG10" s="136"/>
      <c r="LH10" s="136"/>
    </row>
    <row r="11" spans="1:320" s="180" customFormat="1" ht="35.1" customHeight="1" thickTop="1" x14ac:dyDescent="0.25">
      <c r="A11" s="181"/>
      <c r="B11" s="360"/>
      <c r="C11" s="185"/>
      <c r="D11" s="185"/>
      <c r="E11" s="185"/>
      <c r="F11" s="185"/>
      <c r="G11" s="185"/>
      <c r="H11" s="184" t="str">
        <f>IF($F$5&gt;1,"↘ ↗","↘  ")</f>
        <v>↘ ↗</v>
      </c>
      <c r="I11" s="183" t="str">
        <f>IF($F$5=1," ",IF(F5&gt;1,"From dilution 1 to 2",0))</f>
        <v>From dilution 1 to 2</v>
      </c>
      <c r="J11" s="184" t="str">
        <f>IF($F$5&gt;1,"↘ ↗",0)</f>
        <v>↘ ↗</v>
      </c>
      <c r="K11" s="183" t="str">
        <f>IF($F$5=2,"Throw away",IF($F5&gt;2,"From dilution 2 to 3",0))</f>
        <v>From dilution 2 to 3</v>
      </c>
      <c r="L11" s="184" t="str">
        <f>IF($F$5&gt;2,"↘ ↗",0)</f>
        <v>↘ ↗</v>
      </c>
      <c r="M11" s="183" t="str">
        <f>IF($F$5=3,"Throw away",IF($F5&gt;3,"From dilution 3 to 4",0))</f>
        <v>From dilution 3 to 4</v>
      </c>
      <c r="N11" s="184" t="str">
        <f>IF($F$5&gt;3,"↘ ↗",0)</f>
        <v>↘ ↗</v>
      </c>
      <c r="O11" s="183" t="str">
        <f>IF($F$5=4,"Throw away",IF($F5&gt;4,"From dilution 4 to 5",0))</f>
        <v>From dilution 4 to 5</v>
      </c>
      <c r="P11" s="184" t="str">
        <f>IF($F$5&gt;4,"↘ ↗",0)</f>
        <v>↘ ↗</v>
      </c>
      <c r="Q11" s="183" t="str">
        <f>IF($F$5=5,"Throw away",IF($F5&gt;5,"From dilution 5 to 6",0))</f>
        <v>From dilution 5 to 6</v>
      </c>
      <c r="R11" s="184" t="str">
        <f>IF($F$5&gt;5,"↘ ↗",0)</f>
        <v>↘ ↗</v>
      </c>
      <c r="S11" s="183" t="str">
        <f>IF($F$5=6,"Throw away",IF($F5&gt;6,"From dilution 6 to 7",0))</f>
        <v>From dilution 6 to 7</v>
      </c>
      <c r="T11" s="184" t="str">
        <f>IF($F$5&gt;6,"↘ ↗",0)</f>
        <v>↘ ↗</v>
      </c>
      <c r="U11" s="183" t="str">
        <f>IF($F$5=7,"Throw away",IF($F5&gt;7,"From dilution 7 to 8",0))</f>
        <v>Throw away</v>
      </c>
      <c r="V11" s="184">
        <f>IF($F$5&gt;7,"↘ ↗",0)</f>
        <v>0</v>
      </c>
      <c r="W11" s="183" t="str">
        <f>IF($F$5=8,"Throw away",IF($F5&gt;8,"From dilution 8 to 9"," "))</f>
        <v xml:space="preserve"> </v>
      </c>
      <c r="X11" s="184" t="str">
        <f>IF($F$5&gt;8,"↘ ↗"," ")</f>
        <v xml:space="preserve"> </v>
      </c>
      <c r="Y11" s="183" t="str">
        <f>IF($F$5=9,"Throw away",IF($F5&gt;9,"From dilution 9 to 10"," "))</f>
        <v xml:space="preserve"> </v>
      </c>
      <c r="Z11" s="184" t="str">
        <f>IF($F$5&gt;9,"↘ ↗"," ")</f>
        <v xml:space="preserve"> </v>
      </c>
      <c r="AA11" s="183" t="str">
        <f>IF($F$5=10,"Throw away",IF($F5&gt;10,"From dilution 10 to 11"," "))</f>
        <v xml:space="preserve"> </v>
      </c>
      <c r="AB11" s="184" t="str">
        <f>IF($F$5&gt;10,"↘ ↗"," ")</f>
        <v xml:space="preserve"> </v>
      </c>
      <c r="AC11" s="183" t="str">
        <f>IF($F$5=11,"Throw away",IF($F5&gt;11,"From dilution 11 to 12"," "))</f>
        <v xml:space="preserve"> </v>
      </c>
      <c r="AD11" s="184" t="str">
        <f>IF($F$5&gt;11,"↘ ↗"," ")</f>
        <v xml:space="preserve"> </v>
      </c>
      <c r="AE11" s="183" t="str">
        <f>IF($F$5=12,"Throw away",IF($F5&gt;12,"Throw away"," "))</f>
        <v xml:space="preserve"> </v>
      </c>
      <c r="AF11" s="183"/>
      <c r="AG11" s="182"/>
      <c r="AH11" s="182"/>
      <c r="AI11" s="182"/>
      <c r="AJ11" s="182"/>
      <c r="AK11" s="182"/>
      <c r="AL11" s="182"/>
      <c r="AM11" s="182"/>
      <c r="AN11" s="182"/>
      <c r="AO11" s="182"/>
      <c r="AP11" s="182"/>
      <c r="AQ11" s="182"/>
      <c r="AR11" s="182"/>
      <c r="AS11" s="182"/>
      <c r="AT11" s="182"/>
      <c r="AU11" s="182"/>
      <c r="AV11" s="182"/>
      <c r="AW11" s="182"/>
      <c r="AX11" s="182"/>
      <c r="AY11" s="182"/>
      <c r="AZ11" s="182"/>
      <c r="BA11" s="182"/>
      <c r="BB11" s="182"/>
      <c r="BC11" s="182"/>
      <c r="BD11" s="182"/>
      <c r="BE11" s="182"/>
      <c r="BF11" s="182"/>
      <c r="BG11" s="182"/>
      <c r="BH11" s="182"/>
      <c r="BI11" s="182"/>
      <c r="BJ11" s="182"/>
      <c r="BK11" s="182"/>
      <c r="BL11" s="182"/>
      <c r="BM11" s="182"/>
      <c r="BN11" s="182"/>
      <c r="BO11" s="182"/>
      <c r="BP11" s="182"/>
      <c r="BQ11" s="182"/>
      <c r="BR11" s="182"/>
      <c r="BS11" s="182"/>
      <c r="BT11" s="182"/>
      <c r="BU11" s="182"/>
      <c r="BV11" s="182"/>
      <c r="BW11" s="182"/>
      <c r="BX11" s="182"/>
      <c r="BY11" s="182"/>
      <c r="BZ11" s="182"/>
      <c r="CA11" s="182"/>
      <c r="CB11" s="182"/>
      <c r="CC11" s="182"/>
      <c r="CD11" s="182"/>
      <c r="CE11" s="182"/>
      <c r="CF11" s="182"/>
      <c r="CG11" s="182"/>
      <c r="CH11" s="182"/>
      <c r="CI11" s="182"/>
      <c r="CJ11" s="182"/>
      <c r="CK11" s="182"/>
      <c r="CL11" s="182"/>
      <c r="CM11" s="182"/>
      <c r="CN11" s="182"/>
      <c r="CO11" s="182"/>
      <c r="CP11" s="182"/>
      <c r="CQ11" s="182"/>
      <c r="CR11" s="182"/>
      <c r="CS11" s="182"/>
      <c r="CT11" s="182"/>
      <c r="CU11" s="182"/>
      <c r="CV11" s="182"/>
      <c r="CW11" s="182"/>
      <c r="CX11" s="182"/>
      <c r="CY11" s="182"/>
      <c r="CZ11" s="182"/>
      <c r="DA11" s="182"/>
      <c r="DB11" s="182"/>
      <c r="DC11" s="182"/>
      <c r="DD11" s="182"/>
      <c r="DE11" s="182"/>
      <c r="DF11" s="182"/>
      <c r="DG11" s="182"/>
      <c r="DH11" s="182"/>
      <c r="DI11" s="182"/>
      <c r="DJ11" s="182"/>
      <c r="DK11" s="182"/>
      <c r="DL11" s="182"/>
      <c r="DM11" s="182"/>
      <c r="DN11" s="182"/>
      <c r="DO11" s="182"/>
      <c r="DP11" s="182"/>
      <c r="DQ11" s="182"/>
      <c r="DR11" s="182"/>
      <c r="DS11" s="182"/>
      <c r="DT11" s="182"/>
      <c r="DU11" s="182"/>
      <c r="DV11" s="182"/>
      <c r="DW11" s="182"/>
      <c r="DX11" s="182"/>
      <c r="DY11" s="182"/>
      <c r="DZ11" s="182"/>
      <c r="EA11" s="182"/>
      <c r="EB11" s="182"/>
      <c r="EC11" s="182"/>
      <c r="ED11" s="182"/>
      <c r="EE11" s="182"/>
      <c r="EF11" s="182"/>
      <c r="EG11" s="182"/>
      <c r="EH11" s="182"/>
      <c r="EI11" s="182"/>
      <c r="EJ11" s="182"/>
      <c r="EK11" s="182"/>
      <c r="EL11" s="182"/>
      <c r="EM11" s="182"/>
      <c r="EN11" s="182"/>
      <c r="EO11" s="182"/>
      <c r="EP11" s="182"/>
      <c r="EQ11" s="182"/>
      <c r="ER11" s="182"/>
      <c r="ES11" s="182"/>
      <c r="ET11" s="182"/>
      <c r="EU11" s="182"/>
      <c r="EV11" s="182"/>
      <c r="EW11" s="182"/>
      <c r="EX11" s="182"/>
      <c r="EY11" s="182"/>
      <c r="EZ11" s="182"/>
      <c r="FA11" s="182"/>
      <c r="FB11" s="182"/>
      <c r="FC11" s="182"/>
      <c r="FD11" s="182"/>
      <c r="FE11" s="182"/>
      <c r="FF11" s="182"/>
      <c r="FG11" s="182"/>
      <c r="FH11" s="182"/>
      <c r="FI11" s="182"/>
      <c r="FJ11" s="182"/>
      <c r="FK11" s="182"/>
      <c r="FL11" s="182"/>
      <c r="FM11" s="182"/>
      <c r="FN11" s="182"/>
      <c r="FO11" s="182"/>
      <c r="FP11" s="182"/>
      <c r="FQ11" s="182"/>
      <c r="FR11" s="182"/>
      <c r="FS11" s="182"/>
      <c r="FT11" s="182"/>
      <c r="FU11" s="182"/>
      <c r="FV11" s="182"/>
      <c r="FW11" s="182"/>
      <c r="FX11" s="182"/>
      <c r="FY11" s="182"/>
      <c r="FZ11" s="182"/>
      <c r="GA11" s="182"/>
      <c r="GB11" s="182"/>
      <c r="GC11" s="182"/>
      <c r="GD11" s="182"/>
      <c r="GE11" s="182"/>
      <c r="GF11" s="182"/>
      <c r="GG11" s="182"/>
      <c r="GH11" s="182"/>
      <c r="GI11" s="182"/>
      <c r="GJ11" s="182"/>
      <c r="GK11" s="182"/>
      <c r="GL11" s="182"/>
      <c r="GM11" s="182"/>
      <c r="GN11" s="182"/>
      <c r="GO11" s="182"/>
      <c r="GP11" s="182"/>
      <c r="GQ11" s="182"/>
      <c r="GR11" s="182"/>
      <c r="GS11" s="182"/>
      <c r="GT11" s="182"/>
      <c r="GU11" s="182"/>
      <c r="GV11" s="182"/>
      <c r="GW11" s="182"/>
      <c r="GX11" s="182"/>
      <c r="GY11" s="182"/>
      <c r="GZ11" s="182"/>
      <c r="HA11" s="182"/>
      <c r="HB11" s="182"/>
      <c r="HC11" s="182"/>
      <c r="HD11" s="182"/>
      <c r="HE11" s="182"/>
      <c r="HF11" s="182"/>
      <c r="HG11" s="182"/>
      <c r="HH11" s="182"/>
      <c r="HI11" s="182"/>
      <c r="HJ11" s="182"/>
      <c r="HK11" s="182"/>
      <c r="HL11" s="182"/>
      <c r="HM11" s="182"/>
      <c r="HN11" s="182"/>
      <c r="HO11" s="182"/>
      <c r="HP11" s="182"/>
      <c r="HQ11" s="182"/>
      <c r="HR11" s="182"/>
      <c r="HS11" s="182"/>
      <c r="HT11" s="182"/>
      <c r="HU11" s="182"/>
      <c r="HV11" s="182"/>
      <c r="HW11" s="182"/>
      <c r="HX11" s="182"/>
      <c r="HY11" s="182"/>
      <c r="HZ11" s="182"/>
      <c r="IA11" s="182"/>
      <c r="IB11" s="182"/>
      <c r="IC11" s="182"/>
      <c r="ID11" s="182"/>
      <c r="IE11" s="182"/>
      <c r="IF11" s="182"/>
      <c r="IG11" s="182"/>
      <c r="IH11" s="182"/>
      <c r="II11" s="182"/>
      <c r="IJ11" s="182"/>
      <c r="IK11" s="182"/>
      <c r="IL11" s="182"/>
      <c r="IM11" s="182"/>
      <c r="IN11" s="182"/>
      <c r="IO11" s="182"/>
      <c r="IP11" s="182"/>
      <c r="IQ11" s="182"/>
      <c r="IR11" s="182"/>
      <c r="IS11" s="182"/>
      <c r="IT11" s="182"/>
      <c r="IU11" s="182"/>
      <c r="IV11" s="182"/>
      <c r="IW11" s="182"/>
      <c r="IX11" s="182"/>
      <c r="IY11" s="182"/>
      <c r="IZ11" s="182"/>
      <c r="JA11" s="182"/>
      <c r="JB11" s="182"/>
      <c r="JC11" s="182"/>
      <c r="JD11" s="182"/>
      <c r="JE11" s="182"/>
      <c r="JF11" s="182"/>
      <c r="JG11" s="182"/>
      <c r="JH11" s="182"/>
      <c r="JI11" s="182"/>
      <c r="JJ11" s="182"/>
      <c r="JK11" s="182"/>
      <c r="JL11" s="182"/>
      <c r="JM11" s="182"/>
      <c r="JN11" s="182"/>
      <c r="JO11" s="182"/>
      <c r="JP11" s="182"/>
      <c r="JQ11" s="182"/>
      <c r="JR11" s="182"/>
      <c r="JS11" s="182"/>
      <c r="JT11" s="182"/>
      <c r="JU11" s="182"/>
      <c r="JV11" s="182"/>
      <c r="JW11" s="182"/>
      <c r="JX11" s="182"/>
      <c r="JY11" s="182"/>
      <c r="JZ11" s="182"/>
      <c r="KA11" s="182"/>
      <c r="KB11" s="182"/>
      <c r="KC11" s="182"/>
      <c r="KD11" s="182"/>
      <c r="KE11" s="182"/>
      <c r="KF11" s="182"/>
      <c r="KG11" s="182"/>
      <c r="KH11" s="182"/>
      <c r="KI11" s="182"/>
      <c r="KJ11" s="182"/>
      <c r="KK11" s="182"/>
      <c r="KL11" s="182"/>
      <c r="KM11" s="182"/>
      <c r="KN11" s="182"/>
      <c r="KO11" s="182"/>
      <c r="KP11" s="182"/>
      <c r="KQ11" s="182"/>
      <c r="KR11" s="182"/>
      <c r="KS11" s="182"/>
      <c r="KT11" s="182"/>
      <c r="KU11" s="182"/>
      <c r="KV11" s="182"/>
      <c r="KW11" s="182"/>
      <c r="KX11" s="182"/>
      <c r="KY11" s="182"/>
      <c r="KZ11" s="182"/>
      <c r="LA11" s="182"/>
      <c r="LB11" s="182"/>
      <c r="LC11" s="182"/>
      <c r="LD11" s="182"/>
      <c r="LE11" s="182"/>
      <c r="LF11" s="182"/>
      <c r="LG11" s="182"/>
      <c r="LH11" s="182"/>
    </row>
    <row r="12" spans="1:320" s="178" customFormat="1" ht="14.1" customHeight="1" thickBot="1" x14ac:dyDescent="0.3">
      <c r="A12" s="181"/>
      <c r="B12" s="360"/>
      <c r="C12" s="180"/>
      <c r="D12" s="180"/>
      <c r="E12" s="180"/>
      <c r="F12" s="180"/>
      <c r="G12" s="180"/>
      <c r="H12" s="179" t="str">
        <f>IF($F$5&gt;0,"Dilution 1",0)</f>
        <v>Dilution 1</v>
      </c>
      <c r="I12" s="179"/>
      <c r="J12" s="179" t="str">
        <f>IF($F$5&gt;1,"Dilution 2",0)</f>
        <v>Dilution 2</v>
      </c>
      <c r="K12" s="179"/>
      <c r="L12" s="179" t="str">
        <f>IF($F$5&gt;2,"Dilution 3",0)</f>
        <v>Dilution 3</v>
      </c>
      <c r="M12" s="179"/>
      <c r="N12" s="179" t="str">
        <f>IF($F$5&gt;3,"Dilution 4",0)</f>
        <v>Dilution 4</v>
      </c>
      <c r="O12" s="179"/>
      <c r="P12" s="179" t="str">
        <f>IF($F$5&gt;4,"Dilution 5",0)</f>
        <v>Dilution 5</v>
      </c>
      <c r="Q12" s="179"/>
      <c r="R12" s="179" t="str">
        <f>IF($F$5&gt;5,"Dilution 6",0)</f>
        <v>Dilution 6</v>
      </c>
      <c r="S12" s="179"/>
      <c r="T12" s="179" t="str">
        <f>IF($F$5&gt;6,"Dilution 7",0)</f>
        <v>Dilution 7</v>
      </c>
      <c r="U12" s="179"/>
      <c r="V12" s="179">
        <f>IF($F$5&gt;7,"Dilution 8",0)</f>
        <v>0</v>
      </c>
      <c r="W12" s="179"/>
      <c r="X12" s="179" t="str">
        <f>IF($F$5&gt;8,"Dilution 9"," ")</f>
        <v xml:space="preserve"> </v>
      </c>
      <c r="Y12" s="179"/>
      <c r="Z12" s="179" t="str">
        <f>IF($F$5&gt;9,"Dilution 10"," ")</f>
        <v xml:space="preserve"> </v>
      </c>
      <c r="AA12" s="179"/>
      <c r="AB12" s="179" t="str">
        <f>IF($F$5&gt;10,"Dilution 11"," ")</f>
        <v xml:space="preserve"> </v>
      </c>
      <c r="AC12" s="179"/>
      <c r="AD12" s="179" t="str">
        <f>IF($F$5&gt;11,"Dilution 12"," ")</f>
        <v xml:space="preserve"> </v>
      </c>
      <c r="AE12" s="179"/>
      <c r="AF12" s="179"/>
      <c r="AG12" s="168"/>
      <c r="AH12" s="168"/>
      <c r="AI12" s="168"/>
      <c r="AJ12" s="168"/>
      <c r="AK12" s="168"/>
      <c r="AL12" s="168"/>
      <c r="AM12" s="168"/>
      <c r="AN12" s="168"/>
      <c r="AO12" s="168"/>
      <c r="AP12" s="168"/>
      <c r="AQ12" s="168"/>
      <c r="AR12" s="168"/>
      <c r="AS12" s="168"/>
      <c r="AT12" s="168"/>
      <c r="AU12" s="168"/>
      <c r="AV12" s="168"/>
      <c r="AW12" s="168"/>
      <c r="AX12" s="168"/>
      <c r="AY12" s="168"/>
      <c r="AZ12" s="168"/>
      <c r="BA12" s="168"/>
      <c r="BB12" s="168"/>
      <c r="BC12" s="168"/>
      <c r="BD12" s="168"/>
      <c r="BE12" s="168"/>
      <c r="BF12" s="168"/>
      <c r="BG12" s="168"/>
      <c r="BH12" s="168"/>
      <c r="BI12" s="168"/>
      <c r="BJ12" s="168"/>
      <c r="BK12" s="168"/>
      <c r="BL12" s="168"/>
      <c r="BM12" s="168"/>
      <c r="BN12" s="168"/>
      <c r="BO12" s="168"/>
      <c r="BP12" s="168"/>
      <c r="BQ12" s="168"/>
      <c r="BR12" s="168"/>
      <c r="BS12" s="168"/>
      <c r="BT12" s="168"/>
      <c r="BU12" s="168"/>
      <c r="BV12" s="168"/>
      <c r="BW12" s="168"/>
      <c r="BX12" s="168"/>
      <c r="BY12" s="168"/>
      <c r="BZ12" s="168"/>
      <c r="CA12" s="168"/>
      <c r="CB12" s="168"/>
      <c r="CC12" s="168"/>
      <c r="CD12" s="168"/>
      <c r="CE12" s="168"/>
      <c r="CF12" s="168"/>
      <c r="CG12" s="168"/>
      <c r="CH12" s="168"/>
      <c r="CI12" s="168"/>
      <c r="CJ12" s="168"/>
      <c r="CK12" s="168"/>
      <c r="CL12" s="168"/>
      <c r="CM12" s="168"/>
      <c r="CN12" s="168"/>
      <c r="CO12" s="168"/>
      <c r="CP12" s="168"/>
      <c r="CQ12" s="168"/>
      <c r="CR12" s="168"/>
      <c r="CS12" s="168"/>
      <c r="CT12" s="168"/>
      <c r="CU12" s="168"/>
      <c r="CV12" s="168"/>
      <c r="CW12" s="168"/>
      <c r="CX12" s="168"/>
      <c r="CY12" s="168"/>
      <c r="CZ12" s="168"/>
      <c r="DA12" s="168"/>
      <c r="DB12" s="168"/>
      <c r="DC12" s="168"/>
      <c r="DD12" s="168"/>
      <c r="DE12" s="168"/>
      <c r="DF12" s="168"/>
      <c r="DG12" s="168"/>
      <c r="DH12" s="168"/>
      <c r="DI12" s="168"/>
      <c r="DJ12" s="168"/>
      <c r="DK12" s="168"/>
      <c r="DL12" s="168"/>
      <c r="DM12" s="168"/>
      <c r="DN12" s="168"/>
      <c r="DO12" s="168"/>
      <c r="DP12" s="168"/>
      <c r="DQ12" s="168"/>
      <c r="DR12" s="168"/>
      <c r="DS12" s="168"/>
      <c r="DT12" s="168"/>
      <c r="DU12" s="168"/>
      <c r="DV12" s="168"/>
      <c r="DW12" s="168"/>
      <c r="DX12" s="168"/>
      <c r="DY12" s="168"/>
      <c r="DZ12" s="168"/>
      <c r="EA12" s="168"/>
      <c r="EB12" s="168"/>
      <c r="EC12" s="168"/>
      <c r="ED12" s="168"/>
      <c r="EE12" s="168"/>
      <c r="EF12" s="168"/>
      <c r="EG12" s="168"/>
      <c r="EH12" s="168"/>
      <c r="EI12" s="168"/>
      <c r="EJ12" s="168"/>
      <c r="EK12" s="168"/>
      <c r="EL12" s="168"/>
      <c r="EM12" s="168"/>
      <c r="EN12" s="168"/>
      <c r="EO12" s="168"/>
      <c r="EP12" s="168"/>
      <c r="EQ12" s="168"/>
      <c r="ER12" s="168"/>
      <c r="ES12" s="168"/>
      <c r="ET12" s="168"/>
      <c r="EU12" s="168"/>
      <c r="EV12" s="168"/>
      <c r="EW12" s="168"/>
      <c r="EX12" s="168"/>
      <c r="EY12" s="168"/>
      <c r="EZ12" s="168"/>
      <c r="FA12" s="168"/>
      <c r="FB12" s="168"/>
      <c r="FC12" s="168"/>
      <c r="FD12" s="168"/>
      <c r="FE12" s="168"/>
      <c r="FF12" s="168"/>
      <c r="FG12" s="168"/>
      <c r="FH12" s="168"/>
      <c r="FI12" s="168"/>
      <c r="FJ12" s="168"/>
      <c r="FK12" s="168"/>
      <c r="FL12" s="168"/>
      <c r="FM12" s="168"/>
      <c r="FN12" s="168"/>
      <c r="FO12" s="168"/>
      <c r="FP12" s="168"/>
      <c r="FQ12" s="168"/>
      <c r="FR12" s="168"/>
      <c r="FS12" s="168"/>
      <c r="FT12" s="168"/>
      <c r="FU12" s="168"/>
      <c r="FV12" s="168"/>
      <c r="FW12" s="168"/>
      <c r="FX12" s="168"/>
      <c r="FY12" s="168"/>
      <c r="FZ12" s="168"/>
      <c r="GA12" s="168"/>
      <c r="GB12" s="168"/>
      <c r="GC12" s="168"/>
      <c r="GD12" s="168"/>
      <c r="GE12" s="168"/>
      <c r="GF12" s="168"/>
      <c r="GG12" s="168"/>
      <c r="GH12" s="168"/>
      <c r="GI12" s="168"/>
      <c r="GJ12" s="168"/>
      <c r="GK12" s="168"/>
      <c r="GL12" s="168"/>
      <c r="GM12" s="168"/>
      <c r="GN12" s="168"/>
      <c r="GO12" s="168"/>
      <c r="GP12" s="168"/>
      <c r="GQ12" s="168"/>
      <c r="GR12" s="168"/>
      <c r="GS12" s="168"/>
      <c r="GT12" s="168"/>
      <c r="GU12" s="168"/>
      <c r="GV12" s="168"/>
      <c r="GW12" s="168"/>
      <c r="GX12" s="168"/>
      <c r="GY12" s="168"/>
      <c r="GZ12" s="168"/>
      <c r="HA12" s="168"/>
      <c r="HB12" s="168"/>
      <c r="HC12" s="168"/>
      <c r="HD12" s="168"/>
      <c r="HE12" s="168"/>
      <c r="HF12" s="168"/>
      <c r="HG12" s="168"/>
      <c r="HH12" s="168"/>
      <c r="HI12" s="168"/>
      <c r="HJ12" s="168"/>
      <c r="HK12" s="168"/>
      <c r="HL12" s="168"/>
      <c r="HM12" s="168"/>
      <c r="HN12" s="168"/>
      <c r="HO12" s="168"/>
      <c r="HP12" s="168"/>
      <c r="HQ12" s="168"/>
      <c r="HR12" s="168"/>
      <c r="HS12" s="168"/>
      <c r="HT12" s="168"/>
      <c r="HU12" s="168"/>
      <c r="HV12" s="168"/>
      <c r="HW12" s="168"/>
      <c r="HX12" s="168"/>
      <c r="HY12" s="168"/>
      <c r="HZ12" s="168"/>
      <c r="IA12" s="168"/>
      <c r="IB12" s="168"/>
      <c r="IC12" s="168"/>
      <c r="ID12" s="168"/>
      <c r="IE12" s="168"/>
      <c r="IF12" s="168"/>
      <c r="IG12" s="168"/>
      <c r="IH12" s="168"/>
      <c r="II12" s="168"/>
      <c r="IJ12" s="168"/>
      <c r="IK12" s="168"/>
      <c r="IL12" s="168"/>
      <c r="IM12" s="168"/>
      <c r="IN12" s="168"/>
      <c r="IO12" s="168"/>
      <c r="IP12" s="168"/>
      <c r="IQ12" s="168"/>
      <c r="IR12" s="168"/>
      <c r="IS12" s="168"/>
      <c r="IT12" s="168"/>
      <c r="IU12" s="168"/>
      <c r="IV12" s="168"/>
      <c r="IW12" s="168"/>
      <c r="IX12" s="168"/>
      <c r="IY12" s="168"/>
      <c r="IZ12" s="168"/>
      <c r="JA12" s="168"/>
      <c r="JB12" s="168"/>
      <c r="JC12" s="168"/>
      <c r="JD12" s="168"/>
      <c r="JE12" s="168"/>
      <c r="JF12" s="168"/>
      <c r="JG12" s="168"/>
      <c r="JH12" s="168"/>
      <c r="JI12" s="168"/>
      <c r="JJ12" s="168"/>
      <c r="JK12" s="168"/>
      <c r="JL12" s="168"/>
      <c r="JM12" s="168"/>
      <c r="JN12" s="168"/>
      <c r="JO12" s="168"/>
      <c r="JP12" s="168"/>
      <c r="JQ12" s="168"/>
      <c r="JR12" s="168"/>
      <c r="JS12" s="168"/>
      <c r="JT12" s="168"/>
      <c r="JU12" s="168"/>
      <c r="JV12" s="168"/>
      <c r="JW12" s="168"/>
      <c r="JX12" s="168"/>
      <c r="JY12" s="168"/>
      <c r="JZ12" s="168"/>
      <c r="KA12" s="168"/>
      <c r="KB12" s="168"/>
      <c r="KC12" s="168"/>
      <c r="KD12" s="168"/>
      <c r="KE12" s="168"/>
      <c r="KF12" s="168"/>
      <c r="KG12" s="168"/>
      <c r="KH12" s="168"/>
      <c r="KI12" s="168"/>
      <c r="KJ12" s="168"/>
      <c r="KK12" s="168"/>
      <c r="KL12" s="168"/>
      <c r="KM12" s="168"/>
      <c r="KN12" s="168"/>
      <c r="KO12" s="168"/>
      <c r="KP12" s="168"/>
      <c r="KQ12" s="168"/>
      <c r="KR12" s="168"/>
      <c r="KS12" s="168"/>
      <c r="KT12" s="168"/>
      <c r="KU12" s="168"/>
      <c r="KV12" s="168"/>
      <c r="KW12" s="168"/>
      <c r="KX12" s="168"/>
      <c r="KY12" s="168"/>
      <c r="KZ12" s="168"/>
      <c r="LA12" s="168"/>
      <c r="LB12" s="168"/>
      <c r="LC12" s="168"/>
      <c r="LD12" s="168"/>
      <c r="LE12" s="168"/>
      <c r="LF12" s="168"/>
      <c r="LG12" s="168"/>
      <c r="LH12" s="168"/>
    </row>
    <row r="13" spans="1:320" s="259" customFormat="1" ht="45" customHeight="1" thickTop="1" thickBot="1" x14ac:dyDescent="0.4">
      <c r="A13" s="284" t="s">
        <v>108</v>
      </c>
      <c r="B13" s="286" t="s">
        <v>107</v>
      </c>
      <c r="C13" s="361" t="s">
        <v>117</v>
      </c>
      <c r="D13" s="361"/>
      <c r="E13" s="361"/>
      <c r="F13" s="361"/>
      <c r="G13" s="361"/>
      <c r="H13" s="255">
        <f>IF(F5&lt;2,(F7*F6-F10),H22-F10)</f>
        <v>739.0250350403652</v>
      </c>
      <c r="I13" s="416">
        <f>IFERROR(H13, "This table is not meant for single dilutions. You're on your own.")</f>
        <v>739.0250350403652</v>
      </c>
      <c r="J13" s="252">
        <f>IF($F$5&gt;=2,J22-I10,0)</f>
        <v>400</v>
      </c>
      <c r="K13" s="256"/>
      <c r="L13" s="252">
        <f>IF($F$5&gt;=3,L22-K10,0)</f>
        <v>400</v>
      </c>
      <c r="M13" s="257"/>
      <c r="N13" s="252">
        <f>IF($F$5&gt;=4,N22-M10,0)</f>
        <v>400</v>
      </c>
      <c r="O13" s="257"/>
      <c r="P13" s="252">
        <f>IF($F$5&gt;=5,P22-O10,0)</f>
        <v>400</v>
      </c>
      <c r="Q13" s="257"/>
      <c r="R13" s="252">
        <f>IF($F$5&gt;=6,R22-Q10,0)</f>
        <v>400</v>
      </c>
      <c r="S13" s="257"/>
      <c r="T13" s="252">
        <f>IF($F$5&gt;=7,T22-S10,0)</f>
        <v>400</v>
      </c>
      <c r="U13" s="257"/>
      <c r="V13" s="252">
        <f>IF($F$5&gt;=8,V22-U10,0)</f>
        <v>0</v>
      </c>
      <c r="W13" s="257"/>
      <c r="X13" s="252">
        <f>IF($F$5&gt;=9,X22-W10,0)</f>
        <v>0</v>
      </c>
      <c r="Y13" s="257"/>
      <c r="Z13" s="252">
        <f>IF($F$5&gt;=10,Z22-Y10,0)</f>
        <v>0</v>
      </c>
      <c r="AA13" s="257"/>
      <c r="AB13" s="252">
        <f>IF($F$5&gt;=11,AB22-AA10,0)</f>
        <v>0</v>
      </c>
      <c r="AC13" s="257"/>
      <c r="AD13" s="252">
        <f>IF($F$5&gt;=12,AD22-AC10,0)</f>
        <v>0</v>
      </c>
      <c r="AE13" s="257"/>
      <c r="AF13" s="257"/>
      <c r="AG13" s="258"/>
      <c r="AH13" s="258"/>
      <c r="AI13" s="258"/>
      <c r="AJ13" s="258"/>
      <c r="AK13" s="258"/>
      <c r="AL13" s="258"/>
      <c r="AM13" s="258"/>
      <c r="AN13" s="258"/>
      <c r="AO13" s="258"/>
      <c r="AP13" s="258"/>
      <c r="AQ13" s="258"/>
      <c r="AR13" s="258"/>
      <c r="AS13" s="258"/>
      <c r="AT13" s="258"/>
      <c r="AU13" s="258"/>
      <c r="AV13" s="258"/>
      <c r="AW13" s="258"/>
      <c r="AX13" s="258"/>
      <c r="AY13" s="258"/>
      <c r="AZ13" s="258"/>
      <c r="BA13" s="258"/>
      <c r="BB13" s="258"/>
      <c r="BC13" s="258"/>
      <c r="BD13" s="258"/>
      <c r="BE13" s="258"/>
      <c r="BF13" s="258"/>
      <c r="BG13" s="258"/>
      <c r="BH13" s="258"/>
      <c r="BI13" s="258"/>
      <c r="BJ13" s="258"/>
      <c r="BK13" s="258"/>
      <c r="BL13" s="258"/>
      <c r="BM13" s="258"/>
      <c r="BN13" s="258"/>
      <c r="BO13" s="258"/>
      <c r="BP13" s="258"/>
      <c r="BQ13" s="258"/>
      <c r="BR13" s="258"/>
      <c r="BS13" s="258"/>
      <c r="BT13" s="258"/>
      <c r="BU13" s="258"/>
      <c r="BV13" s="258"/>
      <c r="BW13" s="258"/>
      <c r="BX13" s="258"/>
      <c r="BY13" s="258"/>
      <c r="BZ13" s="258"/>
      <c r="CA13" s="258"/>
      <c r="CB13" s="258"/>
      <c r="CC13" s="258"/>
      <c r="CD13" s="258"/>
      <c r="CE13" s="258"/>
      <c r="CF13" s="258"/>
      <c r="CG13" s="258"/>
      <c r="CH13" s="258"/>
      <c r="CI13" s="258"/>
      <c r="CJ13" s="258"/>
      <c r="CK13" s="258"/>
      <c r="CL13" s="258"/>
      <c r="CM13" s="258"/>
      <c r="CN13" s="258"/>
      <c r="CO13" s="258"/>
      <c r="CP13" s="258"/>
      <c r="CQ13" s="258"/>
      <c r="CR13" s="258"/>
      <c r="CS13" s="258"/>
      <c r="CT13" s="258"/>
      <c r="CU13" s="258"/>
      <c r="CV13" s="258"/>
      <c r="CW13" s="258"/>
      <c r="CX13" s="258"/>
      <c r="CY13" s="258"/>
      <c r="CZ13" s="258"/>
      <c r="DA13" s="258"/>
      <c r="DB13" s="258"/>
      <c r="DC13" s="258"/>
      <c r="DD13" s="258"/>
      <c r="DE13" s="258"/>
      <c r="DF13" s="258"/>
      <c r="DG13" s="258"/>
      <c r="DH13" s="258"/>
      <c r="DI13" s="258"/>
      <c r="DJ13" s="258"/>
      <c r="DK13" s="258"/>
      <c r="DL13" s="258"/>
      <c r="DM13" s="258"/>
      <c r="DN13" s="258"/>
      <c r="DO13" s="258"/>
      <c r="DP13" s="258"/>
      <c r="DQ13" s="258"/>
      <c r="DR13" s="258"/>
      <c r="DS13" s="258"/>
      <c r="DT13" s="258"/>
      <c r="DU13" s="258"/>
      <c r="DV13" s="258"/>
      <c r="DW13" s="258"/>
      <c r="DX13" s="258"/>
      <c r="DY13" s="258"/>
      <c r="DZ13" s="258"/>
      <c r="EA13" s="258"/>
      <c r="EB13" s="258"/>
      <c r="EC13" s="258"/>
      <c r="ED13" s="258"/>
      <c r="EE13" s="258"/>
      <c r="EF13" s="258"/>
      <c r="EG13" s="258"/>
      <c r="EH13" s="258"/>
      <c r="EI13" s="258"/>
      <c r="EJ13" s="258"/>
      <c r="EK13" s="258"/>
      <c r="EL13" s="258"/>
      <c r="EM13" s="258"/>
      <c r="EN13" s="258"/>
      <c r="EO13" s="258"/>
      <c r="EP13" s="258"/>
      <c r="EQ13" s="258"/>
      <c r="ER13" s="258"/>
      <c r="ES13" s="258"/>
      <c r="ET13" s="258"/>
      <c r="EU13" s="258"/>
      <c r="EV13" s="258"/>
      <c r="EW13" s="258"/>
      <c r="EX13" s="258"/>
      <c r="EY13" s="258"/>
      <c r="EZ13" s="258"/>
      <c r="FA13" s="258"/>
      <c r="FB13" s="258"/>
      <c r="FC13" s="258"/>
      <c r="FD13" s="258"/>
      <c r="FE13" s="258"/>
      <c r="FF13" s="258"/>
      <c r="FG13" s="258"/>
      <c r="FH13" s="258"/>
      <c r="FI13" s="258"/>
      <c r="FJ13" s="258"/>
      <c r="FK13" s="258"/>
      <c r="FL13" s="258"/>
      <c r="FM13" s="258"/>
      <c r="FN13" s="258"/>
      <c r="FO13" s="258"/>
      <c r="FP13" s="258"/>
      <c r="FQ13" s="258"/>
      <c r="FR13" s="258"/>
      <c r="FS13" s="258"/>
      <c r="FT13" s="258"/>
      <c r="FU13" s="258"/>
      <c r="FV13" s="258"/>
      <c r="FW13" s="258"/>
      <c r="FX13" s="258"/>
      <c r="FY13" s="258"/>
      <c r="FZ13" s="258"/>
      <c r="GA13" s="258"/>
      <c r="GB13" s="258"/>
      <c r="GC13" s="258"/>
      <c r="GD13" s="258"/>
      <c r="GE13" s="258"/>
      <c r="GF13" s="258"/>
      <c r="GG13" s="258"/>
      <c r="GH13" s="258"/>
      <c r="GI13" s="258"/>
      <c r="GJ13" s="258"/>
      <c r="GK13" s="258"/>
      <c r="GL13" s="258"/>
      <c r="GM13" s="258"/>
      <c r="GN13" s="258"/>
      <c r="GO13" s="258"/>
      <c r="GP13" s="258"/>
      <c r="GQ13" s="258"/>
      <c r="GR13" s="258"/>
      <c r="GS13" s="258"/>
      <c r="GT13" s="258"/>
      <c r="GU13" s="258"/>
      <c r="GV13" s="258"/>
      <c r="GW13" s="258"/>
      <c r="GX13" s="258"/>
      <c r="GY13" s="258"/>
      <c r="GZ13" s="258"/>
      <c r="HA13" s="258"/>
      <c r="HB13" s="258"/>
      <c r="HC13" s="258"/>
      <c r="HD13" s="258"/>
      <c r="HE13" s="258"/>
      <c r="HF13" s="258"/>
      <c r="HG13" s="258"/>
      <c r="HH13" s="258"/>
      <c r="HI13" s="258"/>
      <c r="HJ13" s="258"/>
      <c r="HK13" s="258"/>
      <c r="HL13" s="258"/>
      <c r="HM13" s="258"/>
      <c r="HN13" s="258"/>
      <c r="HO13" s="258"/>
      <c r="HP13" s="258"/>
      <c r="HQ13" s="258"/>
      <c r="HR13" s="258"/>
      <c r="HS13" s="258"/>
      <c r="HT13" s="258"/>
      <c r="HU13" s="258"/>
      <c r="HV13" s="258"/>
      <c r="HW13" s="258"/>
      <c r="HX13" s="258"/>
      <c r="HY13" s="258"/>
      <c r="HZ13" s="258"/>
      <c r="IA13" s="258"/>
      <c r="IB13" s="258"/>
      <c r="IC13" s="258"/>
      <c r="ID13" s="258"/>
      <c r="IE13" s="258"/>
      <c r="IF13" s="258"/>
      <c r="IG13" s="258"/>
      <c r="IH13" s="258"/>
      <c r="II13" s="258"/>
      <c r="IJ13" s="258"/>
      <c r="IK13" s="258"/>
      <c r="IL13" s="258"/>
      <c r="IM13" s="258"/>
      <c r="IN13" s="258"/>
      <c r="IO13" s="258"/>
      <c r="IP13" s="258"/>
      <c r="IQ13" s="258"/>
      <c r="IR13" s="258"/>
      <c r="IS13" s="258"/>
      <c r="IT13" s="258"/>
      <c r="IU13" s="258"/>
      <c r="IV13" s="258"/>
      <c r="IW13" s="258"/>
      <c r="IX13" s="258"/>
      <c r="IY13" s="258"/>
      <c r="IZ13" s="258"/>
      <c r="JA13" s="258"/>
      <c r="JB13" s="258"/>
      <c r="JC13" s="258"/>
      <c r="JD13" s="258"/>
      <c r="JE13" s="258"/>
      <c r="JF13" s="258"/>
      <c r="JG13" s="258"/>
      <c r="JH13" s="258"/>
      <c r="JI13" s="258"/>
      <c r="JJ13" s="258"/>
      <c r="JK13" s="258"/>
      <c r="JL13" s="258"/>
      <c r="JM13" s="258"/>
      <c r="JN13" s="258"/>
      <c r="JO13" s="258"/>
      <c r="JP13" s="258"/>
      <c r="JQ13" s="258"/>
      <c r="JR13" s="258"/>
      <c r="JS13" s="258"/>
      <c r="JT13" s="258"/>
      <c r="JU13" s="258"/>
      <c r="JV13" s="258"/>
      <c r="JW13" s="258"/>
      <c r="JX13" s="258"/>
      <c r="JY13" s="258"/>
      <c r="JZ13" s="258"/>
      <c r="KA13" s="258"/>
      <c r="KB13" s="258"/>
      <c r="KC13" s="258"/>
      <c r="KD13" s="258"/>
      <c r="KE13" s="258"/>
      <c r="KF13" s="258"/>
      <c r="KG13" s="258"/>
      <c r="KH13" s="258"/>
      <c r="KI13" s="258"/>
      <c r="KJ13" s="258"/>
      <c r="KK13" s="258"/>
      <c r="KL13" s="258"/>
      <c r="KM13" s="258"/>
      <c r="KN13" s="258"/>
      <c r="KO13" s="258"/>
      <c r="KP13" s="258"/>
      <c r="KQ13" s="258"/>
      <c r="KR13" s="258"/>
      <c r="KS13" s="258"/>
      <c r="KT13" s="258"/>
      <c r="KU13" s="258"/>
      <c r="KV13" s="258"/>
      <c r="KW13" s="258"/>
      <c r="KX13" s="258"/>
      <c r="KY13" s="258"/>
      <c r="KZ13" s="258"/>
      <c r="LA13" s="258"/>
      <c r="LB13" s="258"/>
      <c r="LC13" s="258"/>
      <c r="LD13" s="258"/>
      <c r="LE13" s="258"/>
      <c r="LF13" s="258"/>
      <c r="LG13" s="258"/>
      <c r="LH13" s="258"/>
    </row>
    <row r="14" spans="1:320" s="259" customFormat="1" ht="45" customHeight="1" thickTop="1" x14ac:dyDescent="0.35">
      <c r="A14" s="253"/>
      <c r="B14" s="370" t="s">
        <v>149</v>
      </c>
      <c r="C14" s="371"/>
      <c r="D14" s="371"/>
      <c r="E14" s="371"/>
      <c r="F14" s="371"/>
      <c r="G14" s="371"/>
      <c r="H14" s="267">
        <f>IF(F5&lt;2,F6*F7,H22-I10)</f>
        <v>400</v>
      </c>
      <c r="I14" s="416"/>
      <c r="J14" s="268">
        <f>IF((AND($F$5&gt;=2,F25="off")),$F$7*$F$6,IF((AND($F$5&gt;=2,F25="on")),$F$7*$F$26,0))</f>
        <v>400</v>
      </c>
      <c r="K14" s="269"/>
      <c r="L14" s="268">
        <f>IF($F$5&gt;=3,$J$14,0)</f>
        <v>400</v>
      </c>
      <c r="M14" s="269"/>
      <c r="N14" s="268">
        <f>IF($F$5&gt;=4,$J$14,0)</f>
        <v>400</v>
      </c>
      <c r="O14" s="269"/>
      <c r="P14" s="268">
        <f>IF($F$5&gt;=5,$J$14,0)</f>
        <v>400</v>
      </c>
      <c r="Q14" s="269"/>
      <c r="R14" s="268">
        <f>IF($F$5&gt;=6,$J$14,0)</f>
        <v>400</v>
      </c>
      <c r="S14" s="269"/>
      <c r="T14" s="268">
        <f>IF($F$5&gt;=7,$J$14,0)</f>
        <v>400</v>
      </c>
      <c r="U14" s="269"/>
      <c r="V14" s="268">
        <f>IF($F$5&gt;=8,$J$14,0)</f>
        <v>0</v>
      </c>
      <c r="W14" s="269"/>
      <c r="X14" s="268">
        <f>IF($F$5&gt;=9,$J$14,0)</f>
        <v>0</v>
      </c>
      <c r="Y14" s="269"/>
      <c r="Z14" s="268">
        <f>IF($F$5&gt;=10,$J$14,0)</f>
        <v>0</v>
      </c>
      <c r="AA14" s="269"/>
      <c r="AB14" s="268">
        <f>IF($F$5&gt;=11,$J$14,0)</f>
        <v>0</v>
      </c>
      <c r="AC14" s="269"/>
      <c r="AD14" s="268">
        <f>IF($F$5&gt;=12,$J$14,0)</f>
        <v>0</v>
      </c>
      <c r="AE14" s="269"/>
      <c r="AF14" s="269"/>
      <c r="AG14" s="270"/>
      <c r="AH14" s="270"/>
      <c r="AI14" s="270"/>
      <c r="AJ14" s="270"/>
      <c r="AK14" s="270"/>
      <c r="AL14" s="270"/>
      <c r="AM14" s="270"/>
      <c r="AN14" s="270"/>
      <c r="AO14" s="270"/>
      <c r="AP14" s="270"/>
      <c r="AQ14" s="270"/>
      <c r="AR14" s="270"/>
      <c r="AS14" s="270"/>
      <c r="AT14" s="270"/>
      <c r="AU14" s="270"/>
      <c r="AV14" s="270"/>
      <c r="AW14" s="270"/>
      <c r="AX14" s="270"/>
      <c r="AY14" s="270"/>
      <c r="AZ14" s="270"/>
      <c r="BA14" s="270"/>
      <c r="BB14" s="270"/>
      <c r="BC14" s="270"/>
      <c r="BD14" s="270"/>
      <c r="BE14" s="270"/>
      <c r="BF14" s="270"/>
      <c r="BG14" s="270"/>
      <c r="BH14" s="270"/>
      <c r="BI14" s="270"/>
      <c r="BJ14" s="270"/>
      <c r="BK14" s="270"/>
      <c r="BL14" s="270"/>
      <c r="BM14" s="270"/>
      <c r="BN14" s="270"/>
      <c r="BO14" s="270"/>
      <c r="BP14" s="270"/>
      <c r="BQ14" s="270"/>
      <c r="BR14" s="270"/>
      <c r="BS14" s="270"/>
      <c r="BT14" s="270"/>
      <c r="BU14" s="270"/>
      <c r="BV14" s="270"/>
      <c r="BW14" s="270"/>
      <c r="BX14" s="270"/>
      <c r="BY14" s="270"/>
      <c r="BZ14" s="270"/>
      <c r="CA14" s="270"/>
      <c r="CB14" s="270"/>
      <c r="CC14" s="270"/>
      <c r="CD14" s="270"/>
      <c r="CE14" s="270"/>
      <c r="CF14" s="270"/>
      <c r="CG14" s="270"/>
      <c r="CH14" s="270"/>
      <c r="CI14" s="270"/>
      <c r="CJ14" s="270"/>
      <c r="CK14" s="270"/>
      <c r="CL14" s="270"/>
      <c r="CM14" s="270"/>
      <c r="CN14" s="270"/>
      <c r="CO14" s="270"/>
      <c r="CP14" s="270"/>
      <c r="CQ14" s="270"/>
      <c r="CR14" s="270"/>
      <c r="CS14" s="270"/>
      <c r="CT14" s="270"/>
      <c r="CU14" s="270"/>
      <c r="CV14" s="270"/>
      <c r="CW14" s="270"/>
      <c r="CX14" s="270"/>
      <c r="CY14" s="270"/>
      <c r="CZ14" s="270"/>
      <c r="DA14" s="270"/>
      <c r="DB14" s="270"/>
      <c r="DC14" s="270"/>
      <c r="DD14" s="270"/>
      <c r="DE14" s="270"/>
      <c r="DF14" s="270"/>
      <c r="DG14" s="270"/>
      <c r="DH14" s="270"/>
      <c r="DI14" s="270"/>
      <c r="DJ14" s="270"/>
      <c r="DK14" s="270"/>
      <c r="DL14" s="270"/>
      <c r="DM14" s="270"/>
      <c r="DN14" s="270"/>
      <c r="DO14" s="270"/>
      <c r="DP14" s="270"/>
      <c r="DQ14" s="270"/>
      <c r="DR14" s="270"/>
      <c r="DS14" s="270"/>
      <c r="DT14" s="270"/>
      <c r="DU14" s="270"/>
      <c r="DV14" s="270"/>
      <c r="DW14" s="270"/>
      <c r="DX14" s="270"/>
      <c r="DY14" s="270"/>
      <c r="DZ14" s="270"/>
      <c r="EA14" s="270"/>
      <c r="EB14" s="270"/>
      <c r="EC14" s="270"/>
      <c r="ED14" s="270"/>
      <c r="EE14" s="270"/>
      <c r="EF14" s="270"/>
      <c r="EG14" s="270"/>
      <c r="EH14" s="270"/>
      <c r="EI14" s="270"/>
      <c r="EJ14" s="270"/>
      <c r="EK14" s="270"/>
      <c r="EL14" s="270"/>
      <c r="EM14" s="270"/>
      <c r="EN14" s="270"/>
      <c r="EO14" s="270"/>
      <c r="EP14" s="270"/>
      <c r="EQ14" s="270"/>
      <c r="ER14" s="270"/>
      <c r="ES14" s="270"/>
      <c r="ET14" s="270"/>
      <c r="EU14" s="270"/>
      <c r="EV14" s="270"/>
      <c r="EW14" s="270"/>
      <c r="EX14" s="270"/>
      <c r="EY14" s="270"/>
      <c r="EZ14" s="270"/>
      <c r="FA14" s="270"/>
      <c r="FB14" s="270"/>
      <c r="FC14" s="270"/>
      <c r="FD14" s="270"/>
      <c r="FE14" s="270"/>
      <c r="FF14" s="270"/>
      <c r="FG14" s="270"/>
      <c r="FH14" s="270"/>
      <c r="FI14" s="270"/>
      <c r="FJ14" s="270"/>
      <c r="FK14" s="270"/>
      <c r="FL14" s="270"/>
      <c r="FM14" s="270"/>
      <c r="FN14" s="270"/>
      <c r="FO14" s="270"/>
      <c r="FP14" s="270"/>
      <c r="FQ14" s="270"/>
      <c r="FR14" s="270"/>
      <c r="FS14" s="270"/>
      <c r="FT14" s="270"/>
      <c r="FU14" s="270"/>
      <c r="FV14" s="270"/>
      <c r="FW14" s="270"/>
      <c r="FX14" s="270"/>
      <c r="FY14" s="270"/>
      <c r="FZ14" s="270"/>
      <c r="GA14" s="270"/>
      <c r="GB14" s="270"/>
      <c r="GC14" s="270"/>
      <c r="GD14" s="270"/>
      <c r="GE14" s="270"/>
      <c r="GF14" s="270"/>
      <c r="GG14" s="270"/>
      <c r="GH14" s="270"/>
      <c r="GI14" s="270"/>
      <c r="GJ14" s="270"/>
      <c r="GK14" s="270"/>
      <c r="GL14" s="270"/>
      <c r="GM14" s="270"/>
      <c r="GN14" s="270"/>
      <c r="GO14" s="270"/>
      <c r="GP14" s="270"/>
      <c r="GQ14" s="270"/>
      <c r="GR14" s="270"/>
      <c r="GS14" s="270"/>
      <c r="GT14" s="270"/>
      <c r="GU14" s="270"/>
      <c r="GV14" s="270"/>
      <c r="GW14" s="270"/>
      <c r="GX14" s="270"/>
      <c r="GY14" s="270"/>
      <c r="GZ14" s="270"/>
      <c r="HA14" s="270"/>
      <c r="HB14" s="270"/>
      <c r="HC14" s="270"/>
      <c r="HD14" s="270"/>
      <c r="HE14" s="270"/>
      <c r="HF14" s="270"/>
      <c r="HG14" s="270"/>
      <c r="HH14" s="270"/>
      <c r="HI14" s="270"/>
      <c r="HJ14" s="270"/>
      <c r="HK14" s="270"/>
      <c r="HL14" s="270"/>
      <c r="HM14" s="270"/>
      <c r="HN14" s="270"/>
      <c r="HO14" s="270"/>
      <c r="HP14" s="270"/>
      <c r="HQ14" s="270"/>
      <c r="HR14" s="270"/>
      <c r="HS14" s="270"/>
      <c r="HT14" s="270"/>
      <c r="HU14" s="270"/>
      <c r="HV14" s="270"/>
      <c r="HW14" s="270"/>
      <c r="HX14" s="270"/>
      <c r="HY14" s="270"/>
      <c r="HZ14" s="270"/>
      <c r="IA14" s="270"/>
      <c r="IB14" s="270"/>
      <c r="IC14" s="270"/>
      <c r="ID14" s="270"/>
      <c r="IE14" s="270"/>
      <c r="IF14" s="270"/>
      <c r="IG14" s="270"/>
      <c r="IH14" s="270"/>
      <c r="II14" s="270"/>
      <c r="IJ14" s="270"/>
      <c r="IK14" s="270"/>
      <c r="IL14" s="270"/>
      <c r="IM14" s="270"/>
      <c r="IN14" s="270"/>
      <c r="IO14" s="270"/>
      <c r="IP14" s="270"/>
      <c r="IQ14" s="270"/>
      <c r="IR14" s="270"/>
      <c r="IS14" s="270"/>
      <c r="IT14" s="270"/>
      <c r="IU14" s="270"/>
      <c r="IV14" s="270"/>
      <c r="IW14" s="270"/>
      <c r="IX14" s="270"/>
      <c r="IY14" s="270"/>
      <c r="IZ14" s="270"/>
      <c r="JA14" s="270"/>
      <c r="JB14" s="270"/>
      <c r="JC14" s="270"/>
      <c r="JD14" s="270"/>
      <c r="JE14" s="270"/>
      <c r="JF14" s="270"/>
      <c r="JG14" s="270"/>
      <c r="JH14" s="270"/>
      <c r="JI14" s="270"/>
      <c r="JJ14" s="270"/>
      <c r="JK14" s="270"/>
      <c r="JL14" s="270"/>
      <c r="JM14" s="270"/>
      <c r="JN14" s="270"/>
      <c r="JO14" s="270"/>
      <c r="JP14" s="270"/>
      <c r="JQ14" s="270"/>
      <c r="JR14" s="270"/>
      <c r="JS14" s="270"/>
      <c r="JT14" s="270"/>
      <c r="JU14" s="270"/>
      <c r="JV14" s="270"/>
      <c r="JW14" s="270"/>
      <c r="JX14" s="270"/>
      <c r="JY14" s="270"/>
      <c r="JZ14" s="270"/>
      <c r="KA14" s="270"/>
      <c r="KB14" s="270"/>
      <c r="KC14" s="270"/>
      <c r="KD14" s="270"/>
      <c r="KE14" s="270"/>
      <c r="KF14" s="270"/>
      <c r="KG14" s="270"/>
      <c r="KH14" s="270"/>
      <c r="KI14" s="270"/>
      <c r="KJ14" s="270"/>
      <c r="KK14" s="270"/>
      <c r="KL14" s="270"/>
      <c r="KM14" s="270"/>
      <c r="KN14" s="270"/>
      <c r="KO14" s="270"/>
      <c r="KP14" s="270"/>
      <c r="KQ14" s="270"/>
      <c r="KR14" s="270"/>
      <c r="KS14" s="270"/>
      <c r="KT14" s="270"/>
      <c r="KU14" s="270"/>
      <c r="KV14" s="270"/>
      <c r="KW14" s="270"/>
      <c r="KX14" s="270"/>
      <c r="KY14" s="270"/>
      <c r="KZ14" s="270"/>
      <c r="LA14" s="270"/>
      <c r="LB14" s="270"/>
      <c r="LC14" s="270"/>
      <c r="LD14" s="270"/>
      <c r="LE14" s="270"/>
      <c r="LF14" s="270"/>
      <c r="LG14" s="270"/>
      <c r="LH14" s="270"/>
    </row>
    <row r="15" spans="1:320" s="169" customFormat="1" ht="30" hidden="1" customHeight="1" x14ac:dyDescent="0.3">
      <c r="A15" s="285"/>
      <c r="B15" s="370"/>
      <c r="C15" s="371"/>
      <c r="D15" s="371"/>
      <c r="E15" s="371"/>
      <c r="F15" s="371"/>
      <c r="G15" s="371"/>
      <c r="H15" s="174">
        <f>IF($F$5&gt;=H4,1/G3,0)</f>
        <v>0.01</v>
      </c>
      <c r="I15" s="416"/>
      <c r="J15" s="173">
        <f>IF($F$5&gt;J4,$H$15/($F$4^J4),0)</f>
        <v>4.6415888336127789E-3</v>
      </c>
      <c r="K15" s="172"/>
      <c r="L15" s="173">
        <f>IF($F$5&gt;L4,$H$15/($F$4^L4),0)</f>
        <v>2.1544346900318834E-3</v>
      </c>
      <c r="M15" s="172"/>
      <c r="N15" s="173">
        <f>IF($F$5&gt;N4,$H$15/($F$4^N4),0)</f>
        <v>9.999999999999998E-4</v>
      </c>
      <c r="O15" s="172"/>
      <c r="P15" s="173">
        <f>IF($F$5&gt;P4,$H$15/($F$4^P4),0)</f>
        <v>4.6415888336127779E-4</v>
      </c>
      <c r="Q15" s="172"/>
      <c r="R15" s="173">
        <f>IF($F$5&gt;R4,$H$15/($F$4^R4),0)</f>
        <v>2.1544346900318831E-4</v>
      </c>
      <c r="S15" s="172"/>
      <c r="T15" s="173">
        <f>IF($F$5&gt;T4,$H$15/($F$4^T4),0)</f>
        <v>9.9999999999999978E-5</v>
      </c>
      <c r="U15" s="172"/>
      <c r="V15" s="173">
        <f>IF($F$5&gt;V4,$H$15/($F$4^V4),0)</f>
        <v>0</v>
      </c>
      <c r="W15" s="172"/>
      <c r="X15" s="173">
        <f>IF($F$5&gt;X4,$H$15/($F$4^X4),0)</f>
        <v>0</v>
      </c>
      <c r="Y15" s="172"/>
      <c r="Z15" s="173">
        <f>IF($F$5&gt;Z4,$H$15/($F$4^Z4),0)</f>
        <v>0</v>
      </c>
      <c r="AA15" s="172"/>
      <c r="AB15" s="173">
        <f>IF($F$5&gt;AB4,$H$15/($F$4^AB4),0)</f>
        <v>0</v>
      </c>
      <c r="AC15" s="172"/>
      <c r="AD15" s="173">
        <f>IF($F$5&gt;AD4,$H$15/($F$4^AD4),0)</f>
        <v>0</v>
      </c>
      <c r="AE15" s="172"/>
      <c r="AF15" s="171"/>
      <c r="AG15" s="170"/>
      <c r="AH15" s="170"/>
      <c r="AI15" s="170"/>
      <c r="AJ15" s="170"/>
      <c r="AK15" s="170"/>
      <c r="AL15" s="170"/>
      <c r="AM15" s="170"/>
      <c r="AN15" s="170"/>
      <c r="AO15" s="170"/>
      <c r="AP15" s="170"/>
      <c r="AQ15" s="170"/>
      <c r="AR15" s="170"/>
      <c r="AS15" s="170"/>
      <c r="AT15" s="170"/>
      <c r="AU15" s="170"/>
      <c r="AV15" s="170"/>
      <c r="AW15" s="170"/>
      <c r="AX15" s="170"/>
      <c r="AY15" s="170"/>
      <c r="AZ15" s="170"/>
      <c r="BA15" s="170"/>
      <c r="BB15" s="170"/>
      <c r="BC15" s="170"/>
      <c r="BD15" s="170"/>
      <c r="BE15" s="170"/>
      <c r="BF15" s="170"/>
      <c r="BG15" s="170"/>
      <c r="BH15" s="170"/>
      <c r="BI15" s="170"/>
      <c r="BJ15" s="170"/>
      <c r="BK15" s="170"/>
      <c r="BL15" s="170"/>
      <c r="BM15" s="170"/>
      <c r="BN15" s="170"/>
      <c r="BO15" s="170"/>
      <c r="BP15" s="170"/>
      <c r="BQ15" s="170"/>
      <c r="BR15" s="170"/>
      <c r="BS15" s="170"/>
      <c r="BT15" s="170"/>
      <c r="BU15" s="170"/>
      <c r="BV15" s="170"/>
      <c r="BW15" s="170"/>
      <c r="BX15" s="170"/>
      <c r="BY15" s="170"/>
      <c r="BZ15" s="170"/>
      <c r="CA15" s="170"/>
      <c r="CB15" s="170"/>
      <c r="CC15" s="170"/>
      <c r="CD15" s="170"/>
      <c r="CE15" s="170"/>
      <c r="CF15" s="170"/>
      <c r="CG15" s="170"/>
      <c r="CH15" s="170"/>
      <c r="CI15" s="170"/>
      <c r="CJ15" s="170"/>
      <c r="CK15" s="170"/>
      <c r="CL15" s="170"/>
      <c r="CM15" s="170"/>
      <c r="CN15" s="170"/>
      <c r="CO15" s="170"/>
      <c r="CP15" s="170"/>
      <c r="CQ15" s="170"/>
      <c r="CR15" s="170"/>
      <c r="CS15" s="170"/>
      <c r="CT15" s="170"/>
      <c r="CU15" s="170"/>
      <c r="CV15" s="170"/>
      <c r="CW15" s="170"/>
      <c r="CX15" s="170"/>
      <c r="CY15" s="170"/>
      <c r="CZ15" s="170"/>
      <c r="DA15" s="170"/>
      <c r="DB15" s="170"/>
      <c r="DC15" s="170"/>
      <c r="DD15" s="170"/>
      <c r="DE15" s="170"/>
      <c r="DF15" s="170"/>
      <c r="DG15" s="170"/>
      <c r="DH15" s="170"/>
      <c r="DI15" s="170"/>
      <c r="DJ15" s="170"/>
      <c r="DK15" s="170"/>
      <c r="DL15" s="170"/>
      <c r="DM15" s="170"/>
      <c r="DN15" s="170"/>
      <c r="DO15" s="170"/>
      <c r="DP15" s="170"/>
      <c r="DQ15" s="170"/>
      <c r="DR15" s="170"/>
      <c r="DS15" s="170"/>
      <c r="DT15" s="170"/>
      <c r="DU15" s="170"/>
      <c r="DV15" s="170"/>
      <c r="DW15" s="170"/>
      <c r="DX15" s="170"/>
      <c r="DY15" s="170"/>
      <c r="DZ15" s="170"/>
      <c r="EA15" s="170"/>
      <c r="EB15" s="170"/>
      <c r="EC15" s="170"/>
      <c r="ED15" s="170"/>
      <c r="EE15" s="170"/>
      <c r="EF15" s="170"/>
      <c r="EG15" s="170"/>
      <c r="EH15" s="170"/>
      <c r="EI15" s="170"/>
      <c r="EJ15" s="170"/>
      <c r="EK15" s="170"/>
      <c r="EL15" s="170"/>
      <c r="EM15" s="170"/>
      <c r="EN15" s="170"/>
      <c r="EO15" s="170"/>
      <c r="EP15" s="170"/>
      <c r="EQ15" s="170"/>
      <c r="ER15" s="170"/>
      <c r="ES15" s="170"/>
      <c r="ET15" s="170"/>
      <c r="EU15" s="170"/>
      <c r="EV15" s="170"/>
      <c r="EW15" s="170"/>
      <c r="EX15" s="170"/>
      <c r="EY15" s="170"/>
      <c r="EZ15" s="170"/>
      <c r="FA15" s="170"/>
      <c r="FB15" s="170"/>
      <c r="FC15" s="170"/>
      <c r="FD15" s="170"/>
      <c r="FE15" s="170"/>
      <c r="FF15" s="170"/>
      <c r="FG15" s="170"/>
      <c r="FH15" s="170"/>
      <c r="FI15" s="170"/>
      <c r="FJ15" s="170"/>
      <c r="FK15" s="170"/>
      <c r="FL15" s="170"/>
      <c r="FM15" s="170"/>
      <c r="FN15" s="170"/>
      <c r="FO15" s="170"/>
      <c r="FP15" s="170"/>
      <c r="FQ15" s="170"/>
      <c r="FR15" s="170"/>
      <c r="FS15" s="170"/>
      <c r="FT15" s="170"/>
      <c r="FU15" s="170"/>
      <c r="FV15" s="170"/>
      <c r="FW15" s="170"/>
      <c r="FX15" s="170"/>
      <c r="FY15" s="170"/>
      <c r="FZ15" s="170"/>
      <c r="GA15" s="170"/>
      <c r="GB15" s="170"/>
      <c r="GC15" s="170"/>
      <c r="GD15" s="170"/>
      <c r="GE15" s="170"/>
      <c r="GF15" s="170"/>
      <c r="GG15" s="170"/>
      <c r="GH15" s="170"/>
      <c r="GI15" s="170"/>
      <c r="GJ15" s="170"/>
      <c r="GK15" s="170"/>
      <c r="GL15" s="170"/>
      <c r="GM15" s="170"/>
      <c r="GN15" s="170"/>
      <c r="GO15" s="170"/>
      <c r="GP15" s="170"/>
      <c r="GQ15" s="170"/>
      <c r="GR15" s="170"/>
      <c r="GS15" s="170"/>
      <c r="GT15" s="170"/>
      <c r="GU15" s="170"/>
      <c r="GV15" s="170"/>
      <c r="GW15" s="170"/>
      <c r="GX15" s="170"/>
      <c r="GY15" s="170"/>
      <c r="GZ15" s="170"/>
      <c r="HA15" s="170"/>
      <c r="HB15" s="170"/>
      <c r="HC15" s="170"/>
      <c r="HD15" s="170"/>
      <c r="HE15" s="170"/>
      <c r="HF15" s="170"/>
      <c r="HG15" s="170"/>
      <c r="HH15" s="170"/>
      <c r="HI15" s="170"/>
      <c r="HJ15" s="170"/>
      <c r="HK15" s="170"/>
      <c r="HL15" s="170"/>
      <c r="HM15" s="170"/>
      <c r="HN15" s="170"/>
      <c r="HO15" s="170"/>
      <c r="HP15" s="170"/>
      <c r="HQ15" s="170"/>
      <c r="HR15" s="170"/>
      <c r="HS15" s="170"/>
      <c r="HT15" s="170"/>
      <c r="HU15" s="170"/>
      <c r="HV15" s="170"/>
      <c r="HW15" s="170"/>
      <c r="HX15" s="170"/>
      <c r="HY15" s="170"/>
      <c r="HZ15" s="170"/>
      <c r="IA15" s="170"/>
      <c r="IB15" s="170"/>
      <c r="IC15" s="170"/>
      <c r="ID15" s="170"/>
      <c r="IE15" s="170"/>
      <c r="IF15" s="170"/>
      <c r="IG15" s="170"/>
      <c r="IH15" s="170"/>
      <c r="II15" s="170"/>
      <c r="IJ15" s="170"/>
      <c r="IK15" s="170"/>
      <c r="IL15" s="170"/>
      <c r="IM15" s="170"/>
      <c r="IN15" s="170"/>
      <c r="IO15" s="170"/>
      <c r="IP15" s="170"/>
      <c r="IQ15" s="170"/>
      <c r="IR15" s="170"/>
      <c r="IS15" s="170"/>
      <c r="IT15" s="170"/>
      <c r="IU15" s="170"/>
      <c r="IV15" s="170"/>
      <c r="IW15" s="170"/>
      <c r="IX15" s="170"/>
      <c r="IY15" s="170"/>
      <c r="IZ15" s="170"/>
      <c r="JA15" s="170"/>
      <c r="JB15" s="170"/>
      <c r="JC15" s="170"/>
      <c r="JD15" s="170"/>
      <c r="JE15" s="170"/>
      <c r="JF15" s="170"/>
      <c r="JG15" s="170"/>
      <c r="JH15" s="170"/>
      <c r="JI15" s="170"/>
      <c r="JJ15" s="170"/>
      <c r="JK15" s="170"/>
      <c r="JL15" s="170"/>
      <c r="JM15" s="170"/>
      <c r="JN15" s="170"/>
      <c r="JO15" s="170"/>
      <c r="JP15" s="170"/>
      <c r="JQ15" s="170"/>
      <c r="JR15" s="170"/>
      <c r="JS15" s="170"/>
      <c r="JT15" s="170"/>
      <c r="JU15" s="170"/>
      <c r="JV15" s="170"/>
      <c r="JW15" s="170"/>
      <c r="JX15" s="170"/>
      <c r="JY15" s="170"/>
      <c r="JZ15" s="170"/>
      <c r="KA15" s="170"/>
      <c r="KB15" s="170"/>
      <c r="KC15" s="170"/>
      <c r="KD15" s="170"/>
      <c r="KE15" s="170"/>
      <c r="KF15" s="170"/>
      <c r="KG15" s="170"/>
      <c r="KH15" s="170"/>
      <c r="KI15" s="170"/>
      <c r="KJ15" s="170"/>
      <c r="KK15" s="170"/>
      <c r="KL15" s="170"/>
      <c r="KM15" s="170"/>
      <c r="KN15" s="170"/>
      <c r="KO15" s="170"/>
      <c r="KP15" s="170"/>
      <c r="KQ15" s="170"/>
      <c r="KR15" s="170"/>
      <c r="KS15" s="170"/>
      <c r="KT15" s="170"/>
      <c r="KU15" s="170"/>
      <c r="KV15" s="170"/>
      <c r="KW15" s="170"/>
      <c r="KX15" s="170"/>
      <c r="KY15" s="170"/>
      <c r="KZ15" s="170"/>
      <c r="LA15" s="170"/>
      <c r="LB15" s="170"/>
      <c r="LC15" s="170"/>
      <c r="LD15" s="170"/>
      <c r="LE15" s="170"/>
      <c r="LF15" s="170"/>
      <c r="LG15" s="170"/>
      <c r="LH15" s="170"/>
    </row>
    <row r="16" spans="1:320" s="276" customFormat="1" ht="45" customHeight="1" x14ac:dyDescent="0.35">
      <c r="A16" s="265"/>
      <c r="B16" s="372" t="s">
        <v>146</v>
      </c>
      <c r="C16" s="407"/>
      <c r="D16" s="407"/>
      <c r="E16" s="407"/>
      <c r="F16" s="407"/>
      <c r="G16" s="408"/>
      <c r="H16" s="304">
        <f>IF($F$5&gt;=H4,$P$2*H15,0)</f>
        <v>1E-4</v>
      </c>
      <c r="I16" s="416"/>
      <c r="J16" s="272">
        <f>IF($F$5&gt;=J4,$P$2*J15,0)</f>
        <v>4.6415888336127791E-5</v>
      </c>
      <c r="K16" s="273"/>
      <c r="L16" s="274">
        <f>IF($F$5&gt;=L4,$P$2*L15,0)</f>
        <v>2.1544346900318833E-5</v>
      </c>
      <c r="M16" s="273"/>
      <c r="N16" s="274">
        <f>IF($F$5&gt;=N4,$P$2*N15,0)</f>
        <v>9.9999999999999974E-6</v>
      </c>
      <c r="O16" s="273"/>
      <c r="P16" s="274">
        <f>IF($F$5&gt;=P4,$P$2*P15,0)</f>
        <v>4.6415888336127777E-6</v>
      </c>
      <c r="Q16" s="273"/>
      <c r="R16" s="274">
        <f>IF($F$5&gt;=R4,$P$2*R15,0)</f>
        <v>2.1544346900318831E-6</v>
      </c>
      <c r="S16" s="273"/>
      <c r="T16" s="274">
        <f>IF($F$5&gt;=T4,$P$2*T15,0)</f>
        <v>9.9999999999999974E-7</v>
      </c>
      <c r="U16" s="273"/>
      <c r="V16" s="271">
        <f>IF($F$5&gt;=V4,$P$2*V15,0)</f>
        <v>0</v>
      </c>
      <c r="W16" s="273"/>
      <c r="X16" s="271">
        <f>IF($F$5&gt;=X4,$P$2*X15,0)</f>
        <v>0</v>
      </c>
      <c r="Y16" s="273"/>
      <c r="Z16" s="271">
        <f>IF($F$5&gt;=Z4,$P$2*Z15,0)</f>
        <v>0</v>
      </c>
      <c r="AA16" s="273"/>
      <c r="AB16" s="271">
        <f>IF($F$5&gt;=AB4,$P$2*AB15,0)</f>
        <v>0</v>
      </c>
      <c r="AC16" s="273"/>
      <c r="AD16" s="271">
        <f>IF($F$5&gt;=AD4,$P$2*AD15,0)</f>
        <v>0</v>
      </c>
      <c r="AE16" s="273"/>
      <c r="AF16" s="275"/>
      <c r="AG16" s="275"/>
      <c r="AH16" s="275"/>
      <c r="AI16" s="275"/>
      <c r="AJ16" s="275"/>
      <c r="AK16" s="275"/>
      <c r="AL16" s="275"/>
      <c r="AM16" s="275"/>
      <c r="AN16" s="275"/>
      <c r="AO16" s="275"/>
      <c r="AP16" s="275"/>
      <c r="AQ16" s="275"/>
      <c r="AR16" s="275"/>
      <c r="AS16" s="275"/>
      <c r="AT16" s="275"/>
      <c r="AU16" s="275"/>
      <c r="AV16" s="275"/>
      <c r="AW16" s="275"/>
      <c r="AX16" s="275"/>
      <c r="AY16" s="275"/>
      <c r="AZ16" s="275"/>
      <c r="BA16" s="275"/>
      <c r="BB16" s="275"/>
      <c r="BC16" s="275"/>
      <c r="BD16" s="275"/>
      <c r="BE16" s="275"/>
      <c r="BF16" s="275"/>
      <c r="BG16" s="275"/>
      <c r="BH16" s="275"/>
      <c r="BI16" s="275"/>
      <c r="BJ16" s="275"/>
      <c r="BK16" s="275"/>
      <c r="BL16" s="275"/>
      <c r="BM16" s="275"/>
      <c r="BN16" s="275"/>
      <c r="BO16" s="275"/>
      <c r="BP16" s="275"/>
      <c r="BQ16" s="275"/>
      <c r="BR16" s="275"/>
      <c r="BS16" s="275"/>
      <c r="BT16" s="275"/>
      <c r="BU16" s="275"/>
      <c r="BV16" s="275"/>
      <c r="BW16" s="275"/>
      <c r="BX16" s="275"/>
      <c r="BY16" s="275"/>
      <c r="BZ16" s="275"/>
      <c r="CA16" s="275"/>
      <c r="CB16" s="275"/>
      <c r="CC16" s="275"/>
      <c r="CD16" s="275"/>
      <c r="CE16" s="275"/>
      <c r="CF16" s="275"/>
      <c r="CG16" s="275"/>
      <c r="CH16" s="275"/>
      <c r="CI16" s="275"/>
      <c r="CJ16" s="275"/>
      <c r="CK16" s="275"/>
      <c r="CL16" s="275"/>
      <c r="CM16" s="275"/>
      <c r="CN16" s="275"/>
      <c r="CO16" s="275"/>
      <c r="CP16" s="275"/>
      <c r="CQ16" s="275"/>
      <c r="CR16" s="275"/>
      <c r="CS16" s="275"/>
      <c r="CT16" s="275"/>
      <c r="CU16" s="275"/>
      <c r="CV16" s="275"/>
      <c r="CW16" s="275"/>
      <c r="CX16" s="275"/>
      <c r="CY16" s="275"/>
      <c r="CZ16" s="275"/>
      <c r="DA16" s="275"/>
      <c r="DB16" s="275"/>
      <c r="DC16" s="275"/>
      <c r="DD16" s="275"/>
      <c r="DE16" s="275"/>
      <c r="DF16" s="275"/>
      <c r="DG16" s="275"/>
      <c r="DH16" s="275"/>
      <c r="DI16" s="275"/>
      <c r="DJ16" s="275"/>
      <c r="DK16" s="275"/>
      <c r="DL16" s="275"/>
      <c r="DM16" s="275"/>
      <c r="DN16" s="275"/>
      <c r="DO16" s="275"/>
      <c r="DP16" s="275"/>
      <c r="DQ16" s="275"/>
      <c r="DR16" s="275"/>
      <c r="DS16" s="275"/>
      <c r="DT16" s="275"/>
      <c r="DU16" s="275"/>
      <c r="DV16" s="275"/>
      <c r="DW16" s="275"/>
      <c r="DX16" s="275"/>
      <c r="DY16" s="275"/>
      <c r="DZ16" s="275"/>
      <c r="EA16" s="275"/>
      <c r="EB16" s="275"/>
      <c r="EC16" s="275"/>
      <c r="ED16" s="275"/>
      <c r="EE16" s="275"/>
      <c r="EF16" s="275"/>
      <c r="EG16" s="275"/>
      <c r="EH16" s="275"/>
      <c r="EI16" s="275"/>
      <c r="EJ16" s="275"/>
      <c r="EK16" s="275"/>
      <c r="EL16" s="275"/>
      <c r="EM16" s="275"/>
      <c r="EN16" s="275"/>
      <c r="EO16" s="275"/>
      <c r="EP16" s="275"/>
      <c r="EQ16" s="275"/>
      <c r="ER16" s="275"/>
      <c r="ES16" s="275"/>
      <c r="ET16" s="275"/>
      <c r="EU16" s="275"/>
      <c r="EV16" s="275"/>
      <c r="EW16" s="275"/>
      <c r="EX16" s="275"/>
      <c r="EY16" s="275"/>
      <c r="EZ16" s="275"/>
      <c r="FA16" s="275"/>
      <c r="FB16" s="275"/>
      <c r="FC16" s="275"/>
      <c r="FD16" s="275"/>
      <c r="FE16" s="275"/>
      <c r="FF16" s="275"/>
      <c r="FG16" s="275"/>
      <c r="FH16" s="275"/>
      <c r="FI16" s="275"/>
      <c r="FJ16" s="275"/>
      <c r="FK16" s="275"/>
      <c r="FL16" s="275"/>
      <c r="FM16" s="275"/>
      <c r="FN16" s="275"/>
      <c r="FO16" s="275"/>
      <c r="FP16" s="275"/>
      <c r="FQ16" s="275"/>
      <c r="FR16" s="275"/>
      <c r="FS16" s="275"/>
      <c r="FT16" s="275"/>
      <c r="FU16" s="275"/>
      <c r="FV16" s="275"/>
      <c r="FW16" s="275"/>
      <c r="FX16" s="275"/>
      <c r="FY16" s="275"/>
      <c r="FZ16" s="275"/>
      <c r="GA16" s="275"/>
      <c r="GB16" s="275"/>
      <c r="GC16" s="275"/>
      <c r="GD16" s="275"/>
      <c r="GE16" s="275"/>
      <c r="GF16" s="275"/>
      <c r="GG16" s="275"/>
      <c r="GH16" s="275"/>
      <c r="GI16" s="275"/>
      <c r="GJ16" s="275"/>
      <c r="GK16" s="275"/>
      <c r="GL16" s="275"/>
      <c r="GM16" s="275"/>
      <c r="GN16" s="275"/>
      <c r="GO16" s="275"/>
      <c r="GP16" s="275"/>
      <c r="GQ16" s="275"/>
      <c r="GR16" s="275"/>
      <c r="GS16" s="275"/>
      <c r="GT16" s="275"/>
      <c r="GU16" s="275"/>
      <c r="GV16" s="275"/>
      <c r="GW16" s="275"/>
      <c r="GX16" s="275"/>
      <c r="GY16" s="275"/>
      <c r="GZ16" s="275"/>
      <c r="HA16" s="275"/>
      <c r="HB16" s="275"/>
      <c r="HC16" s="275"/>
      <c r="HD16" s="275"/>
      <c r="HE16" s="275"/>
      <c r="HF16" s="275"/>
      <c r="HG16" s="275"/>
      <c r="HH16" s="275"/>
      <c r="HI16" s="275"/>
      <c r="HJ16" s="275"/>
      <c r="HK16" s="275"/>
      <c r="HL16" s="275"/>
      <c r="HM16" s="275"/>
      <c r="HN16" s="275"/>
      <c r="HO16" s="275"/>
      <c r="HP16" s="275"/>
      <c r="HQ16" s="275"/>
      <c r="HR16" s="275"/>
      <c r="HS16" s="275"/>
      <c r="HT16" s="275"/>
      <c r="HU16" s="275"/>
      <c r="HV16" s="275"/>
      <c r="HW16" s="275"/>
      <c r="HX16" s="275"/>
      <c r="HY16" s="275"/>
      <c r="HZ16" s="275"/>
      <c r="IA16" s="275"/>
      <c r="IB16" s="275"/>
      <c r="IC16" s="275"/>
      <c r="ID16" s="275"/>
      <c r="IE16" s="275"/>
      <c r="IF16" s="275"/>
      <c r="IG16" s="275"/>
      <c r="IH16" s="275"/>
      <c r="II16" s="275"/>
      <c r="IJ16" s="275"/>
      <c r="IK16" s="275"/>
      <c r="IL16" s="275"/>
      <c r="IM16" s="275"/>
      <c r="IN16" s="275"/>
      <c r="IO16" s="275"/>
      <c r="IP16" s="275"/>
      <c r="IQ16" s="275"/>
      <c r="IR16" s="275"/>
      <c r="IS16" s="275"/>
      <c r="IT16" s="275"/>
      <c r="IU16" s="275"/>
      <c r="IV16" s="275"/>
      <c r="IW16" s="275"/>
      <c r="IX16" s="275"/>
      <c r="IY16" s="275"/>
      <c r="IZ16" s="275"/>
      <c r="JA16" s="275"/>
      <c r="JB16" s="275"/>
      <c r="JC16" s="275"/>
      <c r="JD16" s="275"/>
      <c r="JE16" s="275"/>
      <c r="JF16" s="275"/>
      <c r="JG16" s="275"/>
      <c r="JH16" s="275"/>
      <c r="JI16" s="275"/>
      <c r="JJ16" s="275"/>
      <c r="JK16" s="275"/>
      <c r="JL16" s="275"/>
      <c r="JM16" s="275"/>
      <c r="JN16" s="275"/>
      <c r="JO16" s="275"/>
      <c r="JP16" s="275"/>
      <c r="JQ16" s="275"/>
      <c r="JR16" s="275"/>
      <c r="JS16" s="275"/>
      <c r="JT16" s="275"/>
      <c r="JU16" s="275"/>
      <c r="JV16" s="275"/>
      <c r="JW16" s="275"/>
      <c r="JX16" s="275"/>
      <c r="JY16" s="275"/>
      <c r="JZ16" s="275"/>
      <c r="KA16" s="275"/>
      <c r="KB16" s="275"/>
      <c r="KC16" s="275"/>
      <c r="KD16" s="275"/>
      <c r="KE16" s="275"/>
      <c r="KF16" s="275"/>
      <c r="KG16" s="275"/>
      <c r="KH16" s="275"/>
      <c r="KI16" s="275"/>
      <c r="KJ16" s="275"/>
      <c r="KK16" s="275"/>
      <c r="KL16" s="275"/>
      <c r="KM16" s="275"/>
      <c r="KN16" s="275"/>
      <c r="KO16" s="275"/>
      <c r="KP16" s="275"/>
      <c r="KQ16" s="275"/>
      <c r="KR16" s="275"/>
      <c r="KS16" s="275"/>
      <c r="KT16" s="275"/>
      <c r="KU16" s="275"/>
      <c r="KV16" s="275"/>
      <c r="KW16" s="275"/>
      <c r="KX16" s="275"/>
      <c r="KY16" s="275"/>
      <c r="KZ16" s="275"/>
      <c r="LA16" s="275"/>
      <c r="LB16" s="275"/>
      <c r="LC16" s="275"/>
      <c r="LD16" s="275"/>
      <c r="LE16" s="275"/>
      <c r="LF16" s="275"/>
      <c r="LG16" s="275"/>
      <c r="LH16" s="275"/>
    </row>
    <row r="17" spans="1:320" s="276" customFormat="1" ht="45" customHeight="1" x14ac:dyDescent="0.35">
      <c r="A17" s="265"/>
      <c r="B17" s="372" t="s">
        <v>147</v>
      </c>
      <c r="C17" s="407"/>
      <c r="D17" s="407"/>
      <c r="E17" s="407"/>
      <c r="F17" s="407"/>
      <c r="G17" s="408"/>
      <c r="H17" s="287">
        <f>H16*1000</f>
        <v>0.1</v>
      </c>
      <c r="I17" s="416"/>
      <c r="J17" s="272">
        <f>J16*1000</f>
        <v>4.6415888336127788E-2</v>
      </c>
      <c r="K17" s="273"/>
      <c r="L17" s="274">
        <f>L16*1000</f>
        <v>2.1544346900318832E-2</v>
      </c>
      <c r="M17" s="273"/>
      <c r="N17" s="274">
        <f>N16*1000</f>
        <v>9.9999999999999967E-3</v>
      </c>
      <c r="O17" s="273"/>
      <c r="P17" s="274">
        <f>P16*1000</f>
        <v>4.6415888336127781E-3</v>
      </c>
      <c r="Q17" s="273"/>
      <c r="R17" s="274">
        <f>R16*1000</f>
        <v>2.154434690031883E-3</v>
      </c>
      <c r="S17" s="273"/>
      <c r="T17" s="274">
        <f>T16*1000</f>
        <v>9.999999999999998E-4</v>
      </c>
      <c r="U17" s="273"/>
      <c r="V17" s="271">
        <f>V16*1000</f>
        <v>0</v>
      </c>
      <c r="W17" s="273"/>
      <c r="X17" s="271">
        <f>X16*1000</f>
        <v>0</v>
      </c>
      <c r="Y17" s="273"/>
      <c r="Z17" s="271">
        <f>Z16*1000</f>
        <v>0</v>
      </c>
      <c r="AA17" s="273"/>
      <c r="AB17" s="271">
        <f>AB16*1000</f>
        <v>0</v>
      </c>
      <c r="AC17" s="273"/>
      <c r="AD17" s="271"/>
      <c r="AE17" s="273"/>
      <c r="AF17" s="275"/>
      <c r="AG17" s="275"/>
      <c r="AH17" s="275"/>
      <c r="AI17" s="275"/>
      <c r="AJ17" s="275"/>
      <c r="AK17" s="275"/>
      <c r="AL17" s="275"/>
      <c r="AM17" s="275"/>
      <c r="AN17" s="275"/>
      <c r="AO17" s="275"/>
      <c r="AP17" s="275"/>
      <c r="AQ17" s="275"/>
      <c r="AR17" s="275"/>
      <c r="AS17" s="275"/>
      <c r="AT17" s="275"/>
      <c r="AU17" s="275"/>
      <c r="AV17" s="275"/>
      <c r="AW17" s="275"/>
      <c r="AX17" s="275"/>
      <c r="AY17" s="275"/>
      <c r="AZ17" s="275"/>
      <c r="BA17" s="275"/>
      <c r="BB17" s="275"/>
      <c r="BC17" s="275"/>
      <c r="BD17" s="275"/>
      <c r="BE17" s="275"/>
      <c r="BF17" s="275"/>
      <c r="BG17" s="275"/>
      <c r="BH17" s="275"/>
      <c r="BI17" s="275"/>
      <c r="BJ17" s="275"/>
      <c r="BK17" s="275"/>
      <c r="BL17" s="275"/>
      <c r="BM17" s="275"/>
      <c r="BN17" s="275"/>
      <c r="BO17" s="275"/>
      <c r="BP17" s="275"/>
      <c r="BQ17" s="275"/>
      <c r="BR17" s="275"/>
      <c r="BS17" s="275"/>
      <c r="BT17" s="275"/>
      <c r="BU17" s="275"/>
      <c r="BV17" s="275"/>
      <c r="BW17" s="275"/>
      <c r="BX17" s="275"/>
      <c r="BY17" s="275"/>
      <c r="BZ17" s="275"/>
      <c r="CA17" s="275"/>
      <c r="CB17" s="275"/>
      <c r="CC17" s="275"/>
      <c r="CD17" s="275"/>
      <c r="CE17" s="275"/>
      <c r="CF17" s="275"/>
      <c r="CG17" s="275"/>
      <c r="CH17" s="275"/>
      <c r="CI17" s="275"/>
      <c r="CJ17" s="275"/>
      <c r="CK17" s="275"/>
      <c r="CL17" s="275"/>
      <c r="CM17" s="275"/>
      <c r="CN17" s="275"/>
      <c r="CO17" s="275"/>
      <c r="CP17" s="275"/>
      <c r="CQ17" s="275"/>
      <c r="CR17" s="275"/>
      <c r="CS17" s="275"/>
      <c r="CT17" s="275"/>
      <c r="CU17" s="275"/>
      <c r="CV17" s="275"/>
      <c r="CW17" s="275"/>
      <c r="CX17" s="275"/>
      <c r="CY17" s="275"/>
      <c r="CZ17" s="275"/>
      <c r="DA17" s="275"/>
      <c r="DB17" s="275"/>
      <c r="DC17" s="275"/>
      <c r="DD17" s="275"/>
      <c r="DE17" s="275"/>
      <c r="DF17" s="275"/>
      <c r="DG17" s="275"/>
      <c r="DH17" s="275"/>
      <c r="DI17" s="275"/>
      <c r="DJ17" s="275"/>
      <c r="DK17" s="275"/>
      <c r="DL17" s="275"/>
      <c r="DM17" s="275"/>
      <c r="DN17" s="275"/>
      <c r="DO17" s="275"/>
      <c r="DP17" s="275"/>
      <c r="DQ17" s="275"/>
      <c r="DR17" s="275"/>
      <c r="DS17" s="275"/>
      <c r="DT17" s="275"/>
      <c r="DU17" s="275"/>
      <c r="DV17" s="275"/>
      <c r="DW17" s="275"/>
      <c r="DX17" s="275"/>
      <c r="DY17" s="275"/>
      <c r="DZ17" s="275"/>
      <c r="EA17" s="275"/>
      <c r="EB17" s="275"/>
      <c r="EC17" s="275"/>
      <c r="ED17" s="275"/>
      <c r="EE17" s="275"/>
      <c r="EF17" s="275"/>
      <c r="EG17" s="275"/>
      <c r="EH17" s="275"/>
      <c r="EI17" s="275"/>
      <c r="EJ17" s="275"/>
      <c r="EK17" s="275"/>
      <c r="EL17" s="275"/>
      <c r="EM17" s="275"/>
      <c r="EN17" s="275"/>
      <c r="EO17" s="275"/>
      <c r="EP17" s="275"/>
      <c r="EQ17" s="275"/>
      <c r="ER17" s="275"/>
      <c r="ES17" s="275"/>
      <c r="ET17" s="275"/>
      <c r="EU17" s="275"/>
      <c r="EV17" s="275"/>
      <c r="EW17" s="275"/>
      <c r="EX17" s="275"/>
      <c r="EY17" s="275"/>
      <c r="EZ17" s="275"/>
      <c r="FA17" s="275"/>
      <c r="FB17" s="275"/>
      <c r="FC17" s="275"/>
      <c r="FD17" s="275"/>
      <c r="FE17" s="275"/>
      <c r="FF17" s="275"/>
      <c r="FG17" s="275"/>
      <c r="FH17" s="275"/>
      <c r="FI17" s="275"/>
      <c r="FJ17" s="275"/>
      <c r="FK17" s="275"/>
      <c r="FL17" s="275"/>
      <c r="FM17" s="275"/>
      <c r="FN17" s="275"/>
      <c r="FO17" s="275"/>
      <c r="FP17" s="275"/>
      <c r="FQ17" s="275"/>
      <c r="FR17" s="275"/>
      <c r="FS17" s="275"/>
      <c r="FT17" s="275"/>
      <c r="FU17" s="275"/>
      <c r="FV17" s="275"/>
      <c r="FW17" s="275"/>
      <c r="FX17" s="275"/>
      <c r="FY17" s="275"/>
      <c r="FZ17" s="275"/>
      <c r="GA17" s="275"/>
      <c r="GB17" s="275"/>
      <c r="GC17" s="275"/>
      <c r="GD17" s="275"/>
      <c r="GE17" s="275"/>
      <c r="GF17" s="275"/>
      <c r="GG17" s="275"/>
      <c r="GH17" s="275"/>
      <c r="GI17" s="275"/>
      <c r="GJ17" s="275"/>
      <c r="GK17" s="275"/>
      <c r="GL17" s="275"/>
      <c r="GM17" s="275"/>
      <c r="GN17" s="275"/>
      <c r="GO17" s="275"/>
      <c r="GP17" s="275"/>
      <c r="GQ17" s="275"/>
      <c r="GR17" s="275"/>
      <c r="GS17" s="275"/>
      <c r="GT17" s="275"/>
      <c r="GU17" s="275"/>
      <c r="GV17" s="275"/>
      <c r="GW17" s="275"/>
      <c r="GX17" s="275"/>
      <c r="GY17" s="275"/>
      <c r="GZ17" s="275"/>
      <c r="HA17" s="275"/>
      <c r="HB17" s="275"/>
      <c r="HC17" s="275"/>
      <c r="HD17" s="275"/>
      <c r="HE17" s="275"/>
      <c r="HF17" s="275"/>
      <c r="HG17" s="275"/>
      <c r="HH17" s="275"/>
      <c r="HI17" s="275"/>
      <c r="HJ17" s="275"/>
      <c r="HK17" s="275"/>
      <c r="HL17" s="275"/>
      <c r="HM17" s="275"/>
      <c r="HN17" s="275"/>
      <c r="HO17" s="275"/>
      <c r="HP17" s="275"/>
      <c r="HQ17" s="275"/>
      <c r="HR17" s="275"/>
      <c r="HS17" s="275"/>
      <c r="HT17" s="275"/>
      <c r="HU17" s="275"/>
      <c r="HV17" s="275"/>
      <c r="HW17" s="275"/>
      <c r="HX17" s="275"/>
      <c r="HY17" s="275"/>
      <c r="HZ17" s="275"/>
      <c r="IA17" s="275"/>
      <c r="IB17" s="275"/>
      <c r="IC17" s="275"/>
      <c r="ID17" s="275"/>
      <c r="IE17" s="275"/>
      <c r="IF17" s="275"/>
      <c r="IG17" s="275"/>
      <c r="IH17" s="275"/>
      <c r="II17" s="275"/>
      <c r="IJ17" s="275"/>
      <c r="IK17" s="275"/>
      <c r="IL17" s="275"/>
      <c r="IM17" s="275"/>
      <c r="IN17" s="275"/>
      <c r="IO17" s="275"/>
      <c r="IP17" s="275"/>
      <c r="IQ17" s="275"/>
      <c r="IR17" s="275"/>
      <c r="IS17" s="275"/>
      <c r="IT17" s="275"/>
      <c r="IU17" s="275"/>
      <c r="IV17" s="275"/>
      <c r="IW17" s="275"/>
      <c r="IX17" s="275"/>
      <c r="IY17" s="275"/>
      <c r="IZ17" s="275"/>
      <c r="JA17" s="275"/>
      <c r="JB17" s="275"/>
      <c r="JC17" s="275"/>
      <c r="JD17" s="275"/>
      <c r="JE17" s="275"/>
      <c r="JF17" s="275"/>
      <c r="JG17" s="275"/>
      <c r="JH17" s="275"/>
      <c r="JI17" s="275"/>
      <c r="JJ17" s="275"/>
      <c r="JK17" s="275"/>
      <c r="JL17" s="275"/>
      <c r="JM17" s="275"/>
      <c r="JN17" s="275"/>
      <c r="JO17" s="275"/>
      <c r="JP17" s="275"/>
      <c r="JQ17" s="275"/>
      <c r="JR17" s="275"/>
      <c r="JS17" s="275"/>
      <c r="JT17" s="275"/>
      <c r="JU17" s="275"/>
      <c r="JV17" s="275"/>
      <c r="JW17" s="275"/>
      <c r="JX17" s="275"/>
      <c r="JY17" s="275"/>
      <c r="JZ17" s="275"/>
      <c r="KA17" s="275"/>
      <c r="KB17" s="275"/>
      <c r="KC17" s="275"/>
      <c r="KD17" s="275"/>
      <c r="KE17" s="275"/>
      <c r="KF17" s="275"/>
      <c r="KG17" s="275"/>
      <c r="KH17" s="275"/>
      <c r="KI17" s="275"/>
      <c r="KJ17" s="275"/>
      <c r="KK17" s="275"/>
      <c r="KL17" s="275"/>
      <c r="KM17" s="275"/>
      <c r="KN17" s="275"/>
      <c r="KO17" s="275"/>
      <c r="KP17" s="275"/>
      <c r="KQ17" s="275"/>
      <c r="KR17" s="275"/>
      <c r="KS17" s="275"/>
      <c r="KT17" s="275"/>
      <c r="KU17" s="275"/>
      <c r="KV17" s="275"/>
      <c r="KW17" s="275"/>
      <c r="KX17" s="275"/>
      <c r="KY17" s="275"/>
      <c r="KZ17" s="275"/>
      <c r="LA17" s="275"/>
      <c r="LB17" s="275"/>
      <c r="LC17" s="275"/>
      <c r="LD17" s="275"/>
      <c r="LE17" s="275"/>
      <c r="LF17" s="275"/>
      <c r="LG17" s="275"/>
      <c r="LH17" s="275"/>
    </row>
    <row r="18" spans="1:320" s="277" customFormat="1" ht="45" customHeight="1" thickBot="1" x14ac:dyDescent="0.4">
      <c r="A18" s="253"/>
      <c r="B18" s="409" t="s">
        <v>148</v>
      </c>
      <c r="C18" s="410"/>
      <c r="D18" s="410"/>
      <c r="E18" s="410"/>
      <c r="F18" s="410"/>
      <c r="G18" s="411"/>
      <c r="H18" s="288">
        <f>H16*1000000</f>
        <v>100</v>
      </c>
      <c r="I18" s="416"/>
      <c r="J18" s="272">
        <f>J16*1000000</f>
        <v>46.415888336127793</v>
      </c>
      <c r="K18" s="273"/>
      <c r="L18" s="274">
        <f>L16*1000000</f>
        <v>21.544346900318832</v>
      </c>
      <c r="M18" s="273"/>
      <c r="N18" s="274">
        <f>N16*1000000</f>
        <v>9.9999999999999982</v>
      </c>
      <c r="O18" s="273"/>
      <c r="P18" s="274">
        <f>P16*1000000</f>
        <v>4.6415888336127775</v>
      </c>
      <c r="Q18" s="273"/>
      <c r="R18" s="274">
        <f>R16*1000000</f>
        <v>2.1544346900318829</v>
      </c>
      <c r="S18" s="273"/>
      <c r="T18" s="274">
        <f>T16*1000000</f>
        <v>0.99999999999999978</v>
      </c>
      <c r="U18" s="273"/>
      <c r="V18" s="271">
        <f>V16*1000000</f>
        <v>0</v>
      </c>
      <c r="W18" s="273"/>
      <c r="X18" s="271">
        <f>X16*1000000</f>
        <v>0</v>
      </c>
      <c r="Y18" s="273"/>
      <c r="Z18" s="271">
        <f>Z16*1000000</f>
        <v>0</v>
      </c>
      <c r="AA18" s="273"/>
      <c r="AB18" s="271">
        <f>AB16*1000000</f>
        <v>0</v>
      </c>
      <c r="AC18" s="273"/>
      <c r="AE18" s="273"/>
      <c r="AF18" s="278"/>
      <c r="AG18" s="278"/>
      <c r="AH18" s="278"/>
      <c r="AI18" s="278"/>
      <c r="AJ18" s="278"/>
      <c r="AK18" s="278"/>
      <c r="AL18" s="278"/>
      <c r="AM18" s="278"/>
      <c r="AN18" s="278"/>
      <c r="AO18" s="278"/>
      <c r="AP18" s="278"/>
      <c r="AQ18" s="278"/>
      <c r="AR18" s="278"/>
      <c r="AS18" s="278"/>
      <c r="AT18" s="278"/>
      <c r="AU18" s="278"/>
      <c r="AV18" s="278"/>
      <c r="AW18" s="278"/>
      <c r="AX18" s="278"/>
      <c r="AY18" s="278"/>
      <c r="AZ18" s="278"/>
      <c r="BA18" s="278"/>
      <c r="BB18" s="278"/>
      <c r="BC18" s="278"/>
      <c r="BD18" s="278"/>
      <c r="BE18" s="278"/>
      <c r="BF18" s="278"/>
      <c r="BG18" s="278"/>
      <c r="BH18" s="278"/>
      <c r="BI18" s="278"/>
      <c r="BJ18" s="278"/>
      <c r="BK18" s="278"/>
      <c r="BL18" s="278"/>
      <c r="BM18" s="278"/>
      <c r="BN18" s="278"/>
      <c r="BO18" s="278"/>
      <c r="BP18" s="278"/>
      <c r="BQ18" s="278"/>
      <c r="BR18" s="278"/>
      <c r="BS18" s="278"/>
      <c r="BT18" s="278"/>
      <c r="BU18" s="278"/>
      <c r="BV18" s="278"/>
      <c r="BW18" s="278"/>
      <c r="BX18" s="278"/>
      <c r="BY18" s="278"/>
      <c r="BZ18" s="278"/>
      <c r="CA18" s="278"/>
      <c r="CB18" s="278"/>
      <c r="CC18" s="278"/>
      <c r="CD18" s="278"/>
      <c r="CE18" s="278"/>
      <c r="CF18" s="278"/>
      <c r="CG18" s="278"/>
      <c r="CH18" s="278"/>
      <c r="CI18" s="278"/>
      <c r="CJ18" s="278"/>
      <c r="CK18" s="278"/>
      <c r="CL18" s="278"/>
      <c r="CM18" s="278"/>
      <c r="CN18" s="278"/>
      <c r="CO18" s="278"/>
      <c r="CP18" s="278"/>
      <c r="CQ18" s="278"/>
      <c r="CR18" s="278"/>
      <c r="CS18" s="278"/>
      <c r="CT18" s="278"/>
      <c r="CU18" s="278"/>
      <c r="CV18" s="278"/>
      <c r="CW18" s="278"/>
      <c r="CX18" s="278"/>
      <c r="CY18" s="278"/>
      <c r="CZ18" s="278"/>
      <c r="DA18" s="278"/>
      <c r="DB18" s="278"/>
      <c r="DC18" s="278"/>
      <c r="DD18" s="278"/>
      <c r="DE18" s="278"/>
      <c r="DF18" s="278"/>
      <c r="DG18" s="278"/>
      <c r="DH18" s="278"/>
      <c r="DI18" s="278"/>
      <c r="DJ18" s="278"/>
      <c r="DK18" s="278"/>
      <c r="DL18" s="278"/>
      <c r="DM18" s="278"/>
      <c r="DN18" s="278"/>
      <c r="DO18" s="278"/>
      <c r="DP18" s="278"/>
      <c r="DQ18" s="278"/>
      <c r="DR18" s="278"/>
      <c r="DS18" s="278"/>
      <c r="DT18" s="278"/>
      <c r="DU18" s="278"/>
      <c r="DV18" s="278"/>
      <c r="DW18" s="278"/>
      <c r="DX18" s="278"/>
      <c r="DY18" s="278"/>
      <c r="DZ18" s="278"/>
      <c r="EA18" s="278"/>
      <c r="EB18" s="278"/>
      <c r="EC18" s="278"/>
      <c r="ED18" s="278"/>
      <c r="EE18" s="278"/>
      <c r="EF18" s="278"/>
      <c r="EG18" s="278"/>
      <c r="EH18" s="278"/>
      <c r="EI18" s="278"/>
      <c r="EJ18" s="278"/>
      <c r="EK18" s="278"/>
      <c r="EL18" s="278"/>
      <c r="EM18" s="278"/>
      <c r="EN18" s="278"/>
      <c r="EO18" s="278"/>
      <c r="EP18" s="278"/>
      <c r="EQ18" s="278"/>
      <c r="ER18" s="278"/>
      <c r="ES18" s="278"/>
      <c r="ET18" s="278"/>
      <c r="EU18" s="278"/>
      <c r="EV18" s="278"/>
      <c r="EW18" s="278"/>
      <c r="EX18" s="278"/>
      <c r="EY18" s="278"/>
      <c r="EZ18" s="278"/>
      <c r="FA18" s="278"/>
      <c r="FB18" s="278"/>
      <c r="FC18" s="278"/>
      <c r="FD18" s="278"/>
      <c r="FE18" s="278"/>
      <c r="FF18" s="278"/>
      <c r="FG18" s="278"/>
      <c r="FH18" s="278"/>
      <c r="FI18" s="278"/>
      <c r="FJ18" s="278"/>
      <c r="FK18" s="278"/>
      <c r="FL18" s="278"/>
      <c r="FM18" s="278"/>
      <c r="FN18" s="278"/>
      <c r="FO18" s="278"/>
      <c r="FP18" s="278"/>
      <c r="FQ18" s="278"/>
      <c r="FR18" s="278"/>
      <c r="FS18" s="278"/>
      <c r="FT18" s="278"/>
      <c r="FU18" s="278"/>
      <c r="FV18" s="278"/>
      <c r="FW18" s="278"/>
      <c r="FX18" s="278"/>
      <c r="FY18" s="278"/>
      <c r="FZ18" s="278"/>
      <c r="GA18" s="278"/>
      <c r="GB18" s="278"/>
      <c r="GC18" s="278"/>
      <c r="GD18" s="278"/>
      <c r="GE18" s="278"/>
      <c r="GF18" s="278"/>
      <c r="GG18" s="278"/>
      <c r="GH18" s="278"/>
      <c r="GI18" s="278"/>
      <c r="GJ18" s="278"/>
      <c r="GK18" s="278"/>
      <c r="GL18" s="278"/>
      <c r="GM18" s="278"/>
      <c r="GN18" s="278"/>
      <c r="GO18" s="278"/>
      <c r="GP18" s="278"/>
      <c r="GQ18" s="278"/>
      <c r="GR18" s="278"/>
      <c r="GS18" s="278"/>
      <c r="GT18" s="278"/>
      <c r="GU18" s="278"/>
      <c r="GV18" s="278"/>
      <c r="GW18" s="278"/>
      <c r="GX18" s="278"/>
      <c r="GY18" s="278"/>
      <c r="GZ18" s="278"/>
      <c r="HA18" s="278"/>
      <c r="HB18" s="278"/>
      <c r="HC18" s="278"/>
      <c r="HD18" s="278"/>
      <c r="HE18" s="278"/>
      <c r="HF18" s="278"/>
      <c r="HG18" s="278"/>
      <c r="HH18" s="278"/>
      <c r="HI18" s="278"/>
      <c r="HJ18" s="278"/>
      <c r="HK18" s="278"/>
      <c r="HL18" s="278"/>
      <c r="HM18" s="278"/>
      <c r="HN18" s="278"/>
      <c r="HO18" s="278"/>
      <c r="HP18" s="278"/>
      <c r="HQ18" s="278"/>
      <c r="HR18" s="278"/>
      <c r="HS18" s="278"/>
      <c r="HT18" s="278"/>
      <c r="HU18" s="278"/>
      <c r="HV18" s="278"/>
      <c r="HW18" s="278"/>
      <c r="HX18" s="278"/>
      <c r="HY18" s="278"/>
      <c r="HZ18" s="278"/>
      <c r="IA18" s="278"/>
      <c r="IB18" s="278"/>
      <c r="IC18" s="278"/>
      <c r="ID18" s="278"/>
      <c r="IE18" s="278"/>
      <c r="IF18" s="278"/>
      <c r="IG18" s="278"/>
      <c r="IH18" s="278"/>
      <c r="II18" s="278"/>
      <c r="IJ18" s="278"/>
      <c r="IK18" s="278"/>
      <c r="IL18" s="278"/>
      <c r="IM18" s="278"/>
      <c r="IN18" s="278"/>
      <c r="IO18" s="278"/>
      <c r="IP18" s="278"/>
      <c r="IQ18" s="278"/>
      <c r="IR18" s="278"/>
      <c r="IS18" s="278"/>
      <c r="IT18" s="278"/>
      <c r="IU18" s="278"/>
      <c r="IV18" s="278"/>
      <c r="IW18" s="278"/>
      <c r="IX18" s="278"/>
      <c r="IY18" s="278"/>
      <c r="IZ18" s="278"/>
      <c r="JA18" s="278"/>
      <c r="JB18" s="278"/>
      <c r="JC18" s="278"/>
      <c r="JD18" s="278"/>
      <c r="JE18" s="278"/>
      <c r="JF18" s="278"/>
      <c r="JG18" s="278"/>
      <c r="JH18" s="278"/>
      <c r="JI18" s="278"/>
      <c r="JJ18" s="278"/>
      <c r="JK18" s="278"/>
      <c r="JL18" s="278"/>
      <c r="JM18" s="278"/>
      <c r="JN18" s="278"/>
      <c r="JO18" s="278"/>
      <c r="JP18" s="278"/>
      <c r="JQ18" s="278"/>
      <c r="JR18" s="278"/>
      <c r="JS18" s="278"/>
      <c r="JT18" s="278"/>
      <c r="JU18" s="278"/>
      <c r="JV18" s="278"/>
      <c r="JW18" s="278"/>
      <c r="JX18" s="278"/>
      <c r="JY18" s="278"/>
      <c r="JZ18" s="278"/>
      <c r="KA18" s="278"/>
      <c r="KB18" s="278"/>
      <c r="KC18" s="278"/>
      <c r="KD18" s="278"/>
      <c r="KE18" s="278"/>
      <c r="KF18" s="278"/>
      <c r="KG18" s="278"/>
      <c r="KH18" s="278"/>
      <c r="KI18" s="278"/>
      <c r="KJ18" s="278"/>
      <c r="KK18" s="278"/>
      <c r="KL18" s="278"/>
      <c r="KM18" s="278"/>
      <c r="KN18" s="278"/>
      <c r="KO18" s="278"/>
      <c r="KP18" s="278"/>
      <c r="KQ18" s="278"/>
      <c r="KR18" s="278"/>
      <c r="KS18" s="278"/>
      <c r="KT18" s="278"/>
      <c r="KU18" s="278"/>
      <c r="KV18" s="278"/>
      <c r="KW18" s="278"/>
      <c r="KX18" s="278"/>
      <c r="KY18" s="278"/>
      <c r="KZ18" s="278"/>
      <c r="LA18" s="278"/>
      <c r="LB18" s="278"/>
      <c r="LC18" s="278"/>
      <c r="LD18" s="278"/>
      <c r="LE18" s="278"/>
      <c r="LF18" s="278"/>
      <c r="LG18" s="278"/>
      <c r="LH18" s="278"/>
    </row>
    <row r="19" spans="1:320" ht="16.5" thickTop="1" thickBot="1" x14ac:dyDescent="0.3">
      <c r="A19" s="17"/>
      <c r="B19" s="17"/>
      <c r="C19" s="17"/>
      <c r="D19" s="17"/>
      <c r="E19" s="156"/>
      <c r="F19" s="156"/>
      <c r="G19" s="156"/>
      <c r="H19" s="156"/>
      <c r="I19" s="156"/>
      <c r="J19" s="156"/>
      <c r="K19" s="156"/>
      <c r="L19" s="156"/>
      <c r="M19" s="156"/>
      <c r="N19" s="156"/>
      <c r="O19" s="156"/>
      <c r="P19" s="156"/>
      <c r="Q19" s="156"/>
      <c r="R19" s="156"/>
      <c r="S19" s="156"/>
      <c r="U19" s="156"/>
      <c r="W19" s="156"/>
      <c r="Y19" s="156"/>
      <c r="AA19" s="156"/>
      <c r="AC19" s="156"/>
      <c r="AD19" s="17"/>
      <c r="AE19" s="156"/>
    </row>
    <row r="20" spans="1:320" ht="71.099999999999994" customHeight="1" thickBot="1" x14ac:dyDescent="0.3">
      <c r="B20" s="363" t="s">
        <v>17</v>
      </c>
      <c r="C20" s="364"/>
      <c r="D20" s="364"/>
      <c r="E20" s="364"/>
      <c r="F20" s="365" t="s">
        <v>18</v>
      </c>
      <c r="G20" s="365"/>
      <c r="H20" s="365"/>
      <c r="I20" s="365"/>
      <c r="J20" s="366"/>
      <c r="K20" s="156"/>
      <c r="R20" s="168"/>
      <c r="S20" s="168"/>
      <c r="T20" s="168"/>
      <c r="U20" s="168"/>
      <c r="V20" s="168"/>
      <c r="W20" s="168"/>
      <c r="X20" s="168"/>
      <c r="Y20" s="168"/>
      <c r="Z20" s="168"/>
      <c r="AA20" s="168"/>
      <c r="AB20" s="168"/>
      <c r="AC20" s="168"/>
      <c r="AD20" s="168"/>
      <c r="AE20" s="168"/>
    </row>
    <row r="21" spans="1:320" x14ac:dyDescent="0.25">
      <c r="B21" s="17"/>
      <c r="C21" s="17"/>
      <c r="D21" s="17"/>
      <c r="E21" s="156"/>
      <c r="F21" s="156"/>
      <c r="G21" s="156"/>
      <c r="H21" s="156"/>
      <c r="I21" s="156"/>
      <c r="J21" s="156"/>
      <c r="K21" s="156"/>
      <c r="R21" s="156"/>
      <c r="S21" s="156"/>
      <c r="U21" s="156"/>
      <c r="W21" s="156"/>
      <c r="Y21" s="156"/>
      <c r="AA21" s="156"/>
      <c r="AC21" s="156"/>
      <c r="AD21" s="17"/>
      <c r="AE21" s="156"/>
    </row>
    <row r="22" spans="1:320" s="161" customFormat="1" ht="86.25" customHeight="1" x14ac:dyDescent="0.35">
      <c r="A22" s="163"/>
      <c r="C22" s="345" t="s">
        <v>104</v>
      </c>
      <c r="D22" s="345"/>
      <c r="E22" s="345"/>
      <c r="F22" s="345"/>
      <c r="G22" s="167"/>
      <c r="H22" s="165">
        <f>H23/(1-1/$F$4)</f>
        <v>746.48993438420723</v>
      </c>
      <c r="I22" s="166"/>
      <c r="J22" s="165">
        <f>J14/(1-1/$F$4)</f>
        <v>746.48993438420723</v>
      </c>
      <c r="K22" s="165"/>
      <c r="L22" s="165">
        <f>L14/(1-1/$F$4)</f>
        <v>746.48993438420723</v>
      </c>
      <c r="M22" s="165"/>
      <c r="N22" s="165">
        <f>N14/(1-1/$F$4)</f>
        <v>746.48993438420723</v>
      </c>
      <c r="O22" s="165"/>
      <c r="P22" s="165">
        <f>P14/(1-1/$F$4)</f>
        <v>746.48993438420723</v>
      </c>
      <c r="Q22" s="165"/>
      <c r="R22" s="165">
        <f>R14/(1-1/$F$4)</f>
        <v>746.48993438420723</v>
      </c>
      <c r="S22" s="165"/>
      <c r="T22" s="165">
        <f>T14/(1-1/$F$4)</f>
        <v>746.48993438420723</v>
      </c>
      <c r="U22" s="165"/>
      <c r="V22" s="165">
        <f>V14/(1-1/$F$4)</f>
        <v>0</v>
      </c>
      <c r="W22" s="165"/>
      <c r="X22" s="165">
        <f>X14/(1-1/$F$4)</f>
        <v>0</v>
      </c>
      <c r="Y22" s="165"/>
      <c r="Z22" s="165">
        <f>Z14/(1-1/$F$4)</f>
        <v>0</v>
      </c>
      <c r="AA22" s="165"/>
      <c r="AB22" s="165">
        <f>AB14/(1-1/$F$4)</f>
        <v>0</v>
      </c>
      <c r="AC22" s="165"/>
      <c r="AD22" s="165">
        <f>AD14/(1-1/$F$4)</f>
        <v>0</v>
      </c>
      <c r="AE22" s="165"/>
      <c r="AF22" s="164"/>
      <c r="AG22" s="164"/>
      <c r="AH22" s="164"/>
      <c r="AI22" s="164"/>
      <c r="AJ22" s="164"/>
      <c r="AK22" s="164"/>
      <c r="AL22" s="164"/>
      <c r="AM22" s="164"/>
      <c r="AN22" s="164"/>
      <c r="AO22" s="164"/>
      <c r="AP22" s="164"/>
      <c r="AQ22" s="164"/>
      <c r="AR22" s="164"/>
      <c r="AS22" s="164"/>
      <c r="AT22" s="164"/>
      <c r="AU22" s="164"/>
      <c r="AV22" s="164"/>
      <c r="AW22" s="164"/>
      <c r="AX22" s="164"/>
      <c r="AY22" s="164"/>
      <c r="AZ22" s="164"/>
      <c r="BA22" s="164"/>
      <c r="BB22" s="164"/>
      <c r="BC22" s="164"/>
      <c r="BD22" s="164"/>
      <c r="BE22" s="164"/>
      <c r="BF22" s="164"/>
      <c r="BG22" s="164"/>
      <c r="BH22" s="164"/>
      <c r="BI22" s="164"/>
      <c r="BJ22" s="164"/>
      <c r="BK22" s="164"/>
      <c r="BL22" s="164"/>
      <c r="BM22" s="164"/>
      <c r="BN22" s="164"/>
      <c r="BO22" s="164"/>
      <c r="BP22" s="164"/>
      <c r="BQ22" s="164"/>
      <c r="BR22" s="164"/>
      <c r="BS22" s="164"/>
      <c r="BT22" s="164"/>
      <c r="BU22" s="164"/>
      <c r="BV22" s="164"/>
      <c r="BW22" s="164"/>
      <c r="BX22" s="164"/>
      <c r="BY22" s="164"/>
      <c r="BZ22" s="164"/>
      <c r="CA22" s="164"/>
      <c r="CB22" s="164"/>
      <c r="CC22" s="164"/>
      <c r="CD22" s="164"/>
      <c r="CE22" s="164"/>
      <c r="CF22" s="164"/>
      <c r="CG22" s="164"/>
      <c r="CH22" s="164"/>
      <c r="CI22" s="164"/>
      <c r="CJ22" s="164"/>
      <c r="CK22" s="164"/>
      <c r="CL22" s="164"/>
      <c r="CM22" s="164"/>
      <c r="CN22" s="164"/>
      <c r="CO22" s="164"/>
      <c r="CP22" s="164"/>
      <c r="CQ22" s="164"/>
      <c r="CR22" s="164"/>
      <c r="CS22" s="164"/>
      <c r="CT22" s="164"/>
      <c r="CU22" s="164"/>
      <c r="CV22" s="164"/>
      <c r="CW22" s="164"/>
      <c r="CX22" s="164"/>
      <c r="CY22" s="164"/>
      <c r="CZ22" s="164"/>
      <c r="DA22" s="164"/>
      <c r="DB22" s="164"/>
      <c r="DC22" s="164"/>
      <c r="DD22" s="164"/>
      <c r="DE22" s="164"/>
      <c r="DF22" s="164"/>
      <c r="DG22" s="164"/>
      <c r="DH22" s="164"/>
      <c r="DI22" s="164"/>
      <c r="DJ22" s="164"/>
      <c r="DK22" s="164"/>
      <c r="DL22" s="164"/>
      <c r="DM22" s="164"/>
      <c r="DN22" s="164"/>
      <c r="DO22" s="164"/>
      <c r="DP22" s="164"/>
      <c r="DQ22" s="164"/>
      <c r="DR22" s="164"/>
      <c r="DS22" s="164"/>
      <c r="DT22" s="164"/>
      <c r="DU22" s="164"/>
      <c r="DV22" s="164"/>
      <c r="DW22" s="164"/>
      <c r="DX22" s="164"/>
      <c r="DY22" s="164"/>
      <c r="DZ22" s="164"/>
      <c r="EA22" s="164"/>
      <c r="EB22" s="164"/>
      <c r="EC22" s="164"/>
      <c r="ED22" s="164"/>
      <c r="EE22" s="164"/>
      <c r="EF22" s="164"/>
      <c r="EG22" s="164"/>
      <c r="EH22" s="164"/>
      <c r="EI22" s="164"/>
      <c r="EJ22" s="164"/>
      <c r="EK22" s="164"/>
      <c r="EL22" s="164"/>
      <c r="EM22" s="164"/>
      <c r="EN22" s="164"/>
      <c r="EO22" s="164"/>
      <c r="EP22" s="164"/>
      <c r="EQ22" s="164"/>
      <c r="ER22" s="164"/>
      <c r="ES22" s="164"/>
      <c r="ET22" s="164"/>
      <c r="EU22" s="164"/>
      <c r="EV22" s="164"/>
      <c r="EW22" s="164"/>
      <c r="EX22" s="164"/>
      <c r="EY22" s="164"/>
      <c r="EZ22" s="164"/>
      <c r="FA22" s="164"/>
      <c r="FB22" s="164"/>
      <c r="FC22" s="164"/>
      <c r="FD22" s="164"/>
      <c r="FE22" s="164"/>
      <c r="FF22" s="164"/>
      <c r="FG22" s="164"/>
      <c r="FH22" s="164"/>
      <c r="FI22" s="164"/>
      <c r="FJ22" s="164"/>
      <c r="FK22" s="164"/>
      <c r="FL22" s="164"/>
      <c r="FM22" s="164"/>
      <c r="FN22" s="164"/>
      <c r="FO22" s="164"/>
      <c r="FP22" s="164"/>
      <c r="FQ22" s="164"/>
      <c r="FR22" s="164"/>
      <c r="FS22" s="164"/>
      <c r="FT22" s="164"/>
      <c r="FU22" s="164"/>
      <c r="FV22" s="164"/>
      <c r="FW22" s="164"/>
      <c r="FX22" s="164"/>
      <c r="FY22" s="164"/>
      <c r="FZ22" s="164"/>
      <c r="GA22" s="164"/>
      <c r="GB22" s="164"/>
      <c r="GC22" s="164"/>
      <c r="GD22" s="164"/>
      <c r="GE22" s="164"/>
      <c r="GF22" s="164"/>
      <c r="GG22" s="164"/>
      <c r="GH22" s="164"/>
      <c r="GI22" s="164"/>
      <c r="GJ22" s="164"/>
      <c r="GK22" s="164"/>
      <c r="GL22" s="164"/>
      <c r="GM22" s="164"/>
      <c r="GN22" s="164"/>
      <c r="GO22" s="164"/>
      <c r="GP22" s="164"/>
      <c r="GQ22" s="164"/>
      <c r="GR22" s="164"/>
      <c r="GS22" s="164"/>
      <c r="GT22" s="164"/>
      <c r="GU22" s="164"/>
      <c r="GV22" s="164"/>
      <c r="GW22" s="164"/>
      <c r="GX22" s="164"/>
      <c r="GY22" s="164"/>
      <c r="GZ22" s="164"/>
      <c r="HA22" s="164"/>
      <c r="HB22" s="164"/>
      <c r="HC22" s="164"/>
      <c r="HD22" s="164"/>
      <c r="HE22" s="164"/>
      <c r="HF22" s="164"/>
      <c r="HG22" s="164"/>
      <c r="HH22" s="164"/>
      <c r="HI22" s="164"/>
      <c r="HJ22" s="164"/>
      <c r="HK22" s="164"/>
      <c r="HL22" s="164"/>
      <c r="HM22" s="164"/>
      <c r="HN22" s="164"/>
      <c r="HO22" s="164"/>
      <c r="HP22" s="164"/>
      <c r="HQ22" s="164"/>
      <c r="HR22" s="164"/>
      <c r="HS22" s="164"/>
      <c r="HT22" s="164"/>
      <c r="HU22" s="164"/>
      <c r="HV22" s="164"/>
      <c r="HW22" s="164"/>
      <c r="HX22" s="164"/>
      <c r="HY22" s="164"/>
      <c r="HZ22" s="164"/>
      <c r="IA22" s="164"/>
      <c r="IB22" s="164"/>
      <c r="IC22" s="164"/>
      <c r="ID22" s="164"/>
      <c r="IE22" s="164"/>
      <c r="IF22" s="164"/>
      <c r="IG22" s="164"/>
      <c r="IH22" s="164"/>
      <c r="II22" s="164"/>
      <c r="IJ22" s="164"/>
      <c r="IK22" s="164"/>
      <c r="IL22" s="164"/>
      <c r="IM22" s="164"/>
      <c r="IN22" s="164"/>
      <c r="IO22" s="164"/>
      <c r="IP22" s="164"/>
      <c r="IQ22" s="164"/>
      <c r="IR22" s="164"/>
      <c r="IS22" s="164"/>
      <c r="IT22" s="164"/>
      <c r="IU22" s="164"/>
      <c r="IV22" s="164"/>
      <c r="IW22" s="164"/>
      <c r="IX22" s="164"/>
      <c r="IY22" s="164"/>
      <c r="IZ22" s="164"/>
      <c r="JA22" s="164"/>
      <c r="JB22" s="164"/>
      <c r="JC22" s="164"/>
      <c r="JD22" s="164"/>
      <c r="JE22" s="164"/>
      <c r="JF22" s="164"/>
      <c r="JG22" s="164"/>
      <c r="JH22" s="164"/>
      <c r="JI22" s="164"/>
      <c r="JJ22" s="164"/>
      <c r="JK22" s="164"/>
      <c r="JL22" s="164"/>
      <c r="JM22" s="164"/>
      <c r="JN22" s="164"/>
      <c r="JO22" s="164"/>
      <c r="JP22" s="164"/>
      <c r="JQ22" s="164"/>
      <c r="JR22" s="164"/>
      <c r="JS22" s="164"/>
      <c r="JT22" s="164"/>
      <c r="JU22" s="164"/>
      <c r="JV22" s="164"/>
      <c r="JW22" s="164"/>
      <c r="JX22" s="164"/>
      <c r="JY22" s="164"/>
      <c r="JZ22" s="164"/>
      <c r="KA22" s="164"/>
      <c r="KB22" s="164"/>
      <c r="KC22" s="164"/>
      <c r="KD22" s="164"/>
      <c r="KE22" s="164"/>
      <c r="KF22" s="164"/>
      <c r="KG22" s="164"/>
      <c r="KH22" s="164"/>
      <c r="KI22" s="164"/>
      <c r="KJ22" s="164"/>
      <c r="KK22" s="164"/>
      <c r="KL22" s="164"/>
      <c r="KM22" s="164"/>
      <c r="KN22" s="164"/>
      <c r="KO22" s="164"/>
      <c r="KP22" s="164"/>
      <c r="KQ22" s="164"/>
      <c r="KR22" s="164"/>
      <c r="KS22" s="164"/>
      <c r="KT22" s="164"/>
      <c r="KU22" s="164"/>
      <c r="KV22" s="164"/>
      <c r="KW22" s="164"/>
      <c r="KX22" s="164"/>
      <c r="KY22" s="164"/>
      <c r="KZ22" s="164"/>
      <c r="LA22" s="164"/>
      <c r="LB22" s="164"/>
      <c r="LC22" s="164"/>
      <c r="LD22" s="164"/>
      <c r="LE22" s="164"/>
      <c r="LF22" s="164"/>
      <c r="LG22" s="164"/>
      <c r="LH22" s="164"/>
    </row>
    <row r="23" spans="1:320" s="161" customFormat="1" ht="18.75" x14ac:dyDescent="0.25">
      <c r="A23" s="163"/>
      <c r="E23" s="160"/>
      <c r="F23" s="160"/>
      <c r="G23" s="160"/>
      <c r="H23" s="162">
        <f>IF(F25="on",$F$7*$F$6+$F$7*((F26-F6)/$F$4),$F$7*$F$6)</f>
        <v>400</v>
      </c>
      <c r="I23" s="160"/>
      <c r="J23" s="160"/>
      <c r="K23" s="160"/>
      <c r="L23" s="160"/>
      <c r="M23" s="160"/>
      <c r="N23" s="160"/>
      <c r="O23" s="160"/>
      <c r="P23" s="160"/>
      <c r="Q23" s="160"/>
      <c r="R23" s="160"/>
      <c r="S23" s="160"/>
    </row>
    <row r="24" spans="1:320" ht="87.6" hidden="1" customHeight="1" thickBot="1" x14ac:dyDescent="0.3">
      <c r="H24" s="148"/>
      <c r="I24" s="156"/>
      <c r="J24" s="156"/>
      <c r="K24" s="156"/>
      <c r="L24" s="156"/>
      <c r="M24" s="156"/>
      <c r="N24" s="156"/>
      <c r="O24" s="156"/>
      <c r="P24" s="156"/>
      <c r="Q24" s="156"/>
      <c r="R24" s="156"/>
      <c r="S24" s="156"/>
    </row>
    <row r="25" spans="1:320" ht="87.6" hidden="1" customHeight="1" x14ac:dyDescent="0.25">
      <c r="B25" s="379" t="s">
        <v>103</v>
      </c>
      <c r="C25" s="380"/>
      <c r="D25" s="380"/>
      <c r="E25" s="380"/>
      <c r="F25" s="381" t="s">
        <v>102</v>
      </c>
      <c r="G25" s="382"/>
      <c r="H25" s="160"/>
    </row>
    <row r="26" spans="1:320" ht="87.6" hidden="1" customHeight="1" thickBot="1" x14ac:dyDescent="0.35">
      <c r="B26" s="356" t="str">
        <f>IF(F25="off","off","how many capillaries for the other dilutions :")</f>
        <v>off</v>
      </c>
      <c r="C26" s="357"/>
      <c r="D26" s="357"/>
      <c r="E26" s="357"/>
      <c r="F26" s="358">
        <v>3</v>
      </c>
      <c r="G26" s="359"/>
      <c r="H26" s="148"/>
      <c r="I26" s="156"/>
      <c r="J26" s="156"/>
      <c r="K26" s="156"/>
      <c r="L26" s="156"/>
      <c r="M26" s="156"/>
      <c r="N26" s="156"/>
      <c r="O26" s="156"/>
      <c r="P26" s="156"/>
      <c r="Q26" s="156"/>
      <c r="R26" s="156"/>
      <c r="S26" s="156"/>
    </row>
    <row r="27" spans="1:320" ht="87.6" hidden="1" customHeight="1" x14ac:dyDescent="0.25">
      <c r="B27" s="122"/>
      <c r="C27" s="122"/>
      <c r="F27" s="157"/>
      <c r="G27" s="157"/>
      <c r="H27" s="159"/>
      <c r="I27" s="157"/>
      <c r="J27" s="157"/>
      <c r="K27" s="157"/>
      <c r="L27" s="157"/>
      <c r="M27" s="157"/>
      <c r="N27" s="157"/>
      <c r="O27" s="157"/>
      <c r="P27" s="157"/>
      <c r="Q27" s="157"/>
      <c r="R27" s="157"/>
      <c r="S27" s="156"/>
    </row>
    <row r="28" spans="1:320" ht="87.6" hidden="1" customHeight="1" x14ac:dyDescent="0.25">
      <c r="B28" s="122"/>
      <c r="C28" s="122"/>
      <c r="D28" s="122"/>
      <c r="E28" s="157"/>
      <c r="F28" s="157"/>
      <c r="G28" s="157"/>
      <c r="H28" s="157"/>
      <c r="I28" s="157"/>
      <c r="J28" s="157"/>
      <c r="K28" s="157"/>
      <c r="L28" s="157"/>
      <c r="M28" s="157"/>
      <c r="N28" s="157"/>
      <c r="O28" s="157"/>
      <c r="P28" s="157"/>
      <c r="Q28" s="157"/>
      <c r="R28" s="157"/>
      <c r="S28" s="156"/>
    </row>
    <row r="29" spans="1:320" ht="87.6" hidden="1" customHeight="1" x14ac:dyDescent="0.25">
      <c r="B29" s="122"/>
      <c r="C29" s="122"/>
      <c r="D29" s="122"/>
      <c r="E29" s="157"/>
      <c r="F29" s="157"/>
      <c r="G29" s="157"/>
      <c r="H29" s="157"/>
      <c r="I29" s="157"/>
      <c r="J29" s="157"/>
      <c r="K29" s="157"/>
      <c r="L29" s="157"/>
      <c r="M29" s="157"/>
      <c r="N29" s="157"/>
      <c r="O29" s="157"/>
      <c r="P29" s="157"/>
      <c r="Q29" s="157"/>
      <c r="R29" s="157"/>
      <c r="S29" s="156"/>
    </row>
    <row r="30" spans="1:320" ht="87.6" hidden="1" customHeight="1" x14ac:dyDescent="0.25">
      <c r="B30" s="17"/>
      <c r="C30" s="17"/>
      <c r="D30" s="17"/>
      <c r="E30" s="156"/>
      <c r="F30" s="156"/>
      <c r="G30" s="156"/>
      <c r="H30" s="156"/>
      <c r="I30" s="156"/>
      <c r="J30" s="156"/>
      <c r="K30" s="156"/>
      <c r="L30" s="156"/>
      <c r="M30" s="156"/>
      <c r="N30" s="156"/>
      <c r="O30" s="156"/>
      <c r="P30" s="156"/>
      <c r="Q30" s="156"/>
      <c r="R30" s="156"/>
      <c r="S30" s="156"/>
    </row>
    <row r="31" spans="1:320" ht="87.6" hidden="1" customHeight="1" x14ac:dyDescent="0.25">
      <c r="B31" s="17"/>
      <c r="E31" s="156"/>
      <c r="F31" s="156"/>
      <c r="G31" s="156"/>
      <c r="H31" s="156"/>
      <c r="I31" s="156"/>
      <c r="J31" s="156"/>
      <c r="K31" s="156"/>
      <c r="L31" s="156"/>
      <c r="M31" s="156"/>
      <c r="N31" s="156"/>
      <c r="O31" s="156"/>
      <c r="P31" s="156"/>
      <c r="Q31" s="156"/>
      <c r="R31" s="156"/>
      <c r="S31" s="156"/>
    </row>
    <row r="32" spans="1:320" x14ac:dyDescent="0.25">
      <c r="H32" s="156"/>
      <c r="I32" s="156"/>
      <c r="J32" s="156"/>
      <c r="K32" s="156"/>
      <c r="L32" s="156"/>
      <c r="M32" s="156"/>
      <c r="N32" s="156"/>
      <c r="O32" s="156"/>
      <c r="P32" s="156"/>
      <c r="Q32" s="156"/>
      <c r="R32" s="156"/>
      <c r="S32" s="156"/>
    </row>
    <row r="33" spans="1:320" x14ac:dyDescent="0.25">
      <c r="H33" s="156"/>
      <c r="I33" s="156"/>
      <c r="J33" s="156"/>
      <c r="K33" s="156"/>
      <c r="L33" s="156"/>
      <c r="M33" s="156"/>
      <c r="N33" s="156"/>
      <c r="O33" s="156"/>
      <c r="P33" s="156"/>
      <c r="Q33" s="156"/>
      <c r="R33" s="156"/>
      <c r="S33" s="156"/>
    </row>
    <row r="34" spans="1:320" x14ac:dyDescent="0.25">
      <c r="B34" s="17"/>
      <c r="C34" s="17"/>
      <c r="D34" s="17"/>
      <c r="E34" s="156"/>
      <c r="F34" s="156"/>
      <c r="G34" s="156"/>
      <c r="H34" s="156"/>
      <c r="I34" s="156"/>
      <c r="J34" s="156"/>
      <c r="K34" s="156"/>
      <c r="L34" s="156"/>
      <c r="M34" s="156"/>
      <c r="N34" s="156"/>
      <c r="O34" s="156"/>
      <c r="P34" s="156"/>
      <c r="Q34" s="156"/>
      <c r="R34" s="156"/>
      <c r="S34" s="156"/>
    </row>
    <row r="35" spans="1:320" x14ac:dyDescent="0.25">
      <c r="B35" s="17"/>
      <c r="C35" s="17"/>
      <c r="D35" s="17"/>
      <c r="E35" s="156"/>
      <c r="F35" s="156"/>
      <c r="G35" s="156"/>
      <c r="H35" s="156"/>
      <c r="I35" s="156"/>
      <c r="J35" s="156"/>
      <c r="K35" s="156"/>
      <c r="L35" s="156"/>
      <c r="M35" s="156"/>
      <c r="N35" s="156"/>
      <c r="O35" s="156"/>
      <c r="P35" s="156"/>
      <c r="Q35" s="156"/>
      <c r="R35" s="156"/>
      <c r="S35" s="156"/>
    </row>
    <row r="36" spans="1:320" s="17" customFormat="1" x14ac:dyDescent="0.25">
      <c r="A36" s="147"/>
      <c r="E36" s="156"/>
      <c r="F36" s="156"/>
      <c r="G36" s="156"/>
      <c r="H36" s="156"/>
      <c r="I36" s="156"/>
      <c r="J36" s="156"/>
      <c r="K36" s="156"/>
      <c r="L36" s="156"/>
      <c r="M36" s="156"/>
      <c r="N36" s="156"/>
      <c r="O36" s="156"/>
      <c r="P36" s="156"/>
      <c r="Q36" s="156"/>
      <c r="R36" s="156"/>
      <c r="S36" s="156"/>
      <c r="AC36" s="60"/>
      <c r="AD36" s="60"/>
      <c r="AE36" s="60"/>
      <c r="AF36" s="60"/>
      <c r="AG36" s="60"/>
      <c r="AH36" s="60"/>
      <c r="AI36" s="60"/>
      <c r="AJ36" s="60"/>
      <c r="AK36" s="60"/>
      <c r="AL36" s="60"/>
      <c r="AM36" s="60"/>
      <c r="AN36" s="60"/>
      <c r="AO36" s="60"/>
      <c r="AP36" s="60"/>
      <c r="AQ36" s="60"/>
      <c r="AR36" s="60"/>
      <c r="AS36" s="60"/>
      <c r="AT36" s="60"/>
      <c r="AU36" s="60"/>
      <c r="AV36" s="60"/>
      <c r="AW36" s="60"/>
      <c r="AX36" s="60"/>
      <c r="AY36" s="60"/>
      <c r="AZ36" s="60"/>
      <c r="BA36" s="60"/>
      <c r="BB36" s="60"/>
      <c r="BC36" s="60"/>
      <c r="BD36" s="60"/>
      <c r="BE36" s="60"/>
      <c r="BF36" s="60"/>
      <c r="BG36" s="60"/>
      <c r="BH36" s="60"/>
      <c r="BI36" s="60"/>
      <c r="BJ36" s="60"/>
      <c r="BK36" s="60"/>
      <c r="BL36" s="60"/>
      <c r="BM36" s="60"/>
      <c r="BN36" s="60"/>
      <c r="BO36" s="60"/>
      <c r="BP36" s="60"/>
      <c r="BQ36" s="60"/>
      <c r="BR36" s="60"/>
      <c r="BS36" s="60"/>
      <c r="BT36" s="60"/>
      <c r="BU36" s="60"/>
      <c r="BV36" s="60"/>
      <c r="BW36" s="60"/>
      <c r="BX36" s="60"/>
      <c r="BY36" s="60"/>
      <c r="BZ36" s="60"/>
      <c r="CA36" s="60"/>
      <c r="CB36" s="60"/>
      <c r="CC36" s="60"/>
      <c r="CD36" s="60"/>
      <c r="CE36" s="60"/>
      <c r="CF36" s="60"/>
      <c r="CG36" s="60"/>
      <c r="CH36" s="60"/>
      <c r="CI36" s="60"/>
      <c r="CJ36" s="60"/>
      <c r="CK36" s="60"/>
      <c r="CL36" s="60"/>
      <c r="CM36" s="60"/>
      <c r="CN36" s="60"/>
      <c r="CO36" s="60"/>
      <c r="CP36" s="60"/>
      <c r="CQ36" s="60"/>
      <c r="CR36" s="60"/>
      <c r="CS36" s="60"/>
      <c r="CT36" s="60"/>
      <c r="CU36" s="60"/>
      <c r="CV36" s="60"/>
      <c r="CW36" s="60"/>
      <c r="CX36" s="60"/>
      <c r="CY36" s="60"/>
      <c r="CZ36" s="60"/>
      <c r="DA36" s="60"/>
      <c r="DB36" s="60"/>
      <c r="DC36" s="60"/>
      <c r="DD36" s="60"/>
      <c r="DE36" s="60"/>
      <c r="DF36" s="60"/>
      <c r="DG36" s="60"/>
      <c r="DH36" s="60"/>
      <c r="DI36" s="60"/>
      <c r="DJ36" s="60"/>
      <c r="DK36" s="60"/>
      <c r="DL36" s="60"/>
      <c r="DM36" s="60"/>
      <c r="DN36" s="60"/>
      <c r="DO36" s="60"/>
      <c r="DP36" s="60"/>
      <c r="DQ36" s="60"/>
      <c r="DR36" s="60"/>
      <c r="DS36" s="60"/>
      <c r="DT36" s="60"/>
      <c r="DU36" s="60"/>
      <c r="DV36" s="60"/>
      <c r="DW36" s="60"/>
      <c r="DX36" s="60"/>
      <c r="DY36" s="60"/>
      <c r="DZ36" s="60"/>
      <c r="EA36" s="60"/>
      <c r="EB36" s="60"/>
      <c r="EC36" s="60"/>
      <c r="ED36" s="60"/>
      <c r="EE36" s="60"/>
      <c r="EF36" s="60"/>
      <c r="EG36" s="60"/>
      <c r="EH36" s="60"/>
      <c r="EI36" s="60"/>
      <c r="EJ36" s="60"/>
      <c r="EK36" s="60"/>
      <c r="EL36" s="60"/>
      <c r="EM36" s="60"/>
      <c r="EN36" s="60"/>
      <c r="EO36" s="60"/>
      <c r="EP36" s="60"/>
      <c r="EQ36" s="60"/>
      <c r="ER36" s="60"/>
      <c r="ES36" s="60"/>
      <c r="ET36" s="60"/>
      <c r="EU36" s="60"/>
      <c r="EV36" s="60"/>
      <c r="EW36" s="60"/>
      <c r="EX36" s="60"/>
      <c r="EY36" s="60"/>
      <c r="EZ36" s="60"/>
      <c r="FA36" s="60"/>
      <c r="FB36" s="60"/>
      <c r="FC36" s="60"/>
      <c r="FD36" s="60"/>
      <c r="FE36" s="60"/>
      <c r="FF36" s="60"/>
      <c r="FG36" s="60"/>
      <c r="FH36" s="60"/>
      <c r="FI36" s="60"/>
      <c r="FJ36" s="60"/>
      <c r="FK36" s="60"/>
      <c r="FL36" s="60"/>
      <c r="FM36" s="60"/>
      <c r="FN36" s="60"/>
      <c r="FO36" s="60"/>
      <c r="FP36" s="60"/>
      <c r="FQ36" s="60"/>
      <c r="FR36" s="60"/>
      <c r="FS36" s="60"/>
      <c r="FT36" s="60"/>
      <c r="FU36" s="60"/>
      <c r="FV36" s="60"/>
      <c r="FW36" s="60"/>
      <c r="FX36" s="60"/>
      <c r="FY36" s="60"/>
      <c r="FZ36" s="60"/>
      <c r="GA36" s="60"/>
      <c r="GB36" s="60"/>
      <c r="GC36" s="60"/>
      <c r="GD36" s="60"/>
      <c r="GE36" s="60"/>
      <c r="GF36" s="60"/>
      <c r="GG36" s="60"/>
      <c r="GH36" s="60"/>
      <c r="GI36" s="60"/>
      <c r="GJ36" s="60"/>
      <c r="GK36" s="60"/>
      <c r="GL36" s="60"/>
      <c r="GM36" s="60"/>
      <c r="GN36" s="60"/>
      <c r="GO36" s="60"/>
      <c r="GP36" s="60"/>
      <c r="GQ36" s="60"/>
      <c r="GR36" s="60"/>
      <c r="GS36" s="60"/>
      <c r="GT36" s="60"/>
      <c r="GU36" s="60"/>
      <c r="GV36" s="60"/>
      <c r="GW36" s="60"/>
      <c r="GX36" s="60"/>
      <c r="GY36" s="60"/>
      <c r="GZ36" s="60"/>
      <c r="HA36" s="60"/>
      <c r="HB36" s="60"/>
      <c r="HC36" s="60"/>
      <c r="HD36" s="60"/>
      <c r="HE36" s="60"/>
      <c r="HF36" s="60"/>
      <c r="HG36" s="60"/>
      <c r="HH36" s="60"/>
      <c r="HI36" s="60"/>
      <c r="HJ36" s="60"/>
      <c r="HK36" s="60"/>
      <c r="HL36" s="60"/>
      <c r="HM36" s="60"/>
      <c r="HN36" s="60"/>
      <c r="HO36" s="60"/>
      <c r="HP36" s="60"/>
      <c r="HQ36" s="60"/>
      <c r="HR36" s="60"/>
      <c r="HS36" s="60"/>
      <c r="HT36" s="60"/>
      <c r="HU36" s="60"/>
      <c r="HV36" s="60"/>
      <c r="HW36" s="60"/>
      <c r="HX36" s="60"/>
      <c r="HY36" s="60"/>
      <c r="HZ36" s="60"/>
      <c r="IA36" s="60"/>
      <c r="IB36" s="60"/>
      <c r="IC36" s="60"/>
      <c r="ID36" s="60"/>
      <c r="IE36" s="60"/>
      <c r="IF36" s="60"/>
      <c r="IG36" s="60"/>
      <c r="IH36" s="60"/>
      <c r="II36" s="60"/>
      <c r="IJ36" s="60"/>
      <c r="IK36" s="60"/>
      <c r="IL36" s="60"/>
      <c r="IM36" s="60"/>
      <c r="IN36" s="60"/>
      <c r="IO36" s="60"/>
      <c r="IP36" s="60"/>
      <c r="IQ36" s="60"/>
      <c r="IR36" s="60"/>
      <c r="IS36" s="60"/>
      <c r="IT36" s="60"/>
      <c r="IU36" s="60"/>
      <c r="IV36" s="60"/>
      <c r="IW36" s="60"/>
      <c r="IX36" s="60"/>
      <c r="IY36" s="60"/>
      <c r="IZ36" s="60"/>
      <c r="JA36" s="60"/>
      <c r="JB36" s="60"/>
      <c r="JC36" s="60"/>
      <c r="JD36" s="60"/>
      <c r="JE36" s="60"/>
      <c r="JF36" s="60"/>
      <c r="JG36" s="60"/>
      <c r="JH36" s="60"/>
      <c r="JI36" s="60"/>
      <c r="JJ36" s="60"/>
      <c r="JK36" s="60"/>
      <c r="JL36" s="60"/>
      <c r="JM36" s="60"/>
      <c r="JN36" s="60"/>
      <c r="JO36" s="60"/>
      <c r="JP36" s="60"/>
      <c r="JQ36" s="60"/>
      <c r="JR36" s="60"/>
      <c r="JS36" s="60"/>
      <c r="JT36" s="60"/>
      <c r="JU36" s="60"/>
      <c r="JV36" s="60"/>
      <c r="JW36" s="60"/>
      <c r="JX36" s="60"/>
      <c r="JY36" s="60"/>
      <c r="JZ36" s="60"/>
      <c r="KA36" s="60"/>
      <c r="KB36" s="60"/>
      <c r="KC36" s="60"/>
      <c r="KD36" s="60"/>
      <c r="KE36" s="60"/>
      <c r="KF36" s="60"/>
      <c r="KG36" s="60"/>
      <c r="KH36" s="60"/>
      <c r="KI36" s="60"/>
      <c r="KJ36" s="60"/>
      <c r="KK36" s="60"/>
      <c r="KL36" s="60"/>
      <c r="KM36" s="60"/>
      <c r="KN36" s="60"/>
      <c r="KO36" s="60"/>
      <c r="KP36" s="60"/>
      <c r="KQ36" s="60"/>
      <c r="KR36" s="60"/>
      <c r="KS36" s="60"/>
      <c r="KT36" s="60"/>
      <c r="KU36" s="60"/>
      <c r="KV36" s="60"/>
      <c r="KW36" s="60"/>
      <c r="KX36" s="60"/>
      <c r="KY36" s="60"/>
      <c r="KZ36" s="60"/>
      <c r="LA36" s="60"/>
      <c r="LB36" s="60"/>
      <c r="LC36" s="60"/>
      <c r="LD36" s="60"/>
      <c r="LE36" s="60"/>
      <c r="LF36" s="60"/>
      <c r="LG36" s="60"/>
      <c r="LH36" s="60"/>
    </row>
    <row r="37" spans="1:320" s="17" customFormat="1" x14ac:dyDescent="0.25">
      <c r="A37" s="147"/>
      <c r="E37" s="156"/>
      <c r="F37" s="156"/>
      <c r="G37" s="156"/>
      <c r="H37" s="156"/>
      <c r="I37" s="156"/>
      <c r="J37" s="156"/>
      <c r="K37" s="156"/>
      <c r="L37" s="156"/>
      <c r="M37" s="156"/>
      <c r="N37" s="156"/>
      <c r="O37" s="156"/>
      <c r="P37" s="156"/>
      <c r="Q37" s="156"/>
      <c r="R37" s="156"/>
      <c r="S37" s="156"/>
      <c r="AC37" s="60"/>
      <c r="AD37" s="60"/>
      <c r="AE37" s="60"/>
      <c r="AF37" s="60"/>
      <c r="AG37" s="60"/>
      <c r="AH37" s="60"/>
      <c r="AI37" s="60"/>
      <c r="AJ37" s="60"/>
      <c r="AK37" s="60"/>
      <c r="AL37" s="60"/>
      <c r="AM37" s="60"/>
      <c r="AN37" s="60"/>
      <c r="AO37" s="60"/>
      <c r="AP37" s="60"/>
      <c r="AQ37" s="60"/>
      <c r="AR37" s="60"/>
      <c r="AS37" s="60"/>
      <c r="AT37" s="60"/>
      <c r="AU37" s="60"/>
      <c r="AV37" s="60"/>
      <c r="AW37" s="60"/>
      <c r="AX37" s="60"/>
      <c r="AY37" s="60"/>
      <c r="AZ37" s="60"/>
      <c r="BA37" s="60"/>
      <c r="BB37" s="60"/>
      <c r="BC37" s="60"/>
      <c r="BD37" s="60"/>
      <c r="BE37" s="60"/>
      <c r="BF37" s="60"/>
      <c r="BG37" s="60"/>
      <c r="BH37" s="60"/>
      <c r="BI37" s="60"/>
      <c r="BJ37" s="60"/>
      <c r="BK37" s="60"/>
      <c r="BL37" s="60"/>
      <c r="BM37" s="60"/>
      <c r="BN37" s="60"/>
      <c r="BO37" s="60"/>
      <c r="BP37" s="60"/>
      <c r="BQ37" s="60"/>
      <c r="BR37" s="60"/>
      <c r="BS37" s="60"/>
      <c r="BT37" s="60"/>
      <c r="BU37" s="60"/>
      <c r="BV37" s="60"/>
      <c r="BW37" s="60"/>
      <c r="BX37" s="60"/>
      <c r="BY37" s="60"/>
      <c r="BZ37" s="60"/>
      <c r="CA37" s="60"/>
      <c r="CB37" s="60"/>
      <c r="CC37" s="60"/>
      <c r="CD37" s="60"/>
      <c r="CE37" s="60"/>
      <c r="CF37" s="60"/>
      <c r="CG37" s="60"/>
      <c r="CH37" s="60"/>
      <c r="CI37" s="60"/>
      <c r="CJ37" s="60"/>
      <c r="CK37" s="60"/>
      <c r="CL37" s="60"/>
      <c r="CM37" s="60"/>
      <c r="CN37" s="60"/>
      <c r="CO37" s="60"/>
      <c r="CP37" s="60"/>
      <c r="CQ37" s="60"/>
      <c r="CR37" s="60"/>
      <c r="CS37" s="60"/>
      <c r="CT37" s="60"/>
      <c r="CU37" s="60"/>
      <c r="CV37" s="60"/>
      <c r="CW37" s="60"/>
      <c r="CX37" s="60"/>
      <c r="CY37" s="60"/>
      <c r="CZ37" s="60"/>
      <c r="DA37" s="60"/>
      <c r="DB37" s="60"/>
      <c r="DC37" s="60"/>
      <c r="DD37" s="60"/>
      <c r="DE37" s="60"/>
      <c r="DF37" s="60"/>
      <c r="DG37" s="60"/>
      <c r="DH37" s="60"/>
      <c r="DI37" s="60"/>
      <c r="DJ37" s="60"/>
      <c r="DK37" s="60"/>
      <c r="DL37" s="60"/>
      <c r="DM37" s="60"/>
      <c r="DN37" s="60"/>
      <c r="DO37" s="60"/>
      <c r="DP37" s="60"/>
      <c r="DQ37" s="60"/>
      <c r="DR37" s="60"/>
      <c r="DS37" s="60"/>
      <c r="DT37" s="60"/>
      <c r="DU37" s="60"/>
      <c r="DV37" s="60"/>
      <c r="DW37" s="60"/>
      <c r="DX37" s="60"/>
      <c r="DY37" s="60"/>
      <c r="DZ37" s="60"/>
      <c r="EA37" s="60"/>
      <c r="EB37" s="60"/>
      <c r="EC37" s="60"/>
      <c r="ED37" s="60"/>
      <c r="EE37" s="60"/>
      <c r="EF37" s="60"/>
      <c r="EG37" s="60"/>
      <c r="EH37" s="60"/>
      <c r="EI37" s="60"/>
      <c r="EJ37" s="60"/>
      <c r="EK37" s="60"/>
      <c r="EL37" s="60"/>
      <c r="EM37" s="60"/>
      <c r="EN37" s="60"/>
      <c r="EO37" s="60"/>
      <c r="EP37" s="60"/>
      <c r="EQ37" s="60"/>
      <c r="ER37" s="60"/>
      <c r="ES37" s="60"/>
      <c r="ET37" s="60"/>
      <c r="EU37" s="60"/>
      <c r="EV37" s="60"/>
      <c r="EW37" s="60"/>
      <c r="EX37" s="60"/>
      <c r="EY37" s="60"/>
      <c r="EZ37" s="60"/>
      <c r="FA37" s="60"/>
      <c r="FB37" s="60"/>
      <c r="FC37" s="60"/>
      <c r="FD37" s="60"/>
      <c r="FE37" s="60"/>
      <c r="FF37" s="60"/>
      <c r="FG37" s="60"/>
      <c r="FH37" s="60"/>
      <c r="FI37" s="60"/>
      <c r="FJ37" s="60"/>
      <c r="FK37" s="60"/>
      <c r="FL37" s="60"/>
      <c r="FM37" s="60"/>
      <c r="FN37" s="60"/>
      <c r="FO37" s="60"/>
      <c r="FP37" s="60"/>
      <c r="FQ37" s="60"/>
      <c r="FR37" s="60"/>
      <c r="FS37" s="60"/>
      <c r="FT37" s="60"/>
      <c r="FU37" s="60"/>
      <c r="FV37" s="60"/>
      <c r="FW37" s="60"/>
      <c r="FX37" s="60"/>
      <c r="FY37" s="60"/>
      <c r="FZ37" s="60"/>
      <c r="GA37" s="60"/>
      <c r="GB37" s="60"/>
      <c r="GC37" s="60"/>
      <c r="GD37" s="60"/>
      <c r="GE37" s="60"/>
      <c r="GF37" s="60"/>
      <c r="GG37" s="60"/>
      <c r="GH37" s="60"/>
      <c r="GI37" s="60"/>
      <c r="GJ37" s="60"/>
      <c r="GK37" s="60"/>
      <c r="GL37" s="60"/>
      <c r="GM37" s="60"/>
      <c r="GN37" s="60"/>
      <c r="GO37" s="60"/>
      <c r="GP37" s="60"/>
      <c r="GQ37" s="60"/>
      <c r="GR37" s="60"/>
      <c r="GS37" s="60"/>
      <c r="GT37" s="60"/>
      <c r="GU37" s="60"/>
      <c r="GV37" s="60"/>
      <c r="GW37" s="60"/>
      <c r="GX37" s="60"/>
      <c r="GY37" s="60"/>
      <c r="GZ37" s="60"/>
      <c r="HA37" s="60"/>
      <c r="HB37" s="60"/>
      <c r="HC37" s="60"/>
      <c r="HD37" s="60"/>
      <c r="HE37" s="60"/>
      <c r="HF37" s="60"/>
      <c r="HG37" s="60"/>
      <c r="HH37" s="60"/>
      <c r="HI37" s="60"/>
      <c r="HJ37" s="60"/>
      <c r="HK37" s="60"/>
      <c r="HL37" s="60"/>
      <c r="HM37" s="60"/>
      <c r="HN37" s="60"/>
      <c r="HO37" s="60"/>
      <c r="HP37" s="60"/>
      <c r="HQ37" s="60"/>
      <c r="HR37" s="60"/>
      <c r="HS37" s="60"/>
      <c r="HT37" s="60"/>
      <c r="HU37" s="60"/>
      <c r="HV37" s="60"/>
      <c r="HW37" s="60"/>
      <c r="HX37" s="60"/>
      <c r="HY37" s="60"/>
      <c r="HZ37" s="60"/>
      <c r="IA37" s="60"/>
      <c r="IB37" s="60"/>
      <c r="IC37" s="60"/>
      <c r="ID37" s="60"/>
      <c r="IE37" s="60"/>
      <c r="IF37" s="60"/>
      <c r="IG37" s="60"/>
      <c r="IH37" s="60"/>
      <c r="II37" s="60"/>
      <c r="IJ37" s="60"/>
      <c r="IK37" s="60"/>
      <c r="IL37" s="60"/>
      <c r="IM37" s="60"/>
      <c r="IN37" s="60"/>
      <c r="IO37" s="60"/>
      <c r="IP37" s="60"/>
      <c r="IQ37" s="60"/>
      <c r="IR37" s="60"/>
      <c r="IS37" s="60"/>
      <c r="IT37" s="60"/>
      <c r="IU37" s="60"/>
      <c r="IV37" s="60"/>
      <c r="IW37" s="60"/>
      <c r="IX37" s="60"/>
      <c r="IY37" s="60"/>
      <c r="IZ37" s="60"/>
      <c r="JA37" s="60"/>
      <c r="JB37" s="60"/>
      <c r="JC37" s="60"/>
      <c r="JD37" s="60"/>
      <c r="JE37" s="60"/>
      <c r="JF37" s="60"/>
      <c r="JG37" s="60"/>
      <c r="JH37" s="60"/>
      <c r="JI37" s="60"/>
      <c r="JJ37" s="60"/>
      <c r="JK37" s="60"/>
      <c r="JL37" s="60"/>
      <c r="JM37" s="60"/>
      <c r="JN37" s="60"/>
      <c r="JO37" s="60"/>
      <c r="JP37" s="60"/>
      <c r="JQ37" s="60"/>
      <c r="JR37" s="60"/>
      <c r="JS37" s="60"/>
      <c r="JT37" s="60"/>
      <c r="JU37" s="60"/>
      <c r="JV37" s="60"/>
      <c r="JW37" s="60"/>
      <c r="JX37" s="60"/>
      <c r="JY37" s="60"/>
      <c r="JZ37" s="60"/>
      <c r="KA37" s="60"/>
      <c r="KB37" s="60"/>
      <c r="KC37" s="60"/>
      <c r="KD37" s="60"/>
      <c r="KE37" s="60"/>
      <c r="KF37" s="60"/>
      <c r="KG37" s="60"/>
      <c r="KH37" s="60"/>
      <c r="KI37" s="60"/>
      <c r="KJ37" s="60"/>
      <c r="KK37" s="60"/>
      <c r="KL37" s="60"/>
      <c r="KM37" s="60"/>
      <c r="KN37" s="60"/>
      <c r="KO37" s="60"/>
      <c r="KP37" s="60"/>
      <c r="KQ37" s="60"/>
      <c r="KR37" s="60"/>
      <c r="KS37" s="60"/>
      <c r="KT37" s="60"/>
      <c r="KU37" s="60"/>
      <c r="KV37" s="60"/>
      <c r="KW37" s="60"/>
      <c r="KX37" s="60"/>
      <c r="KY37" s="60"/>
      <c r="KZ37" s="60"/>
      <c r="LA37" s="60"/>
      <c r="LB37" s="60"/>
      <c r="LC37" s="60"/>
      <c r="LD37" s="60"/>
      <c r="LE37" s="60"/>
      <c r="LF37" s="60"/>
      <c r="LG37" s="60"/>
      <c r="LH37" s="60"/>
    </row>
    <row r="38" spans="1:320" s="17" customFormat="1" x14ac:dyDescent="0.25">
      <c r="A38" s="147"/>
      <c r="E38" s="156"/>
      <c r="F38" s="157"/>
      <c r="G38" s="157"/>
      <c r="H38" s="156"/>
      <c r="I38" s="156"/>
      <c r="J38" s="156"/>
      <c r="K38" s="156"/>
      <c r="L38" s="156"/>
      <c r="M38" s="156"/>
      <c r="N38" s="156"/>
      <c r="O38" s="156"/>
      <c r="P38" s="156"/>
      <c r="Q38" s="156"/>
      <c r="R38" s="156"/>
      <c r="S38" s="156"/>
      <c r="AC38" s="60"/>
      <c r="AD38" s="60"/>
      <c r="AE38" s="60"/>
      <c r="AF38" s="60"/>
      <c r="AG38" s="60"/>
      <c r="AH38" s="60"/>
      <c r="AI38" s="60"/>
      <c r="AJ38" s="60"/>
      <c r="AK38" s="60"/>
      <c r="AL38" s="60"/>
      <c r="AM38" s="60"/>
      <c r="AN38" s="60"/>
      <c r="AO38" s="60"/>
      <c r="AP38" s="60"/>
      <c r="AQ38" s="60"/>
      <c r="AR38" s="60"/>
      <c r="AS38" s="60"/>
      <c r="AT38" s="60"/>
      <c r="AU38" s="60"/>
      <c r="AV38" s="60"/>
      <c r="AW38" s="60"/>
      <c r="AX38" s="60"/>
      <c r="AY38" s="60"/>
      <c r="AZ38" s="60"/>
      <c r="BA38" s="60"/>
      <c r="BB38" s="60"/>
      <c r="BC38" s="60"/>
      <c r="BD38" s="60"/>
      <c r="BE38" s="60"/>
      <c r="BF38" s="60"/>
      <c r="BG38" s="60"/>
      <c r="BH38" s="60"/>
      <c r="BI38" s="60"/>
      <c r="BJ38" s="60"/>
      <c r="BK38" s="60"/>
      <c r="BL38" s="60"/>
      <c r="BM38" s="60"/>
      <c r="BN38" s="60"/>
      <c r="BO38" s="60"/>
      <c r="BP38" s="60"/>
      <c r="BQ38" s="60"/>
      <c r="BR38" s="60"/>
      <c r="BS38" s="60"/>
      <c r="BT38" s="60"/>
      <c r="BU38" s="60"/>
      <c r="BV38" s="60"/>
      <c r="BW38" s="60"/>
      <c r="BX38" s="60"/>
      <c r="BY38" s="60"/>
      <c r="BZ38" s="60"/>
      <c r="CA38" s="60"/>
      <c r="CB38" s="60"/>
      <c r="CC38" s="60"/>
      <c r="CD38" s="60"/>
      <c r="CE38" s="60"/>
      <c r="CF38" s="60"/>
      <c r="CG38" s="60"/>
      <c r="CH38" s="60"/>
      <c r="CI38" s="60"/>
      <c r="CJ38" s="60"/>
      <c r="CK38" s="60"/>
      <c r="CL38" s="60"/>
      <c r="CM38" s="60"/>
      <c r="CN38" s="60"/>
      <c r="CO38" s="60"/>
      <c r="CP38" s="60"/>
      <c r="CQ38" s="60"/>
      <c r="CR38" s="60"/>
      <c r="CS38" s="60"/>
      <c r="CT38" s="60"/>
      <c r="CU38" s="60"/>
      <c r="CV38" s="60"/>
      <c r="CW38" s="60"/>
      <c r="CX38" s="60"/>
      <c r="CY38" s="60"/>
      <c r="CZ38" s="60"/>
      <c r="DA38" s="60"/>
      <c r="DB38" s="60"/>
      <c r="DC38" s="60"/>
      <c r="DD38" s="60"/>
      <c r="DE38" s="60"/>
      <c r="DF38" s="60"/>
      <c r="DG38" s="60"/>
      <c r="DH38" s="60"/>
      <c r="DI38" s="60"/>
      <c r="DJ38" s="60"/>
      <c r="DK38" s="60"/>
      <c r="DL38" s="60"/>
      <c r="DM38" s="60"/>
      <c r="DN38" s="60"/>
      <c r="DO38" s="60"/>
      <c r="DP38" s="60"/>
      <c r="DQ38" s="60"/>
      <c r="DR38" s="60"/>
      <c r="DS38" s="60"/>
      <c r="DT38" s="60"/>
      <c r="DU38" s="60"/>
      <c r="DV38" s="60"/>
      <c r="DW38" s="60"/>
      <c r="DX38" s="60"/>
      <c r="DY38" s="60"/>
      <c r="DZ38" s="60"/>
      <c r="EA38" s="60"/>
      <c r="EB38" s="60"/>
      <c r="EC38" s="60"/>
      <c r="ED38" s="60"/>
      <c r="EE38" s="60"/>
      <c r="EF38" s="60"/>
      <c r="EG38" s="60"/>
      <c r="EH38" s="60"/>
      <c r="EI38" s="60"/>
      <c r="EJ38" s="60"/>
      <c r="EK38" s="60"/>
      <c r="EL38" s="60"/>
      <c r="EM38" s="60"/>
      <c r="EN38" s="60"/>
      <c r="EO38" s="60"/>
      <c r="EP38" s="60"/>
      <c r="EQ38" s="60"/>
      <c r="ER38" s="60"/>
      <c r="ES38" s="60"/>
      <c r="ET38" s="60"/>
      <c r="EU38" s="60"/>
      <c r="EV38" s="60"/>
      <c r="EW38" s="60"/>
      <c r="EX38" s="60"/>
      <c r="EY38" s="60"/>
      <c r="EZ38" s="60"/>
      <c r="FA38" s="60"/>
      <c r="FB38" s="60"/>
      <c r="FC38" s="60"/>
      <c r="FD38" s="60"/>
      <c r="FE38" s="60"/>
      <c r="FF38" s="60"/>
      <c r="FG38" s="60"/>
      <c r="FH38" s="60"/>
      <c r="FI38" s="60"/>
      <c r="FJ38" s="60"/>
      <c r="FK38" s="60"/>
      <c r="FL38" s="60"/>
      <c r="FM38" s="60"/>
      <c r="FN38" s="60"/>
      <c r="FO38" s="60"/>
      <c r="FP38" s="60"/>
      <c r="FQ38" s="60"/>
      <c r="FR38" s="60"/>
      <c r="FS38" s="60"/>
      <c r="FT38" s="60"/>
      <c r="FU38" s="60"/>
      <c r="FV38" s="60"/>
      <c r="FW38" s="60"/>
      <c r="FX38" s="60"/>
      <c r="FY38" s="60"/>
      <c r="FZ38" s="60"/>
      <c r="GA38" s="60"/>
      <c r="GB38" s="60"/>
      <c r="GC38" s="60"/>
      <c r="GD38" s="60"/>
      <c r="GE38" s="60"/>
      <c r="GF38" s="60"/>
      <c r="GG38" s="60"/>
      <c r="GH38" s="60"/>
      <c r="GI38" s="60"/>
      <c r="GJ38" s="60"/>
      <c r="GK38" s="60"/>
      <c r="GL38" s="60"/>
      <c r="GM38" s="60"/>
      <c r="GN38" s="60"/>
      <c r="GO38" s="60"/>
      <c r="GP38" s="60"/>
      <c r="GQ38" s="60"/>
      <c r="GR38" s="60"/>
      <c r="GS38" s="60"/>
      <c r="GT38" s="60"/>
      <c r="GU38" s="60"/>
      <c r="GV38" s="60"/>
      <c r="GW38" s="60"/>
      <c r="GX38" s="60"/>
      <c r="GY38" s="60"/>
      <c r="GZ38" s="60"/>
      <c r="HA38" s="60"/>
      <c r="HB38" s="60"/>
      <c r="HC38" s="60"/>
      <c r="HD38" s="60"/>
      <c r="HE38" s="60"/>
      <c r="HF38" s="60"/>
      <c r="HG38" s="60"/>
      <c r="HH38" s="60"/>
      <c r="HI38" s="60"/>
      <c r="HJ38" s="60"/>
      <c r="HK38" s="60"/>
      <c r="HL38" s="60"/>
      <c r="HM38" s="60"/>
      <c r="HN38" s="60"/>
      <c r="HO38" s="60"/>
      <c r="HP38" s="60"/>
      <c r="HQ38" s="60"/>
      <c r="HR38" s="60"/>
      <c r="HS38" s="60"/>
      <c r="HT38" s="60"/>
      <c r="HU38" s="60"/>
      <c r="HV38" s="60"/>
      <c r="HW38" s="60"/>
      <c r="HX38" s="60"/>
      <c r="HY38" s="60"/>
      <c r="HZ38" s="60"/>
      <c r="IA38" s="60"/>
      <c r="IB38" s="60"/>
      <c r="IC38" s="60"/>
      <c r="ID38" s="60"/>
      <c r="IE38" s="60"/>
      <c r="IF38" s="60"/>
      <c r="IG38" s="60"/>
      <c r="IH38" s="60"/>
      <c r="II38" s="60"/>
      <c r="IJ38" s="60"/>
      <c r="IK38" s="60"/>
      <c r="IL38" s="60"/>
      <c r="IM38" s="60"/>
      <c r="IN38" s="60"/>
      <c r="IO38" s="60"/>
      <c r="IP38" s="60"/>
      <c r="IQ38" s="60"/>
      <c r="IR38" s="60"/>
      <c r="IS38" s="60"/>
      <c r="IT38" s="60"/>
      <c r="IU38" s="60"/>
      <c r="IV38" s="60"/>
      <c r="IW38" s="60"/>
      <c r="IX38" s="60"/>
      <c r="IY38" s="60"/>
      <c r="IZ38" s="60"/>
      <c r="JA38" s="60"/>
      <c r="JB38" s="60"/>
      <c r="JC38" s="60"/>
      <c r="JD38" s="60"/>
      <c r="JE38" s="60"/>
      <c r="JF38" s="60"/>
      <c r="JG38" s="60"/>
      <c r="JH38" s="60"/>
      <c r="JI38" s="60"/>
      <c r="JJ38" s="60"/>
      <c r="JK38" s="60"/>
      <c r="JL38" s="60"/>
      <c r="JM38" s="60"/>
      <c r="JN38" s="60"/>
      <c r="JO38" s="60"/>
      <c r="JP38" s="60"/>
      <c r="JQ38" s="60"/>
      <c r="JR38" s="60"/>
      <c r="JS38" s="60"/>
      <c r="JT38" s="60"/>
      <c r="JU38" s="60"/>
      <c r="JV38" s="60"/>
      <c r="JW38" s="60"/>
      <c r="JX38" s="60"/>
      <c r="JY38" s="60"/>
      <c r="JZ38" s="60"/>
      <c r="KA38" s="60"/>
      <c r="KB38" s="60"/>
      <c r="KC38" s="60"/>
      <c r="KD38" s="60"/>
      <c r="KE38" s="60"/>
      <c r="KF38" s="60"/>
      <c r="KG38" s="60"/>
      <c r="KH38" s="60"/>
      <c r="KI38" s="60"/>
      <c r="KJ38" s="60"/>
      <c r="KK38" s="60"/>
      <c r="KL38" s="60"/>
      <c r="KM38" s="60"/>
      <c r="KN38" s="60"/>
      <c r="KO38" s="60"/>
      <c r="KP38" s="60"/>
      <c r="KQ38" s="60"/>
      <c r="KR38" s="60"/>
      <c r="KS38" s="60"/>
      <c r="KT38" s="60"/>
      <c r="KU38" s="60"/>
      <c r="KV38" s="60"/>
      <c r="KW38" s="60"/>
      <c r="KX38" s="60"/>
      <c r="KY38" s="60"/>
      <c r="KZ38" s="60"/>
      <c r="LA38" s="60"/>
      <c r="LB38" s="60"/>
      <c r="LC38" s="60"/>
      <c r="LD38" s="60"/>
      <c r="LE38" s="60"/>
      <c r="LF38" s="60"/>
      <c r="LG38" s="60"/>
      <c r="LH38" s="60"/>
    </row>
    <row r="39" spans="1:320" s="17" customFormat="1" x14ac:dyDescent="0.25">
      <c r="A39" s="147"/>
      <c r="E39" s="156"/>
      <c r="F39" s="157"/>
      <c r="G39" s="157"/>
      <c r="H39" s="156"/>
      <c r="I39" s="156"/>
      <c r="J39" s="156"/>
      <c r="K39" s="156"/>
      <c r="L39" s="156"/>
      <c r="M39" s="156"/>
      <c r="N39" s="156"/>
      <c r="O39" s="156"/>
      <c r="P39" s="156"/>
      <c r="Q39" s="156"/>
      <c r="R39" s="156"/>
      <c r="S39" s="156"/>
      <c r="AC39" s="60"/>
      <c r="AD39" s="60"/>
      <c r="AE39" s="60"/>
      <c r="AF39" s="60"/>
      <c r="AG39" s="60"/>
      <c r="AH39" s="60"/>
      <c r="AI39" s="60"/>
      <c r="AJ39" s="60"/>
      <c r="AK39" s="60"/>
      <c r="AL39" s="60"/>
      <c r="AM39" s="60"/>
      <c r="AN39" s="60"/>
      <c r="AO39" s="60"/>
      <c r="AP39" s="60"/>
      <c r="AQ39" s="60"/>
      <c r="AR39" s="60"/>
      <c r="AS39" s="60"/>
      <c r="AT39" s="60"/>
      <c r="AU39" s="60"/>
      <c r="AV39" s="60"/>
      <c r="AW39" s="60"/>
      <c r="AX39" s="60"/>
      <c r="AY39" s="60"/>
      <c r="AZ39" s="60"/>
      <c r="BA39" s="60"/>
      <c r="BB39" s="60"/>
      <c r="BC39" s="60"/>
      <c r="BD39" s="60"/>
      <c r="BE39" s="60"/>
      <c r="BF39" s="60"/>
      <c r="BG39" s="60"/>
      <c r="BH39" s="60"/>
      <c r="BI39" s="60"/>
      <c r="BJ39" s="60"/>
      <c r="BK39" s="60"/>
      <c r="BL39" s="60"/>
      <c r="BM39" s="60"/>
      <c r="BN39" s="60"/>
      <c r="BO39" s="60"/>
      <c r="BP39" s="60"/>
      <c r="BQ39" s="60"/>
      <c r="BR39" s="60"/>
      <c r="BS39" s="60"/>
      <c r="BT39" s="60"/>
      <c r="BU39" s="60"/>
      <c r="BV39" s="60"/>
      <c r="BW39" s="60"/>
      <c r="BX39" s="60"/>
      <c r="BY39" s="60"/>
      <c r="BZ39" s="60"/>
      <c r="CA39" s="60"/>
      <c r="CB39" s="60"/>
      <c r="CC39" s="60"/>
      <c r="CD39" s="60"/>
      <c r="CE39" s="60"/>
      <c r="CF39" s="60"/>
      <c r="CG39" s="60"/>
      <c r="CH39" s="60"/>
      <c r="CI39" s="60"/>
      <c r="CJ39" s="60"/>
      <c r="CK39" s="60"/>
      <c r="CL39" s="60"/>
      <c r="CM39" s="60"/>
      <c r="CN39" s="60"/>
      <c r="CO39" s="60"/>
      <c r="CP39" s="60"/>
      <c r="CQ39" s="60"/>
      <c r="CR39" s="60"/>
      <c r="CS39" s="60"/>
      <c r="CT39" s="60"/>
      <c r="CU39" s="60"/>
      <c r="CV39" s="60"/>
      <c r="CW39" s="60"/>
      <c r="CX39" s="60"/>
      <c r="CY39" s="60"/>
      <c r="CZ39" s="60"/>
      <c r="DA39" s="60"/>
      <c r="DB39" s="60"/>
      <c r="DC39" s="60"/>
      <c r="DD39" s="60"/>
      <c r="DE39" s="60"/>
      <c r="DF39" s="60"/>
      <c r="DG39" s="60"/>
      <c r="DH39" s="60"/>
      <c r="DI39" s="60"/>
      <c r="DJ39" s="60"/>
      <c r="DK39" s="60"/>
      <c r="DL39" s="60"/>
      <c r="DM39" s="60"/>
      <c r="DN39" s="60"/>
      <c r="DO39" s="60"/>
      <c r="DP39" s="60"/>
      <c r="DQ39" s="60"/>
      <c r="DR39" s="60"/>
      <c r="DS39" s="60"/>
      <c r="DT39" s="60"/>
      <c r="DU39" s="60"/>
      <c r="DV39" s="60"/>
      <c r="DW39" s="60"/>
      <c r="DX39" s="60"/>
      <c r="DY39" s="60"/>
      <c r="DZ39" s="60"/>
      <c r="EA39" s="60"/>
      <c r="EB39" s="60"/>
      <c r="EC39" s="60"/>
      <c r="ED39" s="60"/>
      <c r="EE39" s="60"/>
      <c r="EF39" s="60"/>
      <c r="EG39" s="60"/>
      <c r="EH39" s="60"/>
      <c r="EI39" s="60"/>
      <c r="EJ39" s="60"/>
      <c r="EK39" s="60"/>
      <c r="EL39" s="60"/>
      <c r="EM39" s="60"/>
      <c r="EN39" s="60"/>
      <c r="EO39" s="60"/>
      <c r="EP39" s="60"/>
      <c r="EQ39" s="60"/>
      <c r="ER39" s="60"/>
      <c r="ES39" s="60"/>
      <c r="ET39" s="60"/>
      <c r="EU39" s="60"/>
      <c r="EV39" s="60"/>
      <c r="EW39" s="60"/>
      <c r="EX39" s="60"/>
      <c r="EY39" s="60"/>
      <c r="EZ39" s="60"/>
      <c r="FA39" s="60"/>
      <c r="FB39" s="60"/>
      <c r="FC39" s="60"/>
      <c r="FD39" s="60"/>
      <c r="FE39" s="60"/>
      <c r="FF39" s="60"/>
      <c r="FG39" s="60"/>
      <c r="FH39" s="60"/>
      <c r="FI39" s="60"/>
      <c r="FJ39" s="60"/>
      <c r="FK39" s="60"/>
      <c r="FL39" s="60"/>
      <c r="FM39" s="60"/>
      <c r="FN39" s="60"/>
      <c r="FO39" s="60"/>
      <c r="FP39" s="60"/>
      <c r="FQ39" s="60"/>
      <c r="FR39" s="60"/>
      <c r="FS39" s="60"/>
      <c r="FT39" s="60"/>
      <c r="FU39" s="60"/>
      <c r="FV39" s="60"/>
      <c r="FW39" s="60"/>
      <c r="FX39" s="60"/>
      <c r="FY39" s="60"/>
      <c r="FZ39" s="60"/>
      <c r="GA39" s="60"/>
      <c r="GB39" s="60"/>
      <c r="GC39" s="60"/>
      <c r="GD39" s="60"/>
      <c r="GE39" s="60"/>
      <c r="GF39" s="60"/>
      <c r="GG39" s="60"/>
      <c r="GH39" s="60"/>
      <c r="GI39" s="60"/>
      <c r="GJ39" s="60"/>
      <c r="GK39" s="60"/>
      <c r="GL39" s="60"/>
      <c r="GM39" s="60"/>
      <c r="GN39" s="60"/>
      <c r="GO39" s="60"/>
      <c r="GP39" s="60"/>
      <c r="GQ39" s="60"/>
      <c r="GR39" s="60"/>
      <c r="GS39" s="60"/>
      <c r="GT39" s="60"/>
      <c r="GU39" s="60"/>
      <c r="GV39" s="60"/>
      <c r="GW39" s="60"/>
      <c r="GX39" s="60"/>
      <c r="GY39" s="60"/>
      <c r="GZ39" s="60"/>
      <c r="HA39" s="60"/>
      <c r="HB39" s="60"/>
      <c r="HC39" s="60"/>
      <c r="HD39" s="60"/>
      <c r="HE39" s="60"/>
      <c r="HF39" s="60"/>
      <c r="HG39" s="60"/>
      <c r="HH39" s="60"/>
      <c r="HI39" s="60"/>
      <c r="HJ39" s="60"/>
      <c r="HK39" s="60"/>
      <c r="HL39" s="60"/>
      <c r="HM39" s="60"/>
      <c r="HN39" s="60"/>
      <c r="HO39" s="60"/>
      <c r="HP39" s="60"/>
      <c r="HQ39" s="60"/>
      <c r="HR39" s="60"/>
      <c r="HS39" s="60"/>
      <c r="HT39" s="60"/>
      <c r="HU39" s="60"/>
      <c r="HV39" s="60"/>
      <c r="HW39" s="60"/>
      <c r="HX39" s="60"/>
      <c r="HY39" s="60"/>
      <c r="HZ39" s="60"/>
      <c r="IA39" s="60"/>
      <c r="IB39" s="60"/>
      <c r="IC39" s="60"/>
      <c r="ID39" s="60"/>
      <c r="IE39" s="60"/>
      <c r="IF39" s="60"/>
      <c r="IG39" s="60"/>
      <c r="IH39" s="60"/>
      <c r="II39" s="60"/>
      <c r="IJ39" s="60"/>
      <c r="IK39" s="60"/>
      <c r="IL39" s="60"/>
      <c r="IM39" s="60"/>
      <c r="IN39" s="60"/>
      <c r="IO39" s="60"/>
      <c r="IP39" s="60"/>
      <c r="IQ39" s="60"/>
      <c r="IR39" s="60"/>
      <c r="IS39" s="60"/>
      <c r="IT39" s="60"/>
      <c r="IU39" s="60"/>
      <c r="IV39" s="60"/>
      <c r="IW39" s="60"/>
      <c r="IX39" s="60"/>
      <c r="IY39" s="60"/>
      <c r="IZ39" s="60"/>
      <c r="JA39" s="60"/>
      <c r="JB39" s="60"/>
      <c r="JC39" s="60"/>
      <c r="JD39" s="60"/>
      <c r="JE39" s="60"/>
      <c r="JF39" s="60"/>
      <c r="JG39" s="60"/>
      <c r="JH39" s="60"/>
      <c r="JI39" s="60"/>
      <c r="JJ39" s="60"/>
      <c r="JK39" s="60"/>
      <c r="JL39" s="60"/>
      <c r="JM39" s="60"/>
      <c r="JN39" s="60"/>
      <c r="JO39" s="60"/>
      <c r="JP39" s="60"/>
      <c r="JQ39" s="60"/>
      <c r="JR39" s="60"/>
      <c r="JS39" s="60"/>
      <c r="JT39" s="60"/>
      <c r="JU39" s="60"/>
      <c r="JV39" s="60"/>
      <c r="JW39" s="60"/>
      <c r="JX39" s="60"/>
      <c r="JY39" s="60"/>
      <c r="JZ39" s="60"/>
      <c r="KA39" s="60"/>
      <c r="KB39" s="60"/>
      <c r="KC39" s="60"/>
      <c r="KD39" s="60"/>
      <c r="KE39" s="60"/>
      <c r="KF39" s="60"/>
      <c r="KG39" s="60"/>
      <c r="KH39" s="60"/>
      <c r="KI39" s="60"/>
      <c r="KJ39" s="60"/>
      <c r="KK39" s="60"/>
      <c r="KL39" s="60"/>
      <c r="KM39" s="60"/>
      <c r="KN39" s="60"/>
      <c r="KO39" s="60"/>
      <c r="KP39" s="60"/>
      <c r="KQ39" s="60"/>
      <c r="KR39" s="60"/>
      <c r="KS39" s="60"/>
      <c r="KT39" s="60"/>
      <c r="KU39" s="60"/>
      <c r="KV39" s="60"/>
      <c r="KW39" s="60"/>
      <c r="KX39" s="60"/>
      <c r="KY39" s="60"/>
      <c r="KZ39" s="60"/>
      <c r="LA39" s="60"/>
      <c r="LB39" s="60"/>
      <c r="LC39" s="60"/>
      <c r="LD39" s="60"/>
      <c r="LE39" s="60"/>
      <c r="LF39" s="60"/>
      <c r="LG39" s="60"/>
      <c r="LH39" s="60"/>
    </row>
    <row r="40" spans="1:320" s="17" customFormat="1" x14ac:dyDescent="0.25">
      <c r="A40" s="147"/>
      <c r="E40" s="156"/>
      <c r="F40" s="157"/>
      <c r="G40" s="157"/>
      <c r="H40" s="156"/>
      <c r="I40" s="156"/>
      <c r="J40" s="156"/>
      <c r="K40" s="156"/>
      <c r="L40" s="156"/>
      <c r="M40" s="156"/>
      <c r="N40" s="156"/>
      <c r="O40" s="156"/>
      <c r="P40" s="156"/>
      <c r="Q40" s="156"/>
      <c r="R40" s="156"/>
      <c r="S40" s="156"/>
      <c r="AC40" s="60"/>
      <c r="AD40" s="60"/>
      <c r="AE40" s="60"/>
      <c r="AF40" s="60"/>
      <c r="AG40" s="60"/>
      <c r="AH40" s="60"/>
      <c r="AI40" s="60"/>
      <c r="AJ40" s="60"/>
      <c r="AK40" s="60"/>
      <c r="AL40" s="60"/>
      <c r="AM40" s="60"/>
      <c r="AN40" s="60"/>
      <c r="AO40" s="60"/>
      <c r="AP40" s="60"/>
      <c r="AQ40" s="60"/>
      <c r="AR40" s="60"/>
      <c r="AS40" s="60"/>
      <c r="AT40" s="60"/>
      <c r="AU40" s="60"/>
      <c r="AV40" s="60"/>
      <c r="AW40" s="60"/>
      <c r="AX40" s="60"/>
      <c r="AY40" s="60"/>
      <c r="AZ40" s="60"/>
      <c r="BA40" s="60"/>
      <c r="BB40" s="60"/>
      <c r="BC40" s="60"/>
      <c r="BD40" s="60"/>
      <c r="BE40" s="60"/>
      <c r="BF40" s="60"/>
      <c r="BG40" s="60"/>
      <c r="BH40" s="60"/>
      <c r="BI40" s="60"/>
      <c r="BJ40" s="60"/>
      <c r="BK40" s="60"/>
      <c r="BL40" s="60"/>
      <c r="BM40" s="60"/>
      <c r="BN40" s="60"/>
      <c r="BO40" s="60"/>
      <c r="BP40" s="60"/>
      <c r="BQ40" s="60"/>
      <c r="BR40" s="60"/>
      <c r="BS40" s="60"/>
      <c r="BT40" s="60"/>
      <c r="BU40" s="60"/>
      <c r="BV40" s="60"/>
      <c r="BW40" s="60"/>
      <c r="BX40" s="60"/>
      <c r="BY40" s="60"/>
      <c r="BZ40" s="60"/>
      <c r="CA40" s="60"/>
      <c r="CB40" s="60"/>
      <c r="CC40" s="60"/>
      <c r="CD40" s="60"/>
      <c r="CE40" s="60"/>
      <c r="CF40" s="60"/>
      <c r="CG40" s="60"/>
      <c r="CH40" s="60"/>
      <c r="CI40" s="60"/>
      <c r="CJ40" s="60"/>
      <c r="CK40" s="60"/>
      <c r="CL40" s="60"/>
      <c r="CM40" s="60"/>
      <c r="CN40" s="60"/>
      <c r="CO40" s="60"/>
      <c r="CP40" s="60"/>
      <c r="CQ40" s="60"/>
      <c r="CR40" s="60"/>
      <c r="CS40" s="60"/>
      <c r="CT40" s="60"/>
      <c r="CU40" s="60"/>
      <c r="CV40" s="60"/>
      <c r="CW40" s="60"/>
      <c r="CX40" s="60"/>
      <c r="CY40" s="60"/>
      <c r="CZ40" s="60"/>
      <c r="DA40" s="60"/>
      <c r="DB40" s="60"/>
      <c r="DC40" s="60"/>
      <c r="DD40" s="60"/>
      <c r="DE40" s="60"/>
      <c r="DF40" s="60"/>
      <c r="DG40" s="60"/>
      <c r="DH40" s="60"/>
      <c r="DI40" s="60"/>
      <c r="DJ40" s="60"/>
      <c r="DK40" s="60"/>
      <c r="DL40" s="60"/>
      <c r="DM40" s="60"/>
      <c r="DN40" s="60"/>
      <c r="DO40" s="60"/>
      <c r="DP40" s="60"/>
      <c r="DQ40" s="60"/>
      <c r="DR40" s="60"/>
      <c r="DS40" s="60"/>
      <c r="DT40" s="60"/>
      <c r="DU40" s="60"/>
      <c r="DV40" s="60"/>
      <c r="DW40" s="60"/>
      <c r="DX40" s="60"/>
      <c r="DY40" s="60"/>
      <c r="DZ40" s="60"/>
      <c r="EA40" s="60"/>
      <c r="EB40" s="60"/>
      <c r="EC40" s="60"/>
      <c r="ED40" s="60"/>
      <c r="EE40" s="60"/>
      <c r="EF40" s="60"/>
      <c r="EG40" s="60"/>
      <c r="EH40" s="60"/>
      <c r="EI40" s="60"/>
      <c r="EJ40" s="60"/>
      <c r="EK40" s="60"/>
      <c r="EL40" s="60"/>
      <c r="EM40" s="60"/>
      <c r="EN40" s="60"/>
      <c r="EO40" s="60"/>
      <c r="EP40" s="60"/>
      <c r="EQ40" s="60"/>
      <c r="ER40" s="60"/>
      <c r="ES40" s="60"/>
      <c r="ET40" s="60"/>
      <c r="EU40" s="60"/>
      <c r="EV40" s="60"/>
      <c r="EW40" s="60"/>
      <c r="EX40" s="60"/>
      <c r="EY40" s="60"/>
      <c r="EZ40" s="60"/>
      <c r="FA40" s="60"/>
      <c r="FB40" s="60"/>
      <c r="FC40" s="60"/>
      <c r="FD40" s="60"/>
      <c r="FE40" s="60"/>
      <c r="FF40" s="60"/>
      <c r="FG40" s="60"/>
      <c r="FH40" s="60"/>
      <c r="FI40" s="60"/>
      <c r="FJ40" s="60"/>
      <c r="FK40" s="60"/>
      <c r="FL40" s="60"/>
      <c r="FM40" s="60"/>
      <c r="FN40" s="60"/>
      <c r="FO40" s="60"/>
      <c r="FP40" s="60"/>
      <c r="FQ40" s="60"/>
      <c r="FR40" s="60"/>
      <c r="FS40" s="60"/>
      <c r="FT40" s="60"/>
      <c r="FU40" s="60"/>
      <c r="FV40" s="60"/>
      <c r="FW40" s="60"/>
      <c r="FX40" s="60"/>
      <c r="FY40" s="60"/>
      <c r="FZ40" s="60"/>
      <c r="GA40" s="60"/>
      <c r="GB40" s="60"/>
      <c r="GC40" s="60"/>
      <c r="GD40" s="60"/>
      <c r="GE40" s="60"/>
      <c r="GF40" s="60"/>
      <c r="GG40" s="60"/>
      <c r="GH40" s="60"/>
      <c r="GI40" s="60"/>
      <c r="GJ40" s="60"/>
      <c r="GK40" s="60"/>
      <c r="GL40" s="60"/>
      <c r="GM40" s="60"/>
      <c r="GN40" s="60"/>
      <c r="GO40" s="60"/>
      <c r="GP40" s="60"/>
      <c r="GQ40" s="60"/>
      <c r="GR40" s="60"/>
      <c r="GS40" s="60"/>
      <c r="GT40" s="60"/>
      <c r="GU40" s="60"/>
      <c r="GV40" s="60"/>
      <c r="GW40" s="60"/>
      <c r="GX40" s="60"/>
      <c r="GY40" s="60"/>
      <c r="GZ40" s="60"/>
      <c r="HA40" s="60"/>
      <c r="HB40" s="60"/>
      <c r="HC40" s="60"/>
      <c r="HD40" s="60"/>
      <c r="HE40" s="60"/>
      <c r="HF40" s="60"/>
      <c r="HG40" s="60"/>
      <c r="HH40" s="60"/>
      <c r="HI40" s="60"/>
      <c r="HJ40" s="60"/>
      <c r="HK40" s="60"/>
      <c r="HL40" s="60"/>
      <c r="HM40" s="60"/>
      <c r="HN40" s="60"/>
      <c r="HO40" s="60"/>
      <c r="HP40" s="60"/>
      <c r="HQ40" s="60"/>
      <c r="HR40" s="60"/>
      <c r="HS40" s="60"/>
      <c r="HT40" s="60"/>
      <c r="HU40" s="60"/>
      <c r="HV40" s="60"/>
      <c r="HW40" s="60"/>
      <c r="HX40" s="60"/>
      <c r="HY40" s="60"/>
      <c r="HZ40" s="60"/>
      <c r="IA40" s="60"/>
      <c r="IB40" s="60"/>
      <c r="IC40" s="60"/>
      <c r="ID40" s="60"/>
      <c r="IE40" s="60"/>
      <c r="IF40" s="60"/>
      <c r="IG40" s="60"/>
      <c r="IH40" s="60"/>
      <c r="II40" s="60"/>
      <c r="IJ40" s="60"/>
      <c r="IK40" s="60"/>
      <c r="IL40" s="60"/>
      <c r="IM40" s="60"/>
      <c r="IN40" s="60"/>
      <c r="IO40" s="60"/>
      <c r="IP40" s="60"/>
      <c r="IQ40" s="60"/>
      <c r="IR40" s="60"/>
      <c r="IS40" s="60"/>
      <c r="IT40" s="60"/>
      <c r="IU40" s="60"/>
      <c r="IV40" s="60"/>
      <c r="IW40" s="60"/>
      <c r="IX40" s="60"/>
      <c r="IY40" s="60"/>
      <c r="IZ40" s="60"/>
      <c r="JA40" s="60"/>
      <c r="JB40" s="60"/>
      <c r="JC40" s="60"/>
      <c r="JD40" s="60"/>
      <c r="JE40" s="60"/>
      <c r="JF40" s="60"/>
      <c r="JG40" s="60"/>
      <c r="JH40" s="60"/>
      <c r="JI40" s="60"/>
      <c r="JJ40" s="60"/>
      <c r="JK40" s="60"/>
      <c r="JL40" s="60"/>
      <c r="JM40" s="60"/>
      <c r="JN40" s="60"/>
      <c r="JO40" s="60"/>
      <c r="JP40" s="60"/>
      <c r="JQ40" s="60"/>
      <c r="JR40" s="60"/>
      <c r="JS40" s="60"/>
      <c r="JT40" s="60"/>
      <c r="JU40" s="60"/>
      <c r="JV40" s="60"/>
      <c r="JW40" s="60"/>
      <c r="JX40" s="60"/>
      <c r="JY40" s="60"/>
      <c r="JZ40" s="60"/>
      <c r="KA40" s="60"/>
      <c r="KB40" s="60"/>
      <c r="KC40" s="60"/>
      <c r="KD40" s="60"/>
      <c r="KE40" s="60"/>
      <c r="KF40" s="60"/>
      <c r="KG40" s="60"/>
      <c r="KH40" s="60"/>
      <c r="KI40" s="60"/>
      <c r="KJ40" s="60"/>
      <c r="KK40" s="60"/>
      <c r="KL40" s="60"/>
      <c r="KM40" s="60"/>
      <c r="KN40" s="60"/>
      <c r="KO40" s="60"/>
      <c r="KP40" s="60"/>
      <c r="KQ40" s="60"/>
      <c r="KR40" s="60"/>
      <c r="KS40" s="60"/>
      <c r="KT40" s="60"/>
      <c r="KU40" s="60"/>
      <c r="KV40" s="60"/>
      <c r="KW40" s="60"/>
      <c r="KX40" s="60"/>
      <c r="KY40" s="60"/>
      <c r="KZ40" s="60"/>
      <c r="LA40" s="60"/>
      <c r="LB40" s="60"/>
      <c r="LC40" s="60"/>
      <c r="LD40" s="60"/>
      <c r="LE40" s="60"/>
      <c r="LF40" s="60"/>
      <c r="LG40" s="60"/>
      <c r="LH40" s="60"/>
    </row>
    <row r="41" spans="1:320" s="17" customFormat="1" x14ac:dyDescent="0.25">
      <c r="A41" s="147"/>
      <c r="B41" s="1"/>
      <c r="C41" s="1"/>
      <c r="D41" s="1"/>
      <c r="E41" s="146"/>
      <c r="F41" s="158"/>
      <c r="G41" s="158"/>
      <c r="H41" s="146"/>
      <c r="I41" s="146"/>
      <c r="J41" s="146"/>
      <c r="K41" s="146"/>
      <c r="L41" s="146"/>
      <c r="M41" s="146"/>
      <c r="N41" s="146"/>
      <c r="O41" s="146"/>
      <c r="P41" s="146"/>
      <c r="Q41" s="146"/>
      <c r="R41" s="146"/>
      <c r="S41" s="146"/>
      <c r="AC41" s="60"/>
      <c r="AD41" s="60"/>
      <c r="AE41" s="60"/>
      <c r="AF41" s="60"/>
      <c r="AG41" s="60"/>
      <c r="AH41" s="60"/>
      <c r="AI41" s="60"/>
      <c r="AJ41" s="60"/>
      <c r="AK41" s="60"/>
      <c r="AL41" s="60"/>
      <c r="AM41" s="60"/>
      <c r="AN41" s="60"/>
      <c r="AO41" s="60"/>
      <c r="AP41" s="60"/>
      <c r="AQ41" s="60"/>
      <c r="AR41" s="60"/>
      <c r="AS41" s="60"/>
      <c r="AT41" s="60"/>
      <c r="AU41" s="60"/>
      <c r="AV41" s="60"/>
      <c r="AW41" s="60"/>
      <c r="AX41" s="60"/>
      <c r="AY41" s="60"/>
      <c r="AZ41" s="60"/>
      <c r="BA41" s="60"/>
      <c r="BB41" s="60"/>
      <c r="BC41" s="60"/>
      <c r="BD41" s="60"/>
      <c r="BE41" s="60"/>
      <c r="BF41" s="60"/>
      <c r="BG41" s="60"/>
      <c r="BH41" s="60"/>
      <c r="BI41" s="60"/>
      <c r="BJ41" s="60"/>
      <c r="BK41" s="60"/>
      <c r="BL41" s="60"/>
      <c r="BM41" s="60"/>
      <c r="BN41" s="60"/>
      <c r="BO41" s="60"/>
      <c r="BP41" s="60"/>
      <c r="BQ41" s="60"/>
      <c r="BR41" s="60"/>
      <c r="BS41" s="60"/>
      <c r="BT41" s="60"/>
      <c r="BU41" s="60"/>
      <c r="BV41" s="60"/>
      <c r="BW41" s="60"/>
      <c r="BX41" s="60"/>
      <c r="BY41" s="60"/>
      <c r="BZ41" s="60"/>
      <c r="CA41" s="60"/>
      <c r="CB41" s="60"/>
      <c r="CC41" s="60"/>
      <c r="CD41" s="60"/>
      <c r="CE41" s="60"/>
      <c r="CF41" s="60"/>
      <c r="CG41" s="60"/>
      <c r="CH41" s="60"/>
      <c r="CI41" s="60"/>
      <c r="CJ41" s="60"/>
      <c r="CK41" s="60"/>
      <c r="CL41" s="60"/>
      <c r="CM41" s="60"/>
      <c r="CN41" s="60"/>
      <c r="CO41" s="60"/>
      <c r="CP41" s="60"/>
      <c r="CQ41" s="60"/>
      <c r="CR41" s="60"/>
      <c r="CS41" s="60"/>
      <c r="CT41" s="60"/>
      <c r="CU41" s="60"/>
      <c r="CV41" s="60"/>
      <c r="CW41" s="60"/>
      <c r="CX41" s="60"/>
      <c r="CY41" s="60"/>
      <c r="CZ41" s="60"/>
      <c r="DA41" s="60"/>
      <c r="DB41" s="60"/>
      <c r="DC41" s="60"/>
      <c r="DD41" s="60"/>
      <c r="DE41" s="60"/>
      <c r="DF41" s="60"/>
      <c r="DG41" s="60"/>
      <c r="DH41" s="60"/>
      <c r="DI41" s="60"/>
      <c r="DJ41" s="60"/>
      <c r="DK41" s="60"/>
      <c r="DL41" s="60"/>
      <c r="DM41" s="60"/>
      <c r="DN41" s="60"/>
      <c r="DO41" s="60"/>
      <c r="DP41" s="60"/>
      <c r="DQ41" s="60"/>
      <c r="DR41" s="60"/>
      <c r="DS41" s="60"/>
      <c r="DT41" s="60"/>
      <c r="DU41" s="60"/>
      <c r="DV41" s="60"/>
      <c r="DW41" s="60"/>
      <c r="DX41" s="60"/>
      <c r="DY41" s="60"/>
      <c r="DZ41" s="60"/>
      <c r="EA41" s="60"/>
      <c r="EB41" s="60"/>
      <c r="EC41" s="60"/>
      <c r="ED41" s="60"/>
      <c r="EE41" s="60"/>
      <c r="EF41" s="60"/>
      <c r="EG41" s="60"/>
      <c r="EH41" s="60"/>
      <c r="EI41" s="60"/>
      <c r="EJ41" s="60"/>
      <c r="EK41" s="60"/>
      <c r="EL41" s="60"/>
      <c r="EM41" s="60"/>
      <c r="EN41" s="60"/>
      <c r="EO41" s="60"/>
      <c r="EP41" s="60"/>
      <c r="EQ41" s="60"/>
      <c r="ER41" s="60"/>
      <c r="ES41" s="60"/>
      <c r="ET41" s="60"/>
      <c r="EU41" s="60"/>
      <c r="EV41" s="60"/>
      <c r="EW41" s="60"/>
      <c r="EX41" s="60"/>
      <c r="EY41" s="60"/>
      <c r="EZ41" s="60"/>
      <c r="FA41" s="60"/>
      <c r="FB41" s="60"/>
      <c r="FC41" s="60"/>
      <c r="FD41" s="60"/>
      <c r="FE41" s="60"/>
      <c r="FF41" s="60"/>
      <c r="FG41" s="60"/>
      <c r="FH41" s="60"/>
      <c r="FI41" s="60"/>
      <c r="FJ41" s="60"/>
      <c r="FK41" s="60"/>
      <c r="FL41" s="60"/>
      <c r="FM41" s="60"/>
      <c r="FN41" s="60"/>
      <c r="FO41" s="60"/>
      <c r="FP41" s="60"/>
      <c r="FQ41" s="60"/>
      <c r="FR41" s="60"/>
      <c r="FS41" s="60"/>
      <c r="FT41" s="60"/>
      <c r="FU41" s="60"/>
      <c r="FV41" s="60"/>
      <c r="FW41" s="60"/>
      <c r="FX41" s="60"/>
      <c r="FY41" s="60"/>
      <c r="FZ41" s="60"/>
      <c r="GA41" s="60"/>
      <c r="GB41" s="60"/>
      <c r="GC41" s="60"/>
      <c r="GD41" s="60"/>
      <c r="GE41" s="60"/>
      <c r="GF41" s="60"/>
      <c r="GG41" s="60"/>
      <c r="GH41" s="60"/>
      <c r="GI41" s="60"/>
      <c r="GJ41" s="60"/>
      <c r="GK41" s="60"/>
      <c r="GL41" s="60"/>
      <c r="GM41" s="60"/>
      <c r="GN41" s="60"/>
      <c r="GO41" s="60"/>
      <c r="GP41" s="60"/>
      <c r="GQ41" s="60"/>
      <c r="GR41" s="60"/>
      <c r="GS41" s="60"/>
      <c r="GT41" s="60"/>
      <c r="GU41" s="60"/>
      <c r="GV41" s="60"/>
      <c r="GW41" s="60"/>
      <c r="GX41" s="60"/>
      <c r="GY41" s="60"/>
      <c r="GZ41" s="60"/>
      <c r="HA41" s="60"/>
      <c r="HB41" s="60"/>
      <c r="HC41" s="60"/>
      <c r="HD41" s="60"/>
      <c r="HE41" s="60"/>
      <c r="HF41" s="60"/>
      <c r="HG41" s="60"/>
      <c r="HH41" s="60"/>
      <c r="HI41" s="60"/>
      <c r="HJ41" s="60"/>
      <c r="HK41" s="60"/>
      <c r="HL41" s="60"/>
      <c r="HM41" s="60"/>
      <c r="HN41" s="60"/>
      <c r="HO41" s="60"/>
      <c r="HP41" s="60"/>
      <c r="HQ41" s="60"/>
      <c r="HR41" s="60"/>
      <c r="HS41" s="60"/>
      <c r="HT41" s="60"/>
      <c r="HU41" s="60"/>
      <c r="HV41" s="60"/>
      <c r="HW41" s="60"/>
      <c r="HX41" s="60"/>
      <c r="HY41" s="60"/>
      <c r="HZ41" s="60"/>
      <c r="IA41" s="60"/>
      <c r="IB41" s="60"/>
      <c r="IC41" s="60"/>
      <c r="ID41" s="60"/>
      <c r="IE41" s="60"/>
      <c r="IF41" s="60"/>
      <c r="IG41" s="60"/>
      <c r="IH41" s="60"/>
      <c r="II41" s="60"/>
      <c r="IJ41" s="60"/>
      <c r="IK41" s="60"/>
      <c r="IL41" s="60"/>
      <c r="IM41" s="60"/>
      <c r="IN41" s="60"/>
      <c r="IO41" s="60"/>
      <c r="IP41" s="60"/>
      <c r="IQ41" s="60"/>
      <c r="IR41" s="60"/>
      <c r="IS41" s="60"/>
      <c r="IT41" s="60"/>
      <c r="IU41" s="60"/>
      <c r="IV41" s="60"/>
      <c r="IW41" s="60"/>
      <c r="IX41" s="60"/>
      <c r="IY41" s="60"/>
      <c r="IZ41" s="60"/>
      <c r="JA41" s="60"/>
      <c r="JB41" s="60"/>
      <c r="JC41" s="60"/>
      <c r="JD41" s="60"/>
      <c r="JE41" s="60"/>
      <c r="JF41" s="60"/>
      <c r="JG41" s="60"/>
      <c r="JH41" s="60"/>
      <c r="JI41" s="60"/>
      <c r="JJ41" s="60"/>
      <c r="JK41" s="60"/>
      <c r="JL41" s="60"/>
      <c r="JM41" s="60"/>
      <c r="JN41" s="60"/>
      <c r="JO41" s="60"/>
      <c r="JP41" s="60"/>
      <c r="JQ41" s="60"/>
      <c r="JR41" s="60"/>
      <c r="JS41" s="60"/>
      <c r="JT41" s="60"/>
      <c r="JU41" s="60"/>
      <c r="JV41" s="60"/>
      <c r="JW41" s="60"/>
      <c r="JX41" s="60"/>
      <c r="JY41" s="60"/>
      <c r="JZ41" s="60"/>
      <c r="KA41" s="60"/>
      <c r="KB41" s="60"/>
      <c r="KC41" s="60"/>
      <c r="KD41" s="60"/>
      <c r="KE41" s="60"/>
      <c r="KF41" s="60"/>
      <c r="KG41" s="60"/>
      <c r="KH41" s="60"/>
      <c r="KI41" s="60"/>
      <c r="KJ41" s="60"/>
      <c r="KK41" s="60"/>
      <c r="KL41" s="60"/>
      <c r="KM41" s="60"/>
      <c r="KN41" s="60"/>
      <c r="KO41" s="60"/>
      <c r="KP41" s="60"/>
      <c r="KQ41" s="60"/>
      <c r="KR41" s="60"/>
      <c r="KS41" s="60"/>
      <c r="KT41" s="60"/>
      <c r="KU41" s="60"/>
      <c r="KV41" s="60"/>
      <c r="KW41" s="60"/>
      <c r="KX41" s="60"/>
      <c r="KY41" s="60"/>
      <c r="KZ41" s="60"/>
      <c r="LA41" s="60"/>
      <c r="LB41" s="60"/>
      <c r="LC41" s="60"/>
      <c r="LD41" s="60"/>
      <c r="LE41" s="60"/>
      <c r="LF41" s="60"/>
      <c r="LG41" s="60"/>
      <c r="LH41" s="60"/>
    </row>
    <row r="42" spans="1:320" s="17" customFormat="1" x14ac:dyDescent="0.25">
      <c r="A42" s="147"/>
      <c r="E42" s="156"/>
      <c r="F42" s="157"/>
      <c r="G42" s="157"/>
      <c r="H42" s="156"/>
      <c r="I42" s="156"/>
      <c r="J42" s="156"/>
      <c r="K42" s="156"/>
      <c r="L42" s="156"/>
      <c r="M42" s="156"/>
      <c r="N42" s="156"/>
      <c r="O42" s="156"/>
      <c r="P42" s="156"/>
      <c r="Q42" s="156"/>
      <c r="R42" s="156"/>
      <c r="S42" s="156"/>
      <c r="AC42" s="60"/>
      <c r="AD42" s="60"/>
      <c r="AE42" s="60"/>
      <c r="AF42" s="60"/>
      <c r="AG42" s="60"/>
      <c r="AH42" s="60"/>
      <c r="AI42" s="60"/>
      <c r="AJ42" s="60"/>
      <c r="AK42" s="60"/>
      <c r="AL42" s="60"/>
      <c r="AM42" s="60"/>
      <c r="AN42" s="60"/>
      <c r="AO42" s="60"/>
      <c r="AP42" s="60"/>
      <c r="AQ42" s="60"/>
      <c r="AR42" s="60"/>
      <c r="AS42" s="60"/>
      <c r="AT42" s="60"/>
      <c r="AU42" s="60"/>
      <c r="AV42" s="60"/>
      <c r="AW42" s="60"/>
      <c r="AX42" s="60"/>
      <c r="AY42" s="60"/>
      <c r="AZ42" s="60"/>
      <c r="BA42" s="60"/>
      <c r="BB42" s="60"/>
      <c r="BC42" s="60"/>
      <c r="BD42" s="60"/>
      <c r="BE42" s="60"/>
      <c r="BF42" s="60"/>
      <c r="BG42" s="60"/>
      <c r="BH42" s="60"/>
      <c r="BI42" s="60"/>
      <c r="BJ42" s="60"/>
      <c r="BK42" s="60"/>
      <c r="BL42" s="60"/>
      <c r="BM42" s="60"/>
      <c r="BN42" s="60"/>
      <c r="BO42" s="60"/>
      <c r="BP42" s="60"/>
      <c r="BQ42" s="60"/>
      <c r="BR42" s="60"/>
      <c r="BS42" s="60"/>
      <c r="BT42" s="60"/>
      <c r="BU42" s="60"/>
      <c r="BV42" s="60"/>
      <c r="BW42" s="60"/>
      <c r="BX42" s="60"/>
      <c r="BY42" s="60"/>
      <c r="BZ42" s="60"/>
      <c r="CA42" s="60"/>
      <c r="CB42" s="60"/>
      <c r="CC42" s="60"/>
      <c r="CD42" s="60"/>
      <c r="CE42" s="60"/>
      <c r="CF42" s="60"/>
      <c r="CG42" s="60"/>
      <c r="CH42" s="60"/>
      <c r="CI42" s="60"/>
      <c r="CJ42" s="60"/>
      <c r="CK42" s="60"/>
      <c r="CL42" s="60"/>
      <c r="CM42" s="60"/>
      <c r="CN42" s="60"/>
      <c r="CO42" s="60"/>
      <c r="CP42" s="60"/>
      <c r="CQ42" s="60"/>
      <c r="CR42" s="60"/>
      <c r="CS42" s="60"/>
      <c r="CT42" s="60"/>
      <c r="CU42" s="60"/>
      <c r="CV42" s="60"/>
      <c r="CW42" s="60"/>
      <c r="CX42" s="60"/>
      <c r="CY42" s="60"/>
      <c r="CZ42" s="60"/>
      <c r="DA42" s="60"/>
      <c r="DB42" s="60"/>
      <c r="DC42" s="60"/>
      <c r="DD42" s="60"/>
      <c r="DE42" s="60"/>
      <c r="DF42" s="60"/>
      <c r="DG42" s="60"/>
      <c r="DH42" s="60"/>
      <c r="DI42" s="60"/>
      <c r="DJ42" s="60"/>
      <c r="DK42" s="60"/>
      <c r="DL42" s="60"/>
      <c r="DM42" s="60"/>
      <c r="DN42" s="60"/>
      <c r="DO42" s="60"/>
      <c r="DP42" s="60"/>
      <c r="DQ42" s="60"/>
      <c r="DR42" s="60"/>
      <c r="DS42" s="60"/>
      <c r="DT42" s="60"/>
      <c r="DU42" s="60"/>
      <c r="DV42" s="60"/>
      <c r="DW42" s="60"/>
      <c r="DX42" s="60"/>
      <c r="DY42" s="60"/>
      <c r="DZ42" s="60"/>
      <c r="EA42" s="60"/>
      <c r="EB42" s="60"/>
      <c r="EC42" s="60"/>
      <c r="ED42" s="60"/>
      <c r="EE42" s="60"/>
      <c r="EF42" s="60"/>
      <c r="EG42" s="60"/>
      <c r="EH42" s="60"/>
      <c r="EI42" s="60"/>
      <c r="EJ42" s="60"/>
      <c r="EK42" s="60"/>
      <c r="EL42" s="60"/>
      <c r="EM42" s="60"/>
      <c r="EN42" s="60"/>
      <c r="EO42" s="60"/>
      <c r="EP42" s="60"/>
      <c r="EQ42" s="60"/>
      <c r="ER42" s="60"/>
      <c r="ES42" s="60"/>
      <c r="ET42" s="60"/>
      <c r="EU42" s="60"/>
      <c r="EV42" s="60"/>
      <c r="EW42" s="60"/>
      <c r="EX42" s="60"/>
      <c r="EY42" s="60"/>
      <c r="EZ42" s="60"/>
      <c r="FA42" s="60"/>
      <c r="FB42" s="60"/>
      <c r="FC42" s="60"/>
      <c r="FD42" s="60"/>
      <c r="FE42" s="60"/>
      <c r="FF42" s="60"/>
      <c r="FG42" s="60"/>
      <c r="FH42" s="60"/>
      <c r="FI42" s="60"/>
      <c r="FJ42" s="60"/>
      <c r="FK42" s="60"/>
      <c r="FL42" s="60"/>
      <c r="FM42" s="60"/>
      <c r="FN42" s="60"/>
      <c r="FO42" s="60"/>
      <c r="FP42" s="60"/>
      <c r="FQ42" s="60"/>
      <c r="FR42" s="60"/>
      <c r="FS42" s="60"/>
      <c r="FT42" s="60"/>
      <c r="FU42" s="60"/>
      <c r="FV42" s="60"/>
      <c r="FW42" s="60"/>
      <c r="FX42" s="60"/>
      <c r="FY42" s="60"/>
      <c r="FZ42" s="60"/>
      <c r="GA42" s="60"/>
      <c r="GB42" s="60"/>
      <c r="GC42" s="60"/>
      <c r="GD42" s="60"/>
      <c r="GE42" s="60"/>
      <c r="GF42" s="60"/>
      <c r="GG42" s="60"/>
      <c r="GH42" s="60"/>
      <c r="GI42" s="60"/>
      <c r="GJ42" s="60"/>
      <c r="GK42" s="60"/>
      <c r="GL42" s="60"/>
      <c r="GM42" s="60"/>
      <c r="GN42" s="60"/>
      <c r="GO42" s="60"/>
      <c r="GP42" s="60"/>
      <c r="GQ42" s="60"/>
      <c r="GR42" s="60"/>
      <c r="GS42" s="60"/>
      <c r="GT42" s="60"/>
      <c r="GU42" s="60"/>
      <c r="GV42" s="60"/>
      <c r="GW42" s="60"/>
      <c r="GX42" s="60"/>
      <c r="GY42" s="60"/>
      <c r="GZ42" s="60"/>
      <c r="HA42" s="60"/>
      <c r="HB42" s="60"/>
      <c r="HC42" s="60"/>
      <c r="HD42" s="60"/>
      <c r="HE42" s="60"/>
      <c r="HF42" s="60"/>
      <c r="HG42" s="60"/>
      <c r="HH42" s="60"/>
      <c r="HI42" s="60"/>
      <c r="HJ42" s="60"/>
      <c r="HK42" s="60"/>
      <c r="HL42" s="60"/>
      <c r="HM42" s="60"/>
      <c r="HN42" s="60"/>
      <c r="HO42" s="60"/>
      <c r="HP42" s="60"/>
      <c r="HQ42" s="60"/>
      <c r="HR42" s="60"/>
      <c r="HS42" s="60"/>
      <c r="HT42" s="60"/>
      <c r="HU42" s="60"/>
      <c r="HV42" s="60"/>
      <c r="HW42" s="60"/>
      <c r="HX42" s="60"/>
      <c r="HY42" s="60"/>
      <c r="HZ42" s="60"/>
      <c r="IA42" s="60"/>
      <c r="IB42" s="60"/>
      <c r="IC42" s="60"/>
      <c r="ID42" s="60"/>
      <c r="IE42" s="60"/>
      <c r="IF42" s="60"/>
      <c r="IG42" s="60"/>
      <c r="IH42" s="60"/>
      <c r="II42" s="60"/>
      <c r="IJ42" s="60"/>
      <c r="IK42" s="60"/>
      <c r="IL42" s="60"/>
      <c r="IM42" s="60"/>
      <c r="IN42" s="60"/>
      <c r="IO42" s="60"/>
      <c r="IP42" s="60"/>
      <c r="IQ42" s="60"/>
      <c r="IR42" s="60"/>
      <c r="IS42" s="60"/>
      <c r="IT42" s="60"/>
      <c r="IU42" s="60"/>
      <c r="IV42" s="60"/>
      <c r="IW42" s="60"/>
      <c r="IX42" s="60"/>
      <c r="IY42" s="60"/>
      <c r="IZ42" s="60"/>
      <c r="JA42" s="60"/>
      <c r="JB42" s="60"/>
      <c r="JC42" s="60"/>
      <c r="JD42" s="60"/>
      <c r="JE42" s="60"/>
      <c r="JF42" s="60"/>
      <c r="JG42" s="60"/>
      <c r="JH42" s="60"/>
      <c r="JI42" s="60"/>
      <c r="JJ42" s="60"/>
      <c r="JK42" s="60"/>
      <c r="JL42" s="60"/>
      <c r="JM42" s="60"/>
      <c r="JN42" s="60"/>
      <c r="JO42" s="60"/>
      <c r="JP42" s="60"/>
      <c r="JQ42" s="60"/>
      <c r="JR42" s="60"/>
      <c r="JS42" s="60"/>
      <c r="JT42" s="60"/>
      <c r="JU42" s="60"/>
      <c r="JV42" s="60"/>
      <c r="JW42" s="60"/>
      <c r="JX42" s="60"/>
      <c r="JY42" s="60"/>
      <c r="JZ42" s="60"/>
      <c r="KA42" s="60"/>
      <c r="KB42" s="60"/>
      <c r="KC42" s="60"/>
      <c r="KD42" s="60"/>
      <c r="KE42" s="60"/>
      <c r="KF42" s="60"/>
      <c r="KG42" s="60"/>
      <c r="KH42" s="60"/>
      <c r="KI42" s="60"/>
      <c r="KJ42" s="60"/>
      <c r="KK42" s="60"/>
      <c r="KL42" s="60"/>
      <c r="KM42" s="60"/>
      <c r="KN42" s="60"/>
      <c r="KO42" s="60"/>
      <c r="KP42" s="60"/>
      <c r="KQ42" s="60"/>
      <c r="KR42" s="60"/>
      <c r="KS42" s="60"/>
      <c r="KT42" s="60"/>
      <c r="KU42" s="60"/>
      <c r="KV42" s="60"/>
      <c r="KW42" s="60"/>
      <c r="KX42" s="60"/>
      <c r="KY42" s="60"/>
      <c r="KZ42" s="60"/>
      <c r="LA42" s="60"/>
      <c r="LB42" s="60"/>
      <c r="LC42" s="60"/>
      <c r="LD42" s="60"/>
      <c r="LE42" s="60"/>
      <c r="LF42" s="60"/>
      <c r="LG42" s="60"/>
      <c r="LH42" s="60"/>
    </row>
    <row r="43" spans="1:320" s="17" customFormat="1" x14ac:dyDescent="0.25">
      <c r="A43" s="147"/>
      <c r="E43" s="156"/>
      <c r="F43" s="157"/>
      <c r="G43" s="157"/>
      <c r="H43" s="156"/>
      <c r="I43" s="156"/>
      <c r="J43" s="156"/>
      <c r="K43" s="156"/>
      <c r="L43" s="156"/>
      <c r="M43" s="156"/>
      <c r="N43" s="156"/>
      <c r="O43" s="156"/>
      <c r="P43" s="156"/>
      <c r="Q43" s="156"/>
      <c r="R43" s="156"/>
      <c r="S43" s="156"/>
      <c r="AC43" s="60"/>
      <c r="AD43" s="60"/>
      <c r="AE43" s="60"/>
      <c r="AF43" s="60"/>
      <c r="AG43" s="60"/>
      <c r="AH43" s="60"/>
      <c r="AI43" s="60"/>
      <c r="AJ43" s="60"/>
      <c r="AK43" s="60"/>
      <c r="AL43" s="60"/>
      <c r="AM43" s="60"/>
      <c r="AN43" s="60"/>
      <c r="AO43" s="60"/>
      <c r="AP43" s="60"/>
      <c r="AQ43" s="60"/>
      <c r="AR43" s="60"/>
      <c r="AS43" s="60"/>
      <c r="AT43" s="60"/>
      <c r="AU43" s="60"/>
      <c r="AV43" s="60"/>
      <c r="AW43" s="60"/>
      <c r="AX43" s="60"/>
      <c r="AY43" s="60"/>
      <c r="AZ43" s="60"/>
      <c r="BA43" s="60"/>
      <c r="BB43" s="60"/>
      <c r="BC43" s="60"/>
      <c r="BD43" s="60"/>
      <c r="BE43" s="60"/>
      <c r="BF43" s="60"/>
      <c r="BG43" s="60"/>
      <c r="BH43" s="60"/>
      <c r="BI43" s="60"/>
      <c r="BJ43" s="60"/>
      <c r="BK43" s="60"/>
      <c r="BL43" s="60"/>
      <c r="BM43" s="60"/>
      <c r="BN43" s="60"/>
      <c r="BO43" s="60"/>
      <c r="BP43" s="60"/>
      <c r="BQ43" s="60"/>
      <c r="BR43" s="60"/>
      <c r="BS43" s="60"/>
      <c r="BT43" s="60"/>
      <c r="BU43" s="60"/>
      <c r="BV43" s="60"/>
      <c r="BW43" s="60"/>
      <c r="BX43" s="60"/>
      <c r="BY43" s="60"/>
      <c r="BZ43" s="60"/>
      <c r="CA43" s="60"/>
      <c r="CB43" s="60"/>
      <c r="CC43" s="60"/>
      <c r="CD43" s="60"/>
      <c r="CE43" s="60"/>
      <c r="CF43" s="60"/>
      <c r="CG43" s="60"/>
      <c r="CH43" s="60"/>
      <c r="CI43" s="60"/>
      <c r="CJ43" s="60"/>
      <c r="CK43" s="60"/>
      <c r="CL43" s="60"/>
      <c r="CM43" s="60"/>
      <c r="CN43" s="60"/>
      <c r="CO43" s="60"/>
      <c r="CP43" s="60"/>
      <c r="CQ43" s="60"/>
      <c r="CR43" s="60"/>
      <c r="CS43" s="60"/>
      <c r="CT43" s="60"/>
      <c r="CU43" s="60"/>
      <c r="CV43" s="60"/>
      <c r="CW43" s="60"/>
      <c r="CX43" s="60"/>
      <c r="CY43" s="60"/>
      <c r="CZ43" s="60"/>
      <c r="DA43" s="60"/>
      <c r="DB43" s="60"/>
      <c r="DC43" s="60"/>
      <c r="DD43" s="60"/>
      <c r="DE43" s="60"/>
      <c r="DF43" s="60"/>
      <c r="DG43" s="60"/>
      <c r="DH43" s="60"/>
      <c r="DI43" s="60"/>
      <c r="DJ43" s="60"/>
      <c r="DK43" s="60"/>
      <c r="DL43" s="60"/>
      <c r="DM43" s="60"/>
      <c r="DN43" s="60"/>
      <c r="DO43" s="60"/>
      <c r="DP43" s="60"/>
      <c r="DQ43" s="60"/>
      <c r="DR43" s="60"/>
      <c r="DS43" s="60"/>
      <c r="DT43" s="60"/>
      <c r="DU43" s="60"/>
      <c r="DV43" s="60"/>
      <c r="DW43" s="60"/>
      <c r="DX43" s="60"/>
      <c r="DY43" s="60"/>
      <c r="DZ43" s="60"/>
      <c r="EA43" s="60"/>
      <c r="EB43" s="60"/>
      <c r="EC43" s="60"/>
      <c r="ED43" s="60"/>
      <c r="EE43" s="60"/>
      <c r="EF43" s="60"/>
      <c r="EG43" s="60"/>
      <c r="EH43" s="60"/>
      <c r="EI43" s="60"/>
      <c r="EJ43" s="60"/>
      <c r="EK43" s="60"/>
      <c r="EL43" s="60"/>
      <c r="EM43" s="60"/>
      <c r="EN43" s="60"/>
      <c r="EO43" s="60"/>
      <c r="EP43" s="60"/>
      <c r="EQ43" s="60"/>
      <c r="ER43" s="60"/>
      <c r="ES43" s="60"/>
      <c r="ET43" s="60"/>
      <c r="EU43" s="60"/>
      <c r="EV43" s="60"/>
      <c r="EW43" s="60"/>
      <c r="EX43" s="60"/>
      <c r="EY43" s="60"/>
      <c r="EZ43" s="60"/>
      <c r="FA43" s="60"/>
      <c r="FB43" s="60"/>
      <c r="FC43" s="60"/>
      <c r="FD43" s="60"/>
      <c r="FE43" s="60"/>
      <c r="FF43" s="60"/>
      <c r="FG43" s="60"/>
      <c r="FH43" s="60"/>
      <c r="FI43" s="60"/>
      <c r="FJ43" s="60"/>
      <c r="FK43" s="60"/>
      <c r="FL43" s="60"/>
      <c r="FM43" s="60"/>
      <c r="FN43" s="60"/>
      <c r="FO43" s="60"/>
      <c r="FP43" s="60"/>
      <c r="FQ43" s="60"/>
      <c r="FR43" s="60"/>
      <c r="FS43" s="60"/>
      <c r="FT43" s="60"/>
      <c r="FU43" s="60"/>
      <c r="FV43" s="60"/>
      <c r="FW43" s="60"/>
      <c r="FX43" s="60"/>
      <c r="FY43" s="60"/>
      <c r="FZ43" s="60"/>
      <c r="GA43" s="60"/>
      <c r="GB43" s="60"/>
      <c r="GC43" s="60"/>
      <c r="GD43" s="60"/>
      <c r="GE43" s="60"/>
      <c r="GF43" s="60"/>
      <c r="GG43" s="60"/>
      <c r="GH43" s="60"/>
      <c r="GI43" s="60"/>
      <c r="GJ43" s="60"/>
      <c r="GK43" s="60"/>
      <c r="GL43" s="60"/>
      <c r="GM43" s="60"/>
      <c r="GN43" s="60"/>
      <c r="GO43" s="60"/>
      <c r="GP43" s="60"/>
      <c r="GQ43" s="60"/>
      <c r="GR43" s="60"/>
      <c r="GS43" s="60"/>
      <c r="GT43" s="60"/>
      <c r="GU43" s="60"/>
      <c r="GV43" s="60"/>
      <c r="GW43" s="60"/>
      <c r="GX43" s="60"/>
      <c r="GY43" s="60"/>
      <c r="GZ43" s="60"/>
      <c r="HA43" s="60"/>
      <c r="HB43" s="60"/>
      <c r="HC43" s="60"/>
      <c r="HD43" s="60"/>
      <c r="HE43" s="60"/>
      <c r="HF43" s="60"/>
      <c r="HG43" s="60"/>
      <c r="HH43" s="60"/>
      <c r="HI43" s="60"/>
      <c r="HJ43" s="60"/>
      <c r="HK43" s="60"/>
      <c r="HL43" s="60"/>
      <c r="HM43" s="60"/>
      <c r="HN43" s="60"/>
      <c r="HO43" s="60"/>
      <c r="HP43" s="60"/>
      <c r="HQ43" s="60"/>
      <c r="HR43" s="60"/>
      <c r="HS43" s="60"/>
      <c r="HT43" s="60"/>
      <c r="HU43" s="60"/>
      <c r="HV43" s="60"/>
      <c r="HW43" s="60"/>
      <c r="HX43" s="60"/>
      <c r="HY43" s="60"/>
      <c r="HZ43" s="60"/>
      <c r="IA43" s="60"/>
      <c r="IB43" s="60"/>
      <c r="IC43" s="60"/>
      <c r="ID43" s="60"/>
      <c r="IE43" s="60"/>
      <c r="IF43" s="60"/>
      <c r="IG43" s="60"/>
      <c r="IH43" s="60"/>
      <c r="II43" s="60"/>
      <c r="IJ43" s="60"/>
      <c r="IK43" s="60"/>
      <c r="IL43" s="60"/>
      <c r="IM43" s="60"/>
      <c r="IN43" s="60"/>
      <c r="IO43" s="60"/>
      <c r="IP43" s="60"/>
      <c r="IQ43" s="60"/>
      <c r="IR43" s="60"/>
      <c r="IS43" s="60"/>
      <c r="IT43" s="60"/>
      <c r="IU43" s="60"/>
      <c r="IV43" s="60"/>
      <c r="IW43" s="60"/>
      <c r="IX43" s="60"/>
      <c r="IY43" s="60"/>
      <c r="IZ43" s="60"/>
      <c r="JA43" s="60"/>
      <c r="JB43" s="60"/>
      <c r="JC43" s="60"/>
      <c r="JD43" s="60"/>
      <c r="JE43" s="60"/>
      <c r="JF43" s="60"/>
      <c r="JG43" s="60"/>
      <c r="JH43" s="60"/>
      <c r="JI43" s="60"/>
      <c r="JJ43" s="60"/>
      <c r="JK43" s="60"/>
      <c r="JL43" s="60"/>
      <c r="JM43" s="60"/>
      <c r="JN43" s="60"/>
      <c r="JO43" s="60"/>
      <c r="JP43" s="60"/>
      <c r="JQ43" s="60"/>
      <c r="JR43" s="60"/>
      <c r="JS43" s="60"/>
      <c r="JT43" s="60"/>
      <c r="JU43" s="60"/>
      <c r="JV43" s="60"/>
      <c r="JW43" s="60"/>
      <c r="JX43" s="60"/>
      <c r="JY43" s="60"/>
      <c r="JZ43" s="60"/>
      <c r="KA43" s="60"/>
      <c r="KB43" s="60"/>
      <c r="KC43" s="60"/>
      <c r="KD43" s="60"/>
      <c r="KE43" s="60"/>
      <c r="KF43" s="60"/>
      <c r="KG43" s="60"/>
      <c r="KH43" s="60"/>
      <c r="KI43" s="60"/>
      <c r="KJ43" s="60"/>
      <c r="KK43" s="60"/>
      <c r="KL43" s="60"/>
      <c r="KM43" s="60"/>
      <c r="KN43" s="60"/>
      <c r="KO43" s="60"/>
      <c r="KP43" s="60"/>
      <c r="KQ43" s="60"/>
      <c r="KR43" s="60"/>
      <c r="KS43" s="60"/>
      <c r="KT43" s="60"/>
      <c r="KU43" s="60"/>
      <c r="KV43" s="60"/>
      <c r="KW43" s="60"/>
      <c r="KX43" s="60"/>
      <c r="KY43" s="60"/>
      <c r="KZ43" s="60"/>
      <c r="LA43" s="60"/>
      <c r="LB43" s="60"/>
      <c r="LC43" s="60"/>
      <c r="LD43" s="60"/>
      <c r="LE43" s="60"/>
      <c r="LF43" s="60"/>
      <c r="LG43" s="60"/>
      <c r="LH43" s="60"/>
    </row>
    <row r="44" spans="1:320" s="17" customFormat="1" x14ac:dyDescent="0.25">
      <c r="A44" s="147"/>
      <c r="E44" s="156"/>
      <c r="F44" s="157"/>
      <c r="G44" s="157"/>
      <c r="H44" s="156"/>
      <c r="I44" s="156"/>
      <c r="J44" s="156"/>
      <c r="K44" s="156"/>
      <c r="L44" s="156"/>
      <c r="M44" s="156"/>
      <c r="N44" s="156"/>
      <c r="O44" s="156"/>
      <c r="P44" s="156"/>
      <c r="Q44" s="156"/>
      <c r="R44" s="156"/>
      <c r="S44" s="156"/>
      <c r="AC44" s="60"/>
      <c r="AD44" s="60"/>
      <c r="AE44" s="60"/>
      <c r="AF44" s="60"/>
      <c r="AG44" s="60"/>
      <c r="AH44" s="60"/>
      <c r="AI44" s="60"/>
      <c r="AJ44" s="60"/>
      <c r="AK44" s="60"/>
      <c r="AL44" s="60"/>
      <c r="AM44" s="60"/>
      <c r="AN44" s="60"/>
      <c r="AO44" s="60"/>
      <c r="AP44" s="60"/>
      <c r="AQ44" s="60"/>
      <c r="AR44" s="60"/>
      <c r="AS44" s="60"/>
      <c r="AT44" s="60"/>
      <c r="AU44" s="60"/>
      <c r="AV44" s="60"/>
      <c r="AW44" s="60"/>
      <c r="AX44" s="60"/>
      <c r="AY44" s="60"/>
      <c r="AZ44" s="60"/>
      <c r="BA44" s="60"/>
      <c r="BB44" s="60"/>
      <c r="BC44" s="60"/>
      <c r="BD44" s="60"/>
      <c r="BE44" s="60"/>
      <c r="BF44" s="60"/>
      <c r="BG44" s="60"/>
      <c r="BH44" s="60"/>
      <c r="BI44" s="60"/>
      <c r="BJ44" s="60"/>
      <c r="BK44" s="60"/>
      <c r="BL44" s="60"/>
      <c r="BM44" s="60"/>
      <c r="BN44" s="60"/>
      <c r="BO44" s="60"/>
      <c r="BP44" s="60"/>
      <c r="BQ44" s="60"/>
      <c r="BR44" s="60"/>
      <c r="BS44" s="60"/>
      <c r="BT44" s="60"/>
      <c r="BU44" s="60"/>
      <c r="BV44" s="60"/>
      <c r="BW44" s="60"/>
      <c r="BX44" s="60"/>
      <c r="BY44" s="60"/>
      <c r="BZ44" s="60"/>
      <c r="CA44" s="60"/>
      <c r="CB44" s="60"/>
      <c r="CC44" s="60"/>
      <c r="CD44" s="60"/>
      <c r="CE44" s="60"/>
      <c r="CF44" s="60"/>
      <c r="CG44" s="60"/>
      <c r="CH44" s="60"/>
      <c r="CI44" s="60"/>
      <c r="CJ44" s="60"/>
      <c r="CK44" s="60"/>
      <c r="CL44" s="60"/>
      <c r="CM44" s="60"/>
      <c r="CN44" s="60"/>
      <c r="CO44" s="60"/>
      <c r="CP44" s="60"/>
      <c r="CQ44" s="60"/>
      <c r="CR44" s="60"/>
      <c r="CS44" s="60"/>
      <c r="CT44" s="60"/>
      <c r="CU44" s="60"/>
      <c r="CV44" s="60"/>
      <c r="CW44" s="60"/>
      <c r="CX44" s="60"/>
      <c r="CY44" s="60"/>
      <c r="CZ44" s="60"/>
      <c r="DA44" s="60"/>
      <c r="DB44" s="60"/>
      <c r="DC44" s="60"/>
      <c r="DD44" s="60"/>
      <c r="DE44" s="60"/>
      <c r="DF44" s="60"/>
      <c r="DG44" s="60"/>
      <c r="DH44" s="60"/>
      <c r="DI44" s="60"/>
      <c r="DJ44" s="60"/>
      <c r="DK44" s="60"/>
      <c r="DL44" s="60"/>
      <c r="DM44" s="60"/>
      <c r="DN44" s="60"/>
      <c r="DO44" s="60"/>
      <c r="DP44" s="60"/>
      <c r="DQ44" s="60"/>
      <c r="DR44" s="60"/>
      <c r="DS44" s="60"/>
      <c r="DT44" s="60"/>
      <c r="DU44" s="60"/>
      <c r="DV44" s="60"/>
      <c r="DW44" s="60"/>
      <c r="DX44" s="60"/>
      <c r="DY44" s="60"/>
      <c r="DZ44" s="60"/>
      <c r="EA44" s="60"/>
      <c r="EB44" s="60"/>
      <c r="EC44" s="60"/>
      <c r="ED44" s="60"/>
      <c r="EE44" s="60"/>
      <c r="EF44" s="60"/>
      <c r="EG44" s="60"/>
      <c r="EH44" s="60"/>
      <c r="EI44" s="60"/>
      <c r="EJ44" s="60"/>
      <c r="EK44" s="60"/>
      <c r="EL44" s="60"/>
      <c r="EM44" s="60"/>
      <c r="EN44" s="60"/>
      <c r="EO44" s="60"/>
      <c r="EP44" s="60"/>
      <c r="EQ44" s="60"/>
      <c r="ER44" s="60"/>
      <c r="ES44" s="60"/>
      <c r="ET44" s="60"/>
      <c r="EU44" s="60"/>
      <c r="EV44" s="60"/>
      <c r="EW44" s="60"/>
      <c r="EX44" s="60"/>
      <c r="EY44" s="60"/>
      <c r="EZ44" s="60"/>
      <c r="FA44" s="60"/>
      <c r="FB44" s="60"/>
      <c r="FC44" s="60"/>
      <c r="FD44" s="60"/>
      <c r="FE44" s="60"/>
      <c r="FF44" s="60"/>
      <c r="FG44" s="60"/>
      <c r="FH44" s="60"/>
      <c r="FI44" s="60"/>
      <c r="FJ44" s="60"/>
      <c r="FK44" s="60"/>
      <c r="FL44" s="60"/>
      <c r="FM44" s="60"/>
      <c r="FN44" s="60"/>
      <c r="FO44" s="60"/>
      <c r="FP44" s="60"/>
      <c r="FQ44" s="60"/>
      <c r="FR44" s="60"/>
      <c r="FS44" s="60"/>
      <c r="FT44" s="60"/>
      <c r="FU44" s="60"/>
      <c r="FV44" s="60"/>
      <c r="FW44" s="60"/>
      <c r="FX44" s="60"/>
      <c r="FY44" s="60"/>
      <c r="FZ44" s="60"/>
      <c r="GA44" s="60"/>
      <c r="GB44" s="60"/>
      <c r="GC44" s="60"/>
      <c r="GD44" s="60"/>
      <c r="GE44" s="60"/>
      <c r="GF44" s="60"/>
      <c r="GG44" s="60"/>
      <c r="GH44" s="60"/>
      <c r="GI44" s="60"/>
      <c r="GJ44" s="60"/>
      <c r="GK44" s="60"/>
      <c r="GL44" s="60"/>
      <c r="GM44" s="60"/>
      <c r="GN44" s="60"/>
      <c r="GO44" s="60"/>
      <c r="GP44" s="60"/>
      <c r="GQ44" s="60"/>
      <c r="GR44" s="60"/>
      <c r="GS44" s="60"/>
      <c r="GT44" s="60"/>
      <c r="GU44" s="60"/>
      <c r="GV44" s="60"/>
      <c r="GW44" s="60"/>
      <c r="GX44" s="60"/>
      <c r="GY44" s="60"/>
      <c r="GZ44" s="60"/>
      <c r="HA44" s="60"/>
      <c r="HB44" s="60"/>
      <c r="HC44" s="60"/>
      <c r="HD44" s="60"/>
      <c r="HE44" s="60"/>
      <c r="HF44" s="60"/>
      <c r="HG44" s="60"/>
      <c r="HH44" s="60"/>
      <c r="HI44" s="60"/>
      <c r="HJ44" s="60"/>
      <c r="HK44" s="60"/>
      <c r="HL44" s="60"/>
      <c r="HM44" s="60"/>
      <c r="HN44" s="60"/>
      <c r="HO44" s="60"/>
      <c r="HP44" s="60"/>
      <c r="HQ44" s="60"/>
      <c r="HR44" s="60"/>
      <c r="HS44" s="60"/>
      <c r="HT44" s="60"/>
      <c r="HU44" s="60"/>
      <c r="HV44" s="60"/>
      <c r="HW44" s="60"/>
      <c r="HX44" s="60"/>
      <c r="HY44" s="60"/>
      <c r="HZ44" s="60"/>
      <c r="IA44" s="60"/>
      <c r="IB44" s="60"/>
      <c r="IC44" s="60"/>
      <c r="ID44" s="60"/>
      <c r="IE44" s="60"/>
      <c r="IF44" s="60"/>
      <c r="IG44" s="60"/>
      <c r="IH44" s="60"/>
      <c r="II44" s="60"/>
      <c r="IJ44" s="60"/>
      <c r="IK44" s="60"/>
      <c r="IL44" s="60"/>
      <c r="IM44" s="60"/>
      <c r="IN44" s="60"/>
      <c r="IO44" s="60"/>
      <c r="IP44" s="60"/>
      <c r="IQ44" s="60"/>
      <c r="IR44" s="60"/>
      <c r="IS44" s="60"/>
      <c r="IT44" s="60"/>
      <c r="IU44" s="60"/>
      <c r="IV44" s="60"/>
      <c r="IW44" s="60"/>
      <c r="IX44" s="60"/>
      <c r="IY44" s="60"/>
      <c r="IZ44" s="60"/>
      <c r="JA44" s="60"/>
      <c r="JB44" s="60"/>
      <c r="JC44" s="60"/>
      <c r="JD44" s="60"/>
      <c r="JE44" s="60"/>
      <c r="JF44" s="60"/>
      <c r="JG44" s="60"/>
      <c r="JH44" s="60"/>
      <c r="JI44" s="60"/>
      <c r="JJ44" s="60"/>
      <c r="JK44" s="60"/>
      <c r="JL44" s="60"/>
      <c r="JM44" s="60"/>
      <c r="JN44" s="60"/>
      <c r="JO44" s="60"/>
      <c r="JP44" s="60"/>
      <c r="JQ44" s="60"/>
      <c r="JR44" s="60"/>
      <c r="JS44" s="60"/>
      <c r="JT44" s="60"/>
      <c r="JU44" s="60"/>
      <c r="JV44" s="60"/>
      <c r="JW44" s="60"/>
      <c r="JX44" s="60"/>
      <c r="JY44" s="60"/>
      <c r="JZ44" s="60"/>
      <c r="KA44" s="60"/>
      <c r="KB44" s="60"/>
      <c r="KC44" s="60"/>
      <c r="KD44" s="60"/>
      <c r="KE44" s="60"/>
      <c r="KF44" s="60"/>
      <c r="KG44" s="60"/>
      <c r="KH44" s="60"/>
      <c r="KI44" s="60"/>
      <c r="KJ44" s="60"/>
      <c r="KK44" s="60"/>
      <c r="KL44" s="60"/>
      <c r="KM44" s="60"/>
      <c r="KN44" s="60"/>
      <c r="KO44" s="60"/>
      <c r="KP44" s="60"/>
      <c r="KQ44" s="60"/>
      <c r="KR44" s="60"/>
      <c r="KS44" s="60"/>
      <c r="KT44" s="60"/>
      <c r="KU44" s="60"/>
      <c r="KV44" s="60"/>
      <c r="KW44" s="60"/>
      <c r="KX44" s="60"/>
      <c r="KY44" s="60"/>
      <c r="KZ44" s="60"/>
      <c r="LA44" s="60"/>
      <c r="LB44" s="60"/>
      <c r="LC44" s="60"/>
      <c r="LD44" s="60"/>
      <c r="LE44" s="60"/>
      <c r="LF44" s="60"/>
      <c r="LG44" s="60"/>
      <c r="LH44" s="60"/>
    </row>
    <row r="45" spans="1:320" s="17" customFormat="1" x14ac:dyDescent="0.25">
      <c r="A45" s="147"/>
      <c r="E45" s="156"/>
      <c r="F45" s="156"/>
      <c r="G45" s="156"/>
      <c r="H45" s="156"/>
      <c r="I45" s="156"/>
      <c r="J45" s="156"/>
      <c r="K45" s="156"/>
      <c r="L45" s="156"/>
      <c r="M45" s="156"/>
      <c r="N45" s="156"/>
      <c r="O45" s="156"/>
      <c r="P45" s="156"/>
      <c r="Q45" s="156"/>
      <c r="R45" s="156"/>
      <c r="S45" s="156"/>
      <c r="AC45" s="60"/>
      <c r="AD45" s="60"/>
      <c r="AE45" s="60"/>
      <c r="AF45" s="60"/>
      <c r="AG45" s="60"/>
      <c r="AH45" s="60"/>
      <c r="AI45" s="60"/>
      <c r="AJ45" s="60"/>
      <c r="AK45" s="60"/>
      <c r="AL45" s="60"/>
      <c r="AM45" s="60"/>
      <c r="AN45" s="60"/>
      <c r="AO45" s="60"/>
      <c r="AP45" s="60"/>
      <c r="AQ45" s="60"/>
      <c r="AR45" s="60"/>
      <c r="AS45" s="60"/>
      <c r="AT45" s="60"/>
      <c r="AU45" s="60"/>
      <c r="AV45" s="60"/>
      <c r="AW45" s="60"/>
      <c r="AX45" s="60"/>
      <c r="AY45" s="60"/>
      <c r="AZ45" s="60"/>
      <c r="BA45" s="60"/>
      <c r="BB45" s="60"/>
      <c r="BC45" s="60"/>
      <c r="BD45" s="60"/>
      <c r="BE45" s="60"/>
      <c r="BF45" s="60"/>
      <c r="BG45" s="60"/>
      <c r="BH45" s="60"/>
      <c r="BI45" s="60"/>
      <c r="BJ45" s="60"/>
      <c r="BK45" s="60"/>
      <c r="BL45" s="60"/>
      <c r="BM45" s="60"/>
      <c r="BN45" s="60"/>
      <c r="BO45" s="60"/>
      <c r="BP45" s="60"/>
      <c r="BQ45" s="60"/>
      <c r="BR45" s="60"/>
      <c r="BS45" s="60"/>
      <c r="BT45" s="60"/>
      <c r="BU45" s="60"/>
      <c r="BV45" s="60"/>
      <c r="BW45" s="60"/>
      <c r="BX45" s="60"/>
      <c r="BY45" s="60"/>
      <c r="BZ45" s="60"/>
      <c r="CA45" s="60"/>
      <c r="CB45" s="60"/>
      <c r="CC45" s="60"/>
      <c r="CD45" s="60"/>
      <c r="CE45" s="60"/>
      <c r="CF45" s="60"/>
      <c r="CG45" s="60"/>
      <c r="CH45" s="60"/>
      <c r="CI45" s="60"/>
      <c r="CJ45" s="60"/>
      <c r="CK45" s="60"/>
      <c r="CL45" s="60"/>
      <c r="CM45" s="60"/>
      <c r="CN45" s="60"/>
      <c r="CO45" s="60"/>
      <c r="CP45" s="60"/>
      <c r="CQ45" s="60"/>
      <c r="CR45" s="60"/>
      <c r="CS45" s="60"/>
      <c r="CT45" s="60"/>
      <c r="CU45" s="60"/>
      <c r="CV45" s="60"/>
      <c r="CW45" s="60"/>
      <c r="CX45" s="60"/>
      <c r="CY45" s="60"/>
      <c r="CZ45" s="60"/>
      <c r="DA45" s="60"/>
      <c r="DB45" s="60"/>
      <c r="DC45" s="60"/>
      <c r="DD45" s="60"/>
      <c r="DE45" s="60"/>
      <c r="DF45" s="60"/>
      <c r="DG45" s="60"/>
      <c r="DH45" s="60"/>
      <c r="DI45" s="60"/>
      <c r="DJ45" s="60"/>
      <c r="DK45" s="60"/>
      <c r="DL45" s="60"/>
      <c r="DM45" s="60"/>
      <c r="DN45" s="60"/>
      <c r="DO45" s="60"/>
      <c r="DP45" s="60"/>
      <c r="DQ45" s="60"/>
      <c r="DR45" s="60"/>
      <c r="DS45" s="60"/>
      <c r="DT45" s="60"/>
      <c r="DU45" s="60"/>
      <c r="DV45" s="60"/>
      <c r="DW45" s="60"/>
      <c r="DX45" s="60"/>
      <c r="DY45" s="60"/>
      <c r="DZ45" s="60"/>
      <c r="EA45" s="60"/>
      <c r="EB45" s="60"/>
      <c r="EC45" s="60"/>
      <c r="ED45" s="60"/>
      <c r="EE45" s="60"/>
      <c r="EF45" s="60"/>
      <c r="EG45" s="60"/>
      <c r="EH45" s="60"/>
      <c r="EI45" s="60"/>
      <c r="EJ45" s="60"/>
      <c r="EK45" s="60"/>
      <c r="EL45" s="60"/>
      <c r="EM45" s="60"/>
      <c r="EN45" s="60"/>
      <c r="EO45" s="60"/>
      <c r="EP45" s="60"/>
      <c r="EQ45" s="60"/>
      <c r="ER45" s="60"/>
      <c r="ES45" s="60"/>
      <c r="ET45" s="60"/>
      <c r="EU45" s="60"/>
      <c r="EV45" s="60"/>
      <c r="EW45" s="60"/>
      <c r="EX45" s="60"/>
      <c r="EY45" s="60"/>
      <c r="EZ45" s="60"/>
      <c r="FA45" s="60"/>
      <c r="FB45" s="60"/>
      <c r="FC45" s="60"/>
      <c r="FD45" s="60"/>
      <c r="FE45" s="60"/>
      <c r="FF45" s="60"/>
      <c r="FG45" s="60"/>
      <c r="FH45" s="60"/>
      <c r="FI45" s="60"/>
      <c r="FJ45" s="60"/>
      <c r="FK45" s="60"/>
      <c r="FL45" s="60"/>
      <c r="FM45" s="60"/>
      <c r="FN45" s="60"/>
      <c r="FO45" s="60"/>
      <c r="FP45" s="60"/>
      <c r="FQ45" s="60"/>
      <c r="FR45" s="60"/>
      <c r="FS45" s="60"/>
      <c r="FT45" s="60"/>
      <c r="FU45" s="60"/>
      <c r="FV45" s="60"/>
      <c r="FW45" s="60"/>
      <c r="FX45" s="60"/>
      <c r="FY45" s="60"/>
      <c r="FZ45" s="60"/>
      <c r="GA45" s="60"/>
      <c r="GB45" s="60"/>
      <c r="GC45" s="60"/>
      <c r="GD45" s="60"/>
      <c r="GE45" s="60"/>
      <c r="GF45" s="60"/>
      <c r="GG45" s="60"/>
      <c r="GH45" s="60"/>
      <c r="GI45" s="60"/>
      <c r="GJ45" s="60"/>
      <c r="GK45" s="60"/>
      <c r="GL45" s="60"/>
      <c r="GM45" s="60"/>
      <c r="GN45" s="60"/>
      <c r="GO45" s="60"/>
      <c r="GP45" s="60"/>
      <c r="GQ45" s="60"/>
      <c r="GR45" s="60"/>
      <c r="GS45" s="60"/>
      <c r="GT45" s="60"/>
      <c r="GU45" s="60"/>
      <c r="GV45" s="60"/>
      <c r="GW45" s="60"/>
      <c r="GX45" s="60"/>
      <c r="GY45" s="60"/>
      <c r="GZ45" s="60"/>
      <c r="HA45" s="60"/>
      <c r="HB45" s="60"/>
      <c r="HC45" s="60"/>
      <c r="HD45" s="60"/>
      <c r="HE45" s="60"/>
      <c r="HF45" s="60"/>
      <c r="HG45" s="60"/>
      <c r="HH45" s="60"/>
      <c r="HI45" s="60"/>
      <c r="HJ45" s="60"/>
      <c r="HK45" s="60"/>
      <c r="HL45" s="60"/>
      <c r="HM45" s="60"/>
      <c r="HN45" s="60"/>
      <c r="HO45" s="60"/>
      <c r="HP45" s="60"/>
      <c r="HQ45" s="60"/>
      <c r="HR45" s="60"/>
      <c r="HS45" s="60"/>
      <c r="HT45" s="60"/>
      <c r="HU45" s="60"/>
      <c r="HV45" s="60"/>
      <c r="HW45" s="60"/>
      <c r="HX45" s="60"/>
      <c r="HY45" s="60"/>
      <c r="HZ45" s="60"/>
      <c r="IA45" s="60"/>
      <c r="IB45" s="60"/>
      <c r="IC45" s="60"/>
      <c r="ID45" s="60"/>
      <c r="IE45" s="60"/>
      <c r="IF45" s="60"/>
      <c r="IG45" s="60"/>
      <c r="IH45" s="60"/>
      <c r="II45" s="60"/>
      <c r="IJ45" s="60"/>
      <c r="IK45" s="60"/>
      <c r="IL45" s="60"/>
      <c r="IM45" s="60"/>
      <c r="IN45" s="60"/>
      <c r="IO45" s="60"/>
      <c r="IP45" s="60"/>
      <c r="IQ45" s="60"/>
      <c r="IR45" s="60"/>
      <c r="IS45" s="60"/>
      <c r="IT45" s="60"/>
      <c r="IU45" s="60"/>
      <c r="IV45" s="60"/>
      <c r="IW45" s="60"/>
      <c r="IX45" s="60"/>
      <c r="IY45" s="60"/>
      <c r="IZ45" s="60"/>
      <c r="JA45" s="60"/>
      <c r="JB45" s="60"/>
      <c r="JC45" s="60"/>
      <c r="JD45" s="60"/>
      <c r="JE45" s="60"/>
      <c r="JF45" s="60"/>
      <c r="JG45" s="60"/>
      <c r="JH45" s="60"/>
      <c r="JI45" s="60"/>
      <c r="JJ45" s="60"/>
      <c r="JK45" s="60"/>
      <c r="JL45" s="60"/>
      <c r="JM45" s="60"/>
      <c r="JN45" s="60"/>
      <c r="JO45" s="60"/>
      <c r="JP45" s="60"/>
      <c r="JQ45" s="60"/>
      <c r="JR45" s="60"/>
      <c r="JS45" s="60"/>
      <c r="JT45" s="60"/>
      <c r="JU45" s="60"/>
      <c r="JV45" s="60"/>
      <c r="JW45" s="60"/>
      <c r="JX45" s="60"/>
      <c r="JY45" s="60"/>
      <c r="JZ45" s="60"/>
      <c r="KA45" s="60"/>
      <c r="KB45" s="60"/>
      <c r="KC45" s="60"/>
      <c r="KD45" s="60"/>
      <c r="KE45" s="60"/>
      <c r="KF45" s="60"/>
      <c r="KG45" s="60"/>
      <c r="KH45" s="60"/>
      <c r="KI45" s="60"/>
      <c r="KJ45" s="60"/>
      <c r="KK45" s="60"/>
      <c r="KL45" s="60"/>
      <c r="KM45" s="60"/>
      <c r="KN45" s="60"/>
      <c r="KO45" s="60"/>
      <c r="KP45" s="60"/>
      <c r="KQ45" s="60"/>
      <c r="KR45" s="60"/>
      <c r="KS45" s="60"/>
      <c r="KT45" s="60"/>
      <c r="KU45" s="60"/>
      <c r="KV45" s="60"/>
      <c r="KW45" s="60"/>
      <c r="KX45" s="60"/>
      <c r="KY45" s="60"/>
      <c r="KZ45" s="60"/>
      <c r="LA45" s="60"/>
      <c r="LB45" s="60"/>
      <c r="LC45" s="60"/>
      <c r="LD45" s="60"/>
      <c r="LE45" s="60"/>
      <c r="LF45" s="60"/>
      <c r="LG45" s="60"/>
      <c r="LH45" s="60"/>
    </row>
    <row r="46" spans="1:320" s="17" customFormat="1" x14ac:dyDescent="0.25">
      <c r="A46" s="147"/>
      <c r="E46" s="156"/>
      <c r="F46" s="156"/>
      <c r="G46" s="156"/>
      <c r="H46" s="156"/>
      <c r="I46" s="156"/>
      <c r="J46" s="156"/>
      <c r="K46" s="156"/>
      <c r="L46" s="156"/>
      <c r="M46" s="156"/>
      <c r="N46" s="156"/>
      <c r="O46" s="156"/>
      <c r="P46" s="156"/>
      <c r="Q46" s="156"/>
      <c r="R46" s="156"/>
      <c r="S46" s="156"/>
      <c r="AC46" s="60"/>
      <c r="AD46" s="60"/>
      <c r="AE46" s="60"/>
      <c r="AF46" s="60"/>
      <c r="AG46" s="60"/>
      <c r="AH46" s="60"/>
      <c r="AI46" s="60"/>
      <c r="AJ46" s="60"/>
      <c r="AK46" s="60"/>
      <c r="AL46" s="60"/>
      <c r="AM46" s="60"/>
      <c r="AN46" s="60"/>
      <c r="AO46" s="60"/>
      <c r="AP46" s="60"/>
      <c r="AQ46" s="60"/>
      <c r="AR46" s="60"/>
      <c r="AS46" s="60"/>
      <c r="AT46" s="60"/>
      <c r="AU46" s="60"/>
      <c r="AV46" s="60"/>
      <c r="AW46" s="60"/>
      <c r="AX46" s="60"/>
      <c r="AY46" s="60"/>
      <c r="AZ46" s="60"/>
      <c r="BA46" s="60"/>
      <c r="BB46" s="60"/>
      <c r="BC46" s="60"/>
      <c r="BD46" s="60"/>
      <c r="BE46" s="60"/>
      <c r="BF46" s="60"/>
      <c r="BG46" s="60"/>
      <c r="BH46" s="60"/>
      <c r="BI46" s="60"/>
      <c r="BJ46" s="60"/>
      <c r="BK46" s="60"/>
      <c r="BL46" s="60"/>
      <c r="BM46" s="60"/>
      <c r="BN46" s="60"/>
      <c r="BO46" s="60"/>
      <c r="BP46" s="60"/>
      <c r="BQ46" s="60"/>
      <c r="BR46" s="60"/>
      <c r="BS46" s="60"/>
      <c r="BT46" s="60"/>
      <c r="BU46" s="60"/>
      <c r="BV46" s="60"/>
      <c r="BW46" s="60"/>
      <c r="BX46" s="60"/>
      <c r="BY46" s="60"/>
      <c r="BZ46" s="60"/>
      <c r="CA46" s="60"/>
      <c r="CB46" s="60"/>
      <c r="CC46" s="60"/>
      <c r="CD46" s="60"/>
      <c r="CE46" s="60"/>
      <c r="CF46" s="60"/>
      <c r="CG46" s="60"/>
      <c r="CH46" s="60"/>
      <c r="CI46" s="60"/>
      <c r="CJ46" s="60"/>
      <c r="CK46" s="60"/>
      <c r="CL46" s="60"/>
      <c r="CM46" s="60"/>
      <c r="CN46" s="60"/>
      <c r="CO46" s="60"/>
      <c r="CP46" s="60"/>
      <c r="CQ46" s="60"/>
      <c r="CR46" s="60"/>
      <c r="CS46" s="60"/>
      <c r="CT46" s="60"/>
      <c r="CU46" s="60"/>
      <c r="CV46" s="60"/>
      <c r="CW46" s="60"/>
      <c r="CX46" s="60"/>
      <c r="CY46" s="60"/>
      <c r="CZ46" s="60"/>
      <c r="DA46" s="60"/>
      <c r="DB46" s="60"/>
      <c r="DC46" s="60"/>
      <c r="DD46" s="60"/>
      <c r="DE46" s="60"/>
      <c r="DF46" s="60"/>
      <c r="DG46" s="60"/>
      <c r="DH46" s="60"/>
      <c r="DI46" s="60"/>
      <c r="DJ46" s="60"/>
      <c r="DK46" s="60"/>
      <c r="DL46" s="60"/>
      <c r="DM46" s="60"/>
      <c r="DN46" s="60"/>
      <c r="DO46" s="60"/>
      <c r="DP46" s="60"/>
      <c r="DQ46" s="60"/>
      <c r="DR46" s="60"/>
      <c r="DS46" s="60"/>
      <c r="DT46" s="60"/>
      <c r="DU46" s="60"/>
      <c r="DV46" s="60"/>
      <c r="DW46" s="60"/>
      <c r="DX46" s="60"/>
      <c r="DY46" s="60"/>
      <c r="DZ46" s="60"/>
      <c r="EA46" s="60"/>
      <c r="EB46" s="60"/>
      <c r="EC46" s="60"/>
      <c r="ED46" s="60"/>
      <c r="EE46" s="60"/>
      <c r="EF46" s="60"/>
      <c r="EG46" s="60"/>
      <c r="EH46" s="60"/>
      <c r="EI46" s="60"/>
      <c r="EJ46" s="60"/>
      <c r="EK46" s="60"/>
      <c r="EL46" s="60"/>
      <c r="EM46" s="60"/>
      <c r="EN46" s="60"/>
      <c r="EO46" s="60"/>
      <c r="EP46" s="60"/>
      <c r="EQ46" s="60"/>
      <c r="ER46" s="60"/>
      <c r="ES46" s="60"/>
      <c r="ET46" s="60"/>
      <c r="EU46" s="60"/>
      <c r="EV46" s="60"/>
      <c r="EW46" s="60"/>
      <c r="EX46" s="60"/>
      <c r="EY46" s="60"/>
      <c r="EZ46" s="60"/>
      <c r="FA46" s="60"/>
      <c r="FB46" s="60"/>
      <c r="FC46" s="60"/>
      <c r="FD46" s="60"/>
      <c r="FE46" s="60"/>
      <c r="FF46" s="60"/>
      <c r="FG46" s="60"/>
      <c r="FH46" s="60"/>
      <c r="FI46" s="60"/>
      <c r="FJ46" s="60"/>
      <c r="FK46" s="60"/>
      <c r="FL46" s="60"/>
      <c r="FM46" s="60"/>
      <c r="FN46" s="60"/>
      <c r="FO46" s="60"/>
      <c r="FP46" s="60"/>
      <c r="FQ46" s="60"/>
      <c r="FR46" s="60"/>
      <c r="FS46" s="60"/>
      <c r="FT46" s="60"/>
      <c r="FU46" s="60"/>
      <c r="FV46" s="60"/>
      <c r="FW46" s="60"/>
      <c r="FX46" s="60"/>
      <c r="FY46" s="60"/>
      <c r="FZ46" s="60"/>
      <c r="GA46" s="60"/>
      <c r="GB46" s="60"/>
      <c r="GC46" s="60"/>
      <c r="GD46" s="60"/>
      <c r="GE46" s="60"/>
      <c r="GF46" s="60"/>
      <c r="GG46" s="60"/>
      <c r="GH46" s="60"/>
      <c r="GI46" s="60"/>
      <c r="GJ46" s="60"/>
      <c r="GK46" s="60"/>
      <c r="GL46" s="60"/>
      <c r="GM46" s="60"/>
      <c r="GN46" s="60"/>
      <c r="GO46" s="60"/>
      <c r="GP46" s="60"/>
      <c r="GQ46" s="60"/>
      <c r="GR46" s="60"/>
      <c r="GS46" s="60"/>
      <c r="GT46" s="60"/>
      <c r="GU46" s="60"/>
      <c r="GV46" s="60"/>
      <c r="GW46" s="60"/>
      <c r="GX46" s="60"/>
      <c r="GY46" s="60"/>
      <c r="GZ46" s="60"/>
      <c r="HA46" s="60"/>
      <c r="HB46" s="60"/>
      <c r="HC46" s="60"/>
      <c r="HD46" s="60"/>
      <c r="HE46" s="60"/>
      <c r="HF46" s="60"/>
      <c r="HG46" s="60"/>
      <c r="HH46" s="60"/>
      <c r="HI46" s="60"/>
      <c r="HJ46" s="60"/>
      <c r="HK46" s="60"/>
      <c r="HL46" s="60"/>
      <c r="HM46" s="60"/>
      <c r="HN46" s="60"/>
      <c r="HO46" s="60"/>
      <c r="HP46" s="60"/>
      <c r="HQ46" s="60"/>
      <c r="HR46" s="60"/>
      <c r="HS46" s="60"/>
      <c r="HT46" s="60"/>
      <c r="HU46" s="60"/>
      <c r="HV46" s="60"/>
      <c r="HW46" s="60"/>
      <c r="HX46" s="60"/>
      <c r="HY46" s="60"/>
      <c r="HZ46" s="60"/>
      <c r="IA46" s="60"/>
      <c r="IB46" s="60"/>
      <c r="IC46" s="60"/>
      <c r="ID46" s="60"/>
      <c r="IE46" s="60"/>
      <c r="IF46" s="60"/>
      <c r="IG46" s="60"/>
      <c r="IH46" s="60"/>
      <c r="II46" s="60"/>
      <c r="IJ46" s="60"/>
      <c r="IK46" s="60"/>
      <c r="IL46" s="60"/>
      <c r="IM46" s="60"/>
      <c r="IN46" s="60"/>
      <c r="IO46" s="60"/>
      <c r="IP46" s="60"/>
      <c r="IQ46" s="60"/>
      <c r="IR46" s="60"/>
      <c r="IS46" s="60"/>
      <c r="IT46" s="60"/>
      <c r="IU46" s="60"/>
      <c r="IV46" s="60"/>
      <c r="IW46" s="60"/>
      <c r="IX46" s="60"/>
      <c r="IY46" s="60"/>
      <c r="IZ46" s="60"/>
      <c r="JA46" s="60"/>
      <c r="JB46" s="60"/>
      <c r="JC46" s="60"/>
      <c r="JD46" s="60"/>
      <c r="JE46" s="60"/>
      <c r="JF46" s="60"/>
      <c r="JG46" s="60"/>
      <c r="JH46" s="60"/>
      <c r="JI46" s="60"/>
      <c r="JJ46" s="60"/>
      <c r="JK46" s="60"/>
      <c r="JL46" s="60"/>
      <c r="JM46" s="60"/>
      <c r="JN46" s="60"/>
      <c r="JO46" s="60"/>
      <c r="JP46" s="60"/>
      <c r="JQ46" s="60"/>
      <c r="JR46" s="60"/>
      <c r="JS46" s="60"/>
      <c r="JT46" s="60"/>
      <c r="JU46" s="60"/>
      <c r="JV46" s="60"/>
      <c r="JW46" s="60"/>
      <c r="JX46" s="60"/>
      <c r="JY46" s="60"/>
      <c r="JZ46" s="60"/>
      <c r="KA46" s="60"/>
      <c r="KB46" s="60"/>
      <c r="KC46" s="60"/>
      <c r="KD46" s="60"/>
      <c r="KE46" s="60"/>
      <c r="KF46" s="60"/>
      <c r="KG46" s="60"/>
      <c r="KH46" s="60"/>
      <c r="KI46" s="60"/>
      <c r="KJ46" s="60"/>
      <c r="KK46" s="60"/>
      <c r="KL46" s="60"/>
      <c r="KM46" s="60"/>
      <c r="KN46" s="60"/>
      <c r="KO46" s="60"/>
      <c r="KP46" s="60"/>
      <c r="KQ46" s="60"/>
      <c r="KR46" s="60"/>
      <c r="KS46" s="60"/>
      <c r="KT46" s="60"/>
      <c r="KU46" s="60"/>
      <c r="KV46" s="60"/>
      <c r="KW46" s="60"/>
      <c r="KX46" s="60"/>
      <c r="KY46" s="60"/>
      <c r="KZ46" s="60"/>
      <c r="LA46" s="60"/>
      <c r="LB46" s="60"/>
      <c r="LC46" s="60"/>
      <c r="LD46" s="60"/>
      <c r="LE46" s="60"/>
      <c r="LF46" s="60"/>
      <c r="LG46" s="60"/>
      <c r="LH46" s="60"/>
    </row>
    <row r="47" spans="1:320" s="17" customFormat="1" x14ac:dyDescent="0.25">
      <c r="A47" s="147"/>
      <c r="E47" s="156"/>
      <c r="F47" s="156"/>
      <c r="G47" s="156"/>
      <c r="H47" s="156"/>
      <c r="I47" s="156"/>
      <c r="J47" s="156"/>
      <c r="K47" s="156"/>
      <c r="L47" s="156"/>
      <c r="M47" s="156"/>
      <c r="N47" s="156"/>
      <c r="O47" s="156"/>
      <c r="P47" s="156"/>
      <c r="Q47" s="156"/>
      <c r="R47" s="156"/>
      <c r="S47" s="156"/>
      <c r="AC47" s="60"/>
      <c r="AD47" s="60"/>
      <c r="AE47" s="60"/>
      <c r="AF47" s="60"/>
      <c r="AG47" s="60"/>
      <c r="AH47" s="60"/>
      <c r="AI47" s="60"/>
      <c r="AJ47" s="60"/>
      <c r="AK47" s="60"/>
      <c r="AL47" s="60"/>
      <c r="AM47" s="60"/>
      <c r="AN47" s="60"/>
      <c r="AO47" s="60"/>
      <c r="AP47" s="60"/>
      <c r="AQ47" s="60"/>
      <c r="AR47" s="60"/>
      <c r="AS47" s="60"/>
      <c r="AT47" s="60"/>
      <c r="AU47" s="60"/>
      <c r="AV47" s="60"/>
      <c r="AW47" s="60"/>
      <c r="AX47" s="60"/>
      <c r="AY47" s="60"/>
      <c r="AZ47" s="60"/>
      <c r="BA47" s="60"/>
      <c r="BB47" s="60"/>
      <c r="BC47" s="60"/>
      <c r="BD47" s="60"/>
      <c r="BE47" s="60"/>
      <c r="BF47" s="60"/>
      <c r="BG47" s="60"/>
      <c r="BH47" s="60"/>
      <c r="BI47" s="60"/>
      <c r="BJ47" s="60"/>
      <c r="BK47" s="60"/>
      <c r="BL47" s="60"/>
      <c r="BM47" s="60"/>
      <c r="BN47" s="60"/>
      <c r="BO47" s="60"/>
      <c r="BP47" s="60"/>
      <c r="BQ47" s="60"/>
      <c r="BR47" s="60"/>
      <c r="BS47" s="60"/>
      <c r="BT47" s="60"/>
      <c r="BU47" s="60"/>
      <c r="BV47" s="60"/>
      <c r="BW47" s="60"/>
      <c r="BX47" s="60"/>
      <c r="BY47" s="60"/>
      <c r="BZ47" s="60"/>
      <c r="CA47" s="60"/>
      <c r="CB47" s="60"/>
      <c r="CC47" s="60"/>
      <c r="CD47" s="60"/>
      <c r="CE47" s="60"/>
      <c r="CF47" s="60"/>
      <c r="CG47" s="60"/>
      <c r="CH47" s="60"/>
      <c r="CI47" s="60"/>
      <c r="CJ47" s="60"/>
      <c r="CK47" s="60"/>
      <c r="CL47" s="60"/>
      <c r="CM47" s="60"/>
      <c r="CN47" s="60"/>
      <c r="CO47" s="60"/>
      <c r="CP47" s="60"/>
      <c r="CQ47" s="60"/>
      <c r="CR47" s="60"/>
      <c r="CS47" s="60"/>
      <c r="CT47" s="60"/>
      <c r="CU47" s="60"/>
      <c r="CV47" s="60"/>
      <c r="CW47" s="60"/>
      <c r="CX47" s="60"/>
      <c r="CY47" s="60"/>
      <c r="CZ47" s="60"/>
      <c r="DA47" s="60"/>
      <c r="DB47" s="60"/>
      <c r="DC47" s="60"/>
      <c r="DD47" s="60"/>
      <c r="DE47" s="60"/>
      <c r="DF47" s="60"/>
      <c r="DG47" s="60"/>
      <c r="DH47" s="60"/>
      <c r="DI47" s="60"/>
      <c r="DJ47" s="60"/>
      <c r="DK47" s="60"/>
      <c r="DL47" s="60"/>
      <c r="DM47" s="60"/>
      <c r="DN47" s="60"/>
      <c r="DO47" s="60"/>
      <c r="DP47" s="60"/>
      <c r="DQ47" s="60"/>
      <c r="DR47" s="60"/>
      <c r="DS47" s="60"/>
      <c r="DT47" s="60"/>
      <c r="DU47" s="60"/>
      <c r="DV47" s="60"/>
      <c r="DW47" s="60"/>
      <c r="DX47" s="60"/>
      <c r="DY47" s="60"/>
      <c r="DZ47" s="60"/>
      <c r="EA47" s="60"/>
      <c r="EB47" s="60"/>
      <c r="EC47" s="60"/>
      <c r="ED47" s="60"/>
      <c r="EE47" s="60"/>
      <c r="EF47" s="60"/>
      <c r="EG47" s="60"/>
      <c r="EH47" s="60"/>
      <c r="EI47" s="60"/>
      <c r="EJ47" s="60"/>
      <c r="EK47" s="60"/>
      <c r="EL47" s="60"/>
      <c r="EM47" s="60"/>
      <c r="EN47" s="60"/>
      <c r="EO47" s="60"/>
      <c r="EP47" s="60"/>
      <c r="EQ47" s="60"/>
      <c r="ER47" s="60"/>
      <c r="ES47" s="60"/>
      <c r="ET47" s="60"/>
      <c r="EU47" s="60"/>
      <c r="EV47" s="60"/>
      <c r="EW47" s="60"/>
      <c r="EX47" s="60"/>
      <c r="EY47" s="60"/>
      <c r="EZ47" s="60"/>
      <c r="FA47" s="60"/>
      <c r="FB47" s="60"/>
      <c r="FC47" s="60"/>
      <c r="FD47" s="60"/>
      <c r="FE47" s="60"/>
      <c r="FF47" s="60"/>
      <c r="FG47" s="60"/>
      <c r="FH47" s="60"/>
      <c r="FI47" s="60"/>
      <c r="FJ47" s="60"/>
      <c r="FK47" s="60"/>
      <c r="FL47" s="60"/>
      <c r="FM47" s="60"/>
      <c r="FN47" s="60"/>
      <c r="FO47" s="60"/>
      <c r="FP47" s="60"/>
      <c r="FQ47" s="60"/>
      <c r="FR47" s="60"/>
      <c r="FS47" s="60"/>
      <c r="FT47" s="60"/>
      <c r="FU47" s="60"/>
      <c r="FV47" s="60"/>
      <c r="FW47" s="60"/>
      <c r="FX47" s="60"/>
      <c r="FY47" s="60"/>
      <c r="FZ47" s="60"/>
      <c r="GA47" s="60"/>
      <c r="GB47" s="60"/>
      <c r="GC47" s="60"/>
      <c r="GD47" s="60"/>
      <c r="GE47" s="60"/>
      <c r="GF47" s="60"/>
      <c r="GG47" s="60"/>
      <c r="GH47" s="60"/>
      <c r="GI47" s="60"/>
      <c r="GJ47" s="60"/>
      <c r="GK47" s="60"/>
      <c r="GL47" s="60"/>
      <c r="GM47" s="60"/>
      <c r="GN47" s="60"/>
      <c r="GO47" s="60"/>
      <c r="GP47" s="60"/>
      <c r="GQ47" s="60"/>
      <c r="GR47" s="60"/>
      <c r="GS47" s="60"/>
      <c r="GT47" s="60"/>
      <c r="GU47" s="60"/>
      <c r="GV47" s="60"/>
      <c r="GW47" s="60"/>
      <c r="GX47" s="60"/>
      <c r="GY47" s="60"/>
      <c r="GZ47" s="60"/>
      <c r="HA47" s="60"/>
      <c r="HB47" s="60"/>
      <c r="HC47" s="60"/>
      <c r="HD47" s="60"/>
      <c r="HE47" s="60"/>
      <c r="HF47" s="60"/>
      <c r="HG47" s="60"/>
      <c r="HH47" s="60"/>
      <c r="HI47" s="60"/>
      <c r="HJ47" s="60"/>
      <c r="HK47" s="60"/>
      <c r="HL47" s="60"/>
      <c r="HM47" s="60"/>
      <c r="HN47" s="60"/>
      <c r="HO47" s="60"/>
      <c r="HP47" s="60"/>
      <c r="HQ47" s="60"/>
      <c r="HR47" s="60"/>
      <c r="HS47" s="60"/>
      <c r="HT47" s="60"/>
      <c r="HU47" s="60"/>
      <c r="HV47" s="60"/>
      <c r="HW47" s="60"/>
      <c r="HX47" s="60"/>
      <c r="HY47" s="60"/>
      <c r="HZ47" s="60"/>
      <c r="IA47" s="60"/>
      <c r="IB47" s="60"/>
      <c r="IC47" s="60"/>
      <c r="ID47" s="60"/>
      <c r="IE47" s="60"/>
      <c r="IF47" s="60"/>
      <c r="IG47" s="60"/>
      <c r="IH47" s="60"/>
      <c r="II47" s="60"/>
      <c r="IJ47" s="60"/>
      <c r="IK47" s="60"/>
      <c r="IL47" s="60"/>
      <c r="IM47" s="60"/>
      <c r="IN47" s="60"/>
      <c r="IO47" s="60"/>
      <c r="IP47" s="60"/>
      <c r="IQ47" s="60"/>
      <c r="IR47" s="60"/>
      <c r="IS47" s="60"/>
      <c r="IT47" s="60"/>
      <c r="IU47" s="60"/>
      <c r="IV47" s="60"/>
      <c r="IW47" s="60"/>
      <c r="IX47" s="60"/>
      <c r="IY47" s="60"/>
      <c r="IZ47" s="60"/>
      <c r="JA47" s="60"/>
      <c r="JB47" s="60"/>
      <c r="JC47" s="60"/>
      <c r="JD47" s="60"/>
      <c r="JE47" s="60"/>
      <c r="JF47" s="60"/>
      <c r="JG47" s="60"/>
      <c r="JH47" s="60"/>
      <c r="JI47" s="60"/>
      <c r="JJ47" s="60"/>
      <c r="JK47" s="60"/>
      <c r="JL47" s="60"/>
      <c r="JM47" s="60"/>
      <c r="JN47" s="60"/>
      <c r="JO47" s="60"/>
      <c r="JP47" s="60"/>
      <c r="JQ47" s="60"/>
      <c r="JR47" s="60"/>
      <c r="JS47" s="60"/>
      <c r="JT47" s="60"/>
      <c r="JU47" s="60"/>
      <c r="JV47" s="60"/>
      <c r="JW47" s="60"/>
      <c r="JX47" s="60"/>
      <c r="JY47" s="60"/>
      <c r="JZ47" s="60"/>
      <c r="KA47" s="60"/>
      <c r="KB47" s="60"/>
      <c r="KC47" s="60"/>
      <c r="KD47" s="60"/>
      <c r="KE47" s="60"/>
      <c r="KF47" s="60"/>
      <c r="KG47" s="60"/>
      <c r="KH47" s="60"/>
      <c r="KI47" s="60"/>
      <c r="KJ47" s="60"/>
      <c r="KK47" s="60"/>
      <c r="KL47" s="60"/>
      <c r="KM47" s="60"/>
      <c r="KN47" s="60"/>
      <c r="KO47" s="60"/>
      <c r="KP47" s="60"/>
      <c r="KQ47" s="60"/>
      <c r="KR47" s="60"/>
      <c r="KS47" s="60"/>
      <c r="KT47" s="60"/>
      <c r="KU47" s="60"/>
      <c r="KV47" s="60"/>
      <c r="KW47" s="60"/>
      <c r="KX47" s="60"/>
      <c r="KY47" s="60"/>
      <c r="KZ47" s="60"/>
      <c r="LA47" s="60"/>
      <c r="LB47" s="60"/>
      <c r="LC47" s="60"/>
      <c r="LD47" s="60"/>
      <c r="LE47" s="60"/>
      <c r="LF47" s="60"/>
      <c r="LG47" s="60"/>
      <c r="LH47" s="60"/>
    </row>
    <row r="48" spans="1:320" s="17" customFormat="1" x14ac:dyDescent="0.25">
      <c r="A48" s="147"/>
      <c r="E48" s="156"/>
      <c r="F48" s="156"/>
      <c r="G48" s="156"/>
      <c r="H48" s="156"/>
      <c r="I48" s="156"/>
      <c r="J48" s="156"/>
      <c r="K48" s="156"/>
      <c r="L48" s="156"/>
      <c r="M48" s="156"/>
      <c r="N48" s="156"/>
      <c r="O48" s="156"/>
      <c r="P48" s="156"/>
      <c r="Q48" s="156"/>
      <c r="R48" s="156"/>
      <c r="S48" s="156"/>
      <c r="AC48" s="60"/>
      <c r="AD48" s="60"/>
      <c r="AE48" s="60"/>
      <c r="AF48" s="60"/>
      <c r="AG48" s="60"/>
      <c r="AH48" s="60"/>
      <c r="AI48" s="60"/>
      <c r="AJ48" s="60"/>
      <c r="AK48" s="60"/>
      <c r="AL48" s="60"/>
      <c r="AM48" s="60"/>
      <c r="AN48" s="60"/>
      <c r="AO48" s="60"/>
      <c r="AP48" s="60"/>
      <c r="AQ48" s="60"/>
      <c r="AR48" s="60"/>
      <c r="AS48" s="60"/>
      <c r="AT48" s="60"/>
      <c r="AU48" s="60"/>
      <c r="AV48" s="60"/>
      <c r="AW48" s="60"/>
      <c r="AX48" s="60"/>
      <c r="AY48" s="60"/>
      <c r="AZ48" s="60"/>
      <c r="BA48" s="60"/>
      <c r="BB48" s="60"/>
      <c r="BC48" s="60"/>
      <c r="BD48" s="60"/>
      <c r="BE48" s="60"/>
      <c r="BF48" s="60"/>
      <c r="BG48" s="60"/>
      <c r="BH48" s="60"/>
      <c r="BI48" s="60"/>
      <c r="BJ48" s="60"/>
      <c r="BK48" s="60"/>
      <c r="BL48" s="60"/>
      <c r="BM48" s="60"/>
      <c r="BN48" s="60"/>
      <c r="BO48" s="60"/>
      <c r="BP48" s="60"/>
      <c r="BQ48" s="60"/>
      <c r="BR48" s="60"/>
      <c r="BS48" s="60"/>
      <c r="BT48" s="60"/>
      <c r="BU48" s="60"/>
      <c r="BV48" s="60"/>
      <c r="BW48" s="60"/>
      <c r="BX48" s="60"/>
      <c r="BY48" s="60"/>
      <c r="BZ48" s="60"/>
      <c r="CA48" s="60"/>
      <c r="CB48" s="60"/>
      <c r="CC48" s="60"/>
      <c r="CD48" s="60"/>
      <c r="CE48" s="60"/>
      <c r="CF48" s="60"/>
      <c r="CG48" s="60"/>
      <c r="CH48" s="60"/>
      <c r="CI48" s="60"/>
      <c r="CJ48" s="60"/>
      <c r="CK48" s="60"/>
      <c r="CL48" s="60"/>
      <c r="CM48" s="60"/>
      <c r="CN48" s="60"/>
      <c r="CO48" s="60"/>
      <c r="CP48" s="60"/>
      <c r="CQ48" s="60"/>
      <c r="CR48" s="60"/>
      <c r="CS48" s="60"/>
      <c r="CT48" s="60"/>
      <c r="CU48" s="60"/>
      <c r="CV48" s="60"/>
      <c r="CW48" s="60"/>
      <c r="CX48" s="60"/>
      <c r="CY48" s="60"/>
      <c r="CZ48" s="60"/>
      <c r="DA48" s="60"/>
      <c r="DB48" s="60"/>
      <c r="DC48" s="60"/>
      <c r="DD48" s="60"/>
      <c r="DE48" s="60"/>
      <c r="DF48" s="60"/>
      <c r="DG48" s="60"/>
      <c r="DH48" s="60"/>
      <c r="DI48" s="60"/>
      <c r="DJ48" s="60"/>
      <c r="DK48" s="60"/>
      <c r="DL48" s="60"/>
      <c r="DM48" s="60"/>
      <c r="DN48" s="60"/>
      <c r="DO48" s="60"/>
      <c r="DP48" s="60"/>
      <c r="DQ48" s="60"/>
      <c r="DR48" s="60"/>
      <c r="DS48" s="60"/>
      <c r="DT48" s="60"/>
      <c r="DU48" s="60"/>
      <c r="DV48" s="60"/>
      <c r="DW48" s="60"/>
      <c r="DX48" s="60"/>
      <c r="DY48" s="60"/>
      <c r="DZ48" s="60"/>
      <c r="EA48" s="60"/>
      <c r="EB48" s="60"/>
      <c r="EC48" s="60"/>
      <c r="ED48" s="60"/>
      <c r="EE48" s="60"/>
      <c r="EF48" s="60"/>
      <c r="EG48" s="60"/>
      <c r="EH48" s="60"/>
      <c r="EI48" s="60"/>
      <c r="EJ48" s="60"/>
      <c r="EK48" s="60"/>
      <c r="EL48" s="60"/>
      <c r="EM48" s="60"/>
      <c r="EN48" s="60"/>
      <c r="EO48" s="60"/>
      <c r="EP48" s="60"/>
      <c r="EQ48" s="60"/>
      <c r="ER48" s="60"/>
      <c r="ES48" s="60"/>
      <c r="ET48" s="60"/>
      <c r="EU48" s="60"/>
      <c r="EV48" s="60"/>
      <c r="EW48" s="60"/>
      <c r="EX48" s="60"/>
      <c r="EY48" s="60"/>
      <c r="EZ48" s="60"/>
      <c r="FA48" s="60"/>
      <c r="FB48" s="60"/>
      <c r="FC48" s="60"/>
      <c r="FD48" s="60"/>
      <c r="FE48" s="60"/>
      <c r="FF48" s="60"/>
      <c r="FG48" s="60"/>
      <c r="FH48" s="60"/>
      <c r="FI48" s="60"/>
      <c r="FJ48" s="60"/>
      <c r="FK48" s="60"/>
      <c r="FL48" s="60"/>
      <c r="FM48" s="60"/>
      <c r="FN48" s="60"/>
      <c r="FO48" s="60"/>
      <c r="FP48" s="60"/>
      <c r="FQ48" s="60"/>
      <c r="FR48" s="60"/>
      <c r="FS48" s="60"/>
      <c r="FT48" s="60"/>
      <c r="FU48" s="60"/>
      <c r="FV48" s="60"/>
      <c r="FW48" s="60"/>
      <c r="FX48" s="60"/>
      <c r="FY48" s="60"/>
      <c r="FZ48" s="60"/>
      <c r="GA48" s="60"/>
      <c r="GB48" s="60"/>
      <c r="GC48" s="60"/>
      <c r="GD48" s="60"/>
      <c r="GE48" s="60"/>
      <c r="GF48" s="60"/>
      <c r="GG48" s="60"/>
      <c r="GH48" s="60"/>
      <c r="GI48" s="60"/>
      <c r="GJ48" s="60"/>
      <c r="GK48" s="60"/>
      <c r="GL48" s="60"/>
      <c r="GM48" s="60"/>
      <c r="GN48" s="60"/>
      <c r="GO48" s="60"/>
      <c r="GP48" s="60"/>
      <c r="GQ48" s="60"/>
      <c r="GR48" s="60"/>
      <c r="GS48" s="60"/>
      <c r="GT48" s="60"/>
      <c r="GU48" s="60"/>
      <c r="GV48" s="60"/>
      <c r="GW48" s="60"/>
      <c r="GX48" s="60"/>
      <c r="GY48" s="60"/>
      <c r="GZ48" s="60"/>
      <c r="HA48" s="60"/>
      <c r="HB48" s="60"/>
      <c r="HC48" s="60"/>
      <c r="HD48" s="60"/>
      <c r="HE48" s="60"/>
      <c r="HF48" s="60"/>
      <c r="HG48" s="60"/>
      <c r="HH48" s="60"/>
      <c r="HI48" s="60"/>
      <c r="HJ48" s="60"/>
      <c r="HK48" s="60"/>
      <c r="HL48" s="60"/>
      <c r="HM48" s="60"/>
      <c r="HN48" s="60"/>
      <c r="HO48" s="60"/>
      <c r="HP48" s="60"/>
      <c r="HQ48" s="60"/>
      <c r="HR48" s="60"/>
      <c r="HS48" s="60"/>
      <c r="HT48" s="60"/>
      <c r="HU48" s="60"/>
      <c r="HV48" s="60"/>
      <c r="HW48" s="60"/>
      <c r="HX48" s="60"/>
      <c r="HY48" s="60"/>
      <c r="HZ48" s="60"/>
      <c r="IA48" s="60"/>
      <c r="IB48" s="60"/>
      <c r="IC48" s="60"/>
      <c r="ID48" s="60"/>
      <c r="IE48" s="60"/>
      <c r="IF48" s="60"/>
      <c r="IG48" s="60"/>
      <c r="IH48" s="60"/>
      <c r="II48" s="60"/>
      <c r="IJ48" s="60"/>
      <c r="IK48" s="60"/>
      <c r="IL48" s="60"/>
      <c r="IM48" s="60"/>
      <c r="IN48" s="60"/>
      <c r="IO48" s="60"/>
      <c r="IP48" s="60"/>
      <c r="IQ48" s="60"/>
      <c r="IR48" s="60"/>
      <c r="IS48" s="60"/>
      <c r="IT48" s="60"/>
      <c r="IU48" s="60"/>
      <c r="IV48" s="60"/>
      <c r="IW48" s="60"/>
      <c r="IX48" s="60"/>
      <c r="IY48" s="60"/>
      <c r="IZ48" s="60"/>
      <c r="JA48" s="60"/>
      <c r="JB48" s="60"/>
      <c r="JC48" s="60"/>
      <c r="JD48" s="60"/>
      <c r="JE48" s="60"/>
      <c r="JF48" s="60"/>
      <c r="JG48" s="60"/>
      <c r="JH48" s="60"/>
      <c r="JI48" s="60"/>
      <c r="JJ48" s="60"/>
      <c r="JK48" s="60"/>
      <c r="JL48" s="60"/>
      <c r="JM48" s="60"/>
      <c r="JN48" s="60"/>
      <c r="JO48" s="60"/>
      <c r="JP48" s="60"/>
      <c r="JQ48" s="60"/>
      <c r="JR48" s="60"/>
      <c r="JS48" s="60"/>
      <c r="JT48" s="60"/>
      <c r="JU48" s="60"/>
      <c r="JV48" s="60"/>
      <c r="JW48" s="60"/>
      <c r="JX48" s="60"/>
      <c r="JY48" s="60"/>
      <c r="JZ48" s="60"/>
      <c r="KA48" s="60"/>
      <c r="KB48" s="60"/>
      <c r="KC48" s="60"/>
      <c r="KD48" s="60"/>
      <c r="KE48" s="60"/>
      <c r="KF48" s="60"/>
      <c r="KG48" s="60"/>
      <c r="KH48" s="60"/>
      <c r="KI48" s="60"/>
      <c r="KJ48" s="60"/>
      <c r="KK48" s="60"/>
      <c r="KL48" s="60"/>
      <c r="KM48" s="60"/>
      <c r="KN48" s="60"/>
      <c r="KO48" s="60"/>
      <c r="KP48" s="60"/>
      <c r="KQ48" s="60"/>
      <c r="KR48" s="60"/>
      <c r="KS48" s="60"/>
      <c r="KT48" s="60"/>
      <c r="KU48" s="60"/>
      <c r="KV48" s="60"/>
      <c r="KW48" s="60"/>
      <c r="KX48" s="60"/>
      <c r="KY48" s="60"/>
      <c r="KZ48" s="60"/>
      <c r="LA48" s="60"/>
      <c r="LB48" s="60"/>
      <c r="LC48" s="60"/>
      <c r="LD48" s="60"/>
      <c r="LE48" s="60"/>
      <c r="LF48" s="60"/>
      <c r="LG48" s="60"/>
      <c r="LH48" s="60"/>
    </row>
    <row r="49" spans="1:320" s="17" customFormat="1" x14ac:dyDescent="0.25">
      <c r="A49" s="147"/>
      <c r="E49" s="156"/>
      <c r="F49" s="156"/>
      <c r="G49" s="156"/>
      <c r="H49" s="156"/>
      <c r="I49" s="156"/>
      <c r="J49" s="156"/>
      <c r="K49" s="156"/>
      <c r="L49" s="156"/>
      <c r="M49" s="156"/>
      <c r="N49" s="156"/>
      <c r="O49" s="156"/>
      <c r="P49" s="156"/>
      <c r="Q49" s="156"/>
      <c r="R49" s="156"/>
      <c r="S49" s="156"/>
      <c r="AC49" s="60"/>
      <c r="AD49" s="60"/>
      <c r="AE49" s="60"/>
      <c r="AF49" s="60"/>
      <c r="AG49" s="60"/>
      <c r="AH49" s="60"/>
      <c r="AI49" s="60"/>
      <c r="AJ49" s="60"/>
      <c r="AK49" s="60"/>
      <c r="AL49" s="60"/>
      <c r="AM49" s="60"/>
      <c r="AN49" s="60"/>
      <c r="AO49" s="60"/>
      <c r="AP49" s="60"/>
      <c r="AQ49" s="60"/>
      <c r="AR49" s="60"/>
      <c r="AS49" s="60"/>
      <c r="AT49" s="60"/>
      <c r="AU49" s="60"/>
      <c r="AV49" s="60"/>
      <c r="AW49" s="60"/>
      <c r="AX49" s="60"/>
      <c r="AY49" s="60"/>
      <c r="AZ49" s="60"/>
      <c r="BA49" s="60"/>
      <c r="BB49" s="60"/>
      <c r="BC49" s="60"/>
      <c r="BD49" s="60"/>
      <c r="BE49" s="60"/>
      <c r="BF49" s="60"/>
      <c r="BG49" s="60"/>
      <c r="BH49" s="60"/>
      <c r="BI49" s="60"/>
      <c r="BJ49" s="60"/>
      <c r="BK49" s="60"/>
      <c r="BL49" s="60"/>
      <c r="BM49" s="60"/>
      <c r="BN49" s="60"/>
      <c r="BO49" s="60"/>
      <c r="BP49" s="60"/>
      <c r="BQ49" s="60"/>
      <c r="BR49" s="60"/>
      <c r="BS49" s="60"/>
      <c r="BT49" s="60"/>
      <c r="BU49" s="60"/>
      <c r="BV49" s="60"/>
      <c r="BW49" s="60"/>
      <c r="BX49" s="60"/>
      <c r="BY49" s="60"/>
      <c r="BZ49" s="60"/>
      <c r="CA49" s="60"/>
      <c r="CB49" s="60"/>
      <c r="CC49" s="60"/>
      <c r="CD49" s="60"/>
      <c r="CE49" s="60"/>
      <c r="CF49" s="60"/>
      <c r="CG49" s="60"/>
      <c r="CH49" s="60"/>
      <c r="CI49" s="60"/>
      <c r="CJ49" s="60"/>
      <c r="CK49" s="60"/>
      <c r="CL49" s="60"/>
      <c r="CM49" s="60"/>
      <c r="CN49" s="60"/>
      <c r="CO49" s="60"/>
      <c r="CP49" s="60"/>
      <c r="CQ49" s="60"/>
      <c r="CR49" s="60"/>
      <c r="CS49" s="60"/>
      <c r="CT49" s="60"/>
      <c r="CU49" s="60"/>
      <c r="CV49" s="60"/>
      <c r="CW49" s="60"/>
      <c r="CX49" s="60"/>
      <c r="CY49" s="60"/>
      <c r="CZ49" s="60"/>
      <c r="DA49" s="60"/>
      <c r="DB49" s="60"/>
      <c r="DC49" s="60"/>
      <c r="DD49" s="60"/>
      <c r="DE49" s="60"/>
      <c r="DF49" s="60"/>
      <c r="DG49" s="60"/>
      <c r="DH49" s="60"/>
      <c r="DI49" s="60"/>
      <c r="DJ49" s="60"/>
      <c r="DK49" s="60"/>
      <c r="DL49" s="60"/>
      <c r="DM49" s="60"/>
      <c r="DN49" s="60"/>
      <c r="DO49" s="60"/>
      <c r="DP49" s="60"/>
      <c r="DQ49" s="60"/>
      <c r="DR49" s="60"/>
      <c r="DS49" s="60"/>
      <c r="DT49" s="60"/>
      <c r="DU49" s="60"/>
      <c r="DV49" s="60"/>
      <c r="DW49" s="60"/>
      <c r="DX49" s="60"/>
      <c r="DY49" s="60"/>
      <c r="DZ49" s="60"/>
      <c r="EA49" s="60"/>
      <c r="EB49" s="60"/>
      <c r="EC49" s="60"/>
      <c r="ED49" s="60"/>
      <c r="EE49" s="60"/>
      <c r="EF49" s="60"/>
      <c r="EG49" s="60"/>
      <c r="EH49" s="60"/>
      <c r="EI49" s="60"/>
      <c r="EJ49" s="60"/>
      <c r="EK49" s="60"/>
      <c r="EL49" s="60"/>
      <c r="EM49" s="60"/>
      <c r="EN49" s="60"/>
      <c r="EO49" s="60"/>
      <c r="EP49" s="60"/>
      <c r="EQ49" s="60"/>
      <c r="ER49" s="60"/>
      <c r="ES49" s="60"/>
      <c r="ET49" s="60"/>
      <c r="EU49" s="60"/>
      <c r="EV49" s="60"/>
      <c r="EW49" s="60"/>
      <c r="EX49" s="60"/>
      <c r="EY49" s="60"/>
      <c r="EZ49" s="60"/>
      <c r="FA49" s="60"/>
      <c r="FB49" s="60"/>
      <c r="FC49" s="60"/>
      <c r="FD49" s="60"/>
      <c r="FE49" s="60"/>
      <c r="FF49" s="60"/>
      <c r="FG49" s="60"/>
      <c r="FH49" s="60"/>
      <c r="FI49" s="60"/>
      <c r="FJ49" s="60"/>
      <c r="FK49" s="60"/>
      <c r="FL49" s="60"/>
      <c r="FM49" s="60"/>
      <c r="FN49" s="60"/>
      <c r="FO49" s="60"/>
      <c r="FP49" s="60"/>
      <c r="FQ49" s="60"/>
      <c r="FR49" s="60"/>
      <c r="FS49" s="60"/>
      <c r="FT49" s="60"/>
      <c r="FU49" s="60"/>
      <c r="FV49" s="60"/>
      <c r="FW49" s="60"/>
      <c r="FX49" s="60"/>
      <c r="FY49" s="60"/>
      <c r="FZ49" s="60"/>
      <c r="GA49" s="60"/>
      <c r="GB49" s="60"/>
      <c r="GC49" s="60"/>
      <c r="GD49" s="60"/>
      <c r="GE49" s="60"/>
      <c r="GF49" s="60"/>
      <c r="GG49" s="60"/>
      <c r="GH49" s="60"/>
      <c r="GI49" s="60"/>
      <c r="GJ49" s="60"/>
      <c r="GK49" s="60"/>
      <c r="GL49" s="60"/>
      <c r="GM49" s="60"/>
      <c r="GN49" s="60"/>
      <c r="GO49" s="60"/>
      <c r="GP49" s="60"/>
      <c r="GQ49" s="60"/>
      <c r="GR49" s="60"/>
      <c r="GS49" s="60"/>
      <c r="GT49" s="60"/>
      <c r="GU49" s="60"/>
      <c r="GV49" s="60"/>
      <c r="GW49" s="60"/>
      <c r="GX49" s="60"/>
      <c r="GY49" s="60"/>
      <c r="GZ49" s="60"/>
      <c r="HA49" s="60"/>
      <c r="HB49" s="60"/>
      <c r="HC49" s="60"/>
      <c r="HD49" s="60"/>
      <c r="HE49" s="60"/>
      <c r="HF49" s="60"/>
      <c r="HG49" s="60"/>
      <c r="HH49" s="60"/>
      <c r="HI49" s="60"/>
      <c r="HJ49" s="60"/>
      <c r="HK49" s="60"/>
      <c r="HL49" s="60"/>
      <c r="HM49" s="60"/>
      <c r="HN49" s="60"/>
      <c r="HO49" s="60"/>
      <c r="HP49" s="60"/>
      <c r="HQ49" s="60"/>
      <c r="HR49" s="60"/>
      <c r="HS49" s="60"/>
      <c r="HT49" s="60"/>
      <c r="HU49" s="60"/>
      <c r="HV49" s="60"/>
      <c r="HW49" s="60"/>
      <c r="HX49" s="60"/>
      <c r="HY49" s="60"/>
      <c r="HZ49" s="60"/>
      <c r="IA49" s="60"/>
      <c r="IB49" s="60"/>
      <c r="IC49" s="60"/>
      <c r="ID49" s="60"/>
      <c r="IE49" s="60"/>
      <c r="IF49" s="60"/>
      <c r="IG49" s="60"/>
      <c r="IH49" s="60"/>
      <c r="II49" s="60"/>
      <c r="IJ49" s="60"/>
      <c r="IK49" s="60"/>
      <c r="IL49" s="60"/>
      <c r="IM49" s="60"/>
      <c r="IN49" s="60"/>
      <c r="IO49" s="60"/>
      <c r="IP49" s="60"/>
      <c r="IQ49" s="60"/>
      <c r="IR49" s="60"/>
      <c r="IS49" s="60"/>
      <c r="IT49" s="60"/>
      <c r="IU49" s="60"/>
      <c r="IV49" s="60"/>
      <c r="IW49" s="60"/>
      <c r="IX49" s="60"/>
      <c r="IY49" s="60"/>
      <c r="IZ49" s="60"/>
      <c r="JA49" s="60"/>
      <c r="JB49" s="60"/>
      <c r="JC49" s="60"/>
      <c r="JD49" s="60"/>
      <c r="JE49" s="60"/>
      <c r="JF49" s="60"/>
      <c r="JG49" s="60"/>
      <c r="JH49" s="60"/>
      <c r="JI49" s="60"/>
      <c r="JJ49" s="60"/>
      <c r="JK49" s="60"/>
      <c r="JL49" s="60"/>
      <c r="JM49" s="60"/>
      <c r="JN49" s="60"/>
      <c r="JO49" s="60"/>
      <c r="JP49" s="60"/>
      <c r="JQ49" s="60"/>
      <c r="JR49" s="60"/>
      <c r="JS49" s="60"/>
      <c r="JT49" s="60"/>
      <c r="JU49" s="60"/>
      <c r="JV49" s="60"/>
      <c r="JW49" s="60"/>
      <c r="JX49" s="60"/>
      <c r="JY49" s="60"/>
      <c r="JZ49" s="60"/>
      <c r="KA49" s="60"/>
      <c r="KB49" s="60"/>
      <c r="KC49" s="60"/>
      <c r="KD49" s="60"/>
      <c r="KE49" s="60"/>
      <c r="KF49" s="60"/>
      <c r="KG49" s="60"/>
      <c r="KH49" s="60"/>
      <c r="KI49" s="60"/>
      <c r="KJ49" s="60"/>
      <c r="KK49" s="60"/>
      <c r="KL49" s="60"/>
      <c r="KM49" s="60"/>
      <c r="KN49" s="60"/>
      <c r="KO49" s="60"/>
      <c r="KP49" s="60"/>
      <c r="KQ49" s="60"/>
      <c r="KR49" s="60"/>
      <c r="KS49" s="60"/>
      <c r="KT49" s="60"/>
      <c r="KU49" s="60"/>
      <c r="KV49" s="60"/>
      <c r="KW49" s="60"/>
      <c r="KX49" s="60"/>
      <c r="KY49" s="60"/>
      <c r="KZ49" s="60"/>
      <c r="LA49" s="60"/>
      <c r="LB49" s="60"/>
      <c r="LC49" s="60"/>
      <c r="LD49" s="60"/>
      <c r="LE49" s="60"/>
      <c r="LF49" s="60"/>
      <c r="LG49" s="60"/>
      <c r="LH49" s="60"/>
    </row>
    <row r="50" spans="1:320" s="17" customFormat="1" x14ac:dyDescent="0.25">
      <c r="A50" s="147"/>
      <c r="E50" s="156"/>
      <c r="F50" s="156"/>
      <c r="G50" s="156"/>
      <c r="H50" s="156"/>
      <c r="I50" s="156"/>
      <c r="J50" s="156"/>
      <c r="K50" s="156"/>
      <c r="L50" s="156"/>
      <c r="M50" s="156"/>
      <c r="N50" s="156"/>
      <c r="O50" s="156"/>
      <c r="P50" s="156"/>
      <c r="Q50" s="156"/>
      <c r="R50" s="156"/>
      <c r="S50" s="156"/>
      <c r="AC50" s="60"/>
      <c r="AD50" s="60"/>
      <c r="AE50" s="60"/>
      <c r="AF50" s="60"/>
      <c r="AG50" s="60"/>
      <c r="AH50" s="60"/>
      <c r="AI50" s="60"/>
      <c r="AJ50" s="60"/>
      <c r="AK50" s="60"/>
      <c r="AL50" s="60"/>
      <c r="AM50" s="60"/>
      <c r="AN50" s="60"/>
      <c r="AO50" s="60"/>
      <c r="AP50" s="60"/>
      <c r="AQ50" s="60"/>
      <c r="AR50" s="60"/>
      <c r="AS50" s="60"/>
      <c r="AT50" s="60"/>
      <c r="AU50" s="60"/>
      <c r="AV50" s="60"/>
      <c r="AW50" s="60"/>
      <c r="AX50" s="60"/>
      <c r="AY50" s="60"/>
      <c r="AZ50" s="60"/>
      <c r="BA50" s="60"/>
      <c r="BB50" s="60"/>
      <c r="BC50" s="60"/>
      <c r="BD50" s="60"/>
      <c r="BE50" s="60"/>
      <c r="BF50" s="60"/>
      <c r="BG50" s="60"/>
      <c r="BH50" s="60"/>
      <c r="BI50" s="60"/>
      <c r="BJ50" s="60"/>
      <c r="BK50" s="60"/>
      <c r="BL50" s="60"/>
      <c r="BM50" s="60"/>
      <c r="BN50" s="60"/>
      <c r="BO50" s="60"/>
      <c r="BP50" s="60"/>
      <c r="BQ50" s="60"/>
      <c r="BR50" s="60"/>
      <c r="BS50" s="60"/>
      <c r="BT50" s="60"/>
      <c r="BU50" s="60"/>
      <c r="BV50" s="60"/>
      <c r="BW50" s="60"/>
      <c r="BX50" s="60"/>
      <c r="BY50" s="60"/>
      <c r="BZ50" s="60"/>
      <c r="CA50" s="60"/>
      <c r="CB50" s="60"/>
      <c r="CC50" s="60"/>
      <c r="CD50" s="60"/>
      <c r="CE50" s="60"/>
      <c r="CF50" s="60"/>
      <c r="CG50" s="60"/>
      <c r="CH50" s="60"/>
      <c r="CI50" s="60"/>
      <c r="CJ50" s="60"/>
      <c r="CK50" s="60"/>
      <c r="CL50" s="60"/>
      <c r="CM50" s="60"/>
      <c r="CN50" s="60"/>
      <c r="CO50" s="60"/>
      <c r="CP50" s="60"/>
      <c r="CQ50" s="60"/>
      <c r="CR50" s="60"/>
      <c r="CS50" s="60"/>
      <c r="CT50" s="60"/>
      <c r="CU50" s="60"/>
      <c r="CV50" s="60"/>
      <c r="CW50" s="60"/>
      <c r="CX50" s="60"/>
      <c r="CY50" s="60"/>
      <c r="CZ50" s="60"/>
      <c r="DA50" s="60"/>
      <c r="DB50" s="60"/>
      <c r="DC50" s="60"/>
      <c r="DD50" s="60"/>
      <c r="DE50" s="60"/>
      <c r="DF50" s="60"/>
      <c r="DG50" s="60"/>
      <c r="DH50" s="60"/>
      <c r="DI50" s="60"/>
      <c r="DJ50" s="60"/>
      <c r="DK50" s="60"/>
      <c r="DL50" s="60"/>
      <c r="DM50" s="60"/>
      <c r="DN50" s="60"/>
      <c r="DO50" s="60"/>
      <c r="DP50" s="60"/>
      <c r="DQ50" s="60"/>
      <c r="DR50" s="60"/>
      <c r="DS50" s="60"/>
      <c r="DT50" s="60"/>
      <c r="DU50" s="60"/>
      <c r="DV50" s="60"/>
      <c r="DW50" s="60"/>
      <c r="DX50" s="60"/>
      <c r="DY50" s="60"/>
      <c r="DZ50" s="60"/>
      <c r="EA50" s="60"/>
      <c r="EB50" s="60"/>
      <c r="EC50" s="60"/>
      <c r="ED50" s="60"/>
      <c r="EE50" s="60"/>
      <c r="EF50" s="60"/>
      <c r="EG50" s="60"/>
      <c r="EH50" s="60"/>
      <c r="EI50" s="60"/>
      <c r="EJ50" s="60"/>
      <c r="EK50" s="60"/>
      <c r="EL50" s="60"/>
      <c r="EM50" s="60"/>
      <c r="EN50" s="60"/>
      <c r="EO50" s="60"/>
      <c r="EP50" s="60"/>
      <c r="EQ50" s="60"/>
      <c r="ER50" s="60"/>
      <c r="ES50" s="60"/>
      <c r="ET50" s="60"/>
      <c r="EU50" s="60"/>
      <c r="EV50" s="60"/>
      <c r="EW50" s="60"/>
      <c r="EX50" s="60"/>
      <c r="EY50" s="60"/>
      <c r="EZ50" s="60"/>
      <c r="FA50" s="60"/>
      <c r="FB50" s="60"/>
      <c r="FC50" s="60"/>
      <c r="FD50" s="60"/>
      <c r="FE50" s="60"/>
      <c r="FF50" s="60"/>
      <c r="FG50" s="60"/>
      <c r="FH50" s="60"/>
      <c r="FI50" s="60"/>
      <c r="FJ50" s="60"/>
      <c r="FK50" s="60"/>
      <c r="FL50" s="60"/>
      <c r="FM50" s="60"/>
      <c r="FN50" s="60"/>
      <c r="FO50" s="60"/>
      <c r="FP50" s="60"/>
      <c r="FQ50" s="60"/>
      <c r="FR50" s="60"/>
      <c r="FS50" s="60"/>
      <c r="FT50" s="60"/>
      <c r="FU50" s="60"/>
      <c r="FV50" s="60"/>
      <c r="FW50" s="60"/>
      <c r="FX50" s="60"/>
      <c r="FY50" s="60"/>
      <c r="FZ50" s="60"/>
      <c r="GA50" s="60"/>
      <c r="GB50" s="60"/>
      <c r="GC50" s="60"/>
      <c r="GD50" s="60"/>
      <c r="GE50" s="60"/>
      <c r="GF50" s="60"/>
      <c r="GG50" s="60"/>
      <c r="GH50" s="60"/>
      <c r="GI50" s="60"/>
      <c r="GJ50" s="60"/>
      <c r="GK50" s="60"/>
      <c r="GL50" s="60"/>
      <c r="GM50" s="60"/>
      <c r="GN50" s="60"/>
      <c r="GO50" s="60"/>
      <c r="GP50" s="60"/>
      <c r="GQ50" s="60"/>
      <c r="GR50" s="60"/>
      <c r="GS50" s="60"/>
      <c r="GT50" s="60"/>
      <c r="GU50" s="60"/>
      <c r="GV50" s="60"/>
      <c r="GW50" s="60"/>
      <c r="GX50" s="60"/>
      <c r="GY50" s="60"/>
      <c r="GZ50" s="60"/>
      <c r="HA50" s="60"/>
      <c r="HB50" s="60"/>
      <c r="HC50" s="60"/>
      <c r="HD50" s="60"/>
      <c r="HE50" s="60"/>
      <c r="HF50" s="60"/>
      <c r="HG50" s="60"/>
      <c r="HH50" s="60"/>
      <c r="HI50" s="60"/>
      <c r="HJ50" s="60"/>
      <c r="HK50" s="60"/>
      <c r="HL50" s="60"/>
      <c r="HM50" s="60"/>
      <c r="HN50" s="60"/>
      <c r="HO50" s="60"/>
      <c r="HP50" s="60"/>
      <c r="HQ50" s="60"/>
      <c r="HR50" s="60"/>
      <c r="HS50" s="60"/>
      <c r="HT50" s="60"/>
      <c r="HU50" s="60"/>
      <c r="HV50" s="60"/>
      <c r="HW50" s="60"/>
      <c r="HX50" s="60"/>
      <c r="HY50" s="60"/>
      <c r="HZ50" s="60"/>
      <c r="IA50" s="60"/>
      <c r="IB50" s="60"/>
      <c r="IC50" s="60"/>
      <c r="ID50" s="60"/>
      <c r="IE50" s="60"/>
      <c r="IF50" s="60"/>
      <c r="IG50" s="60"/>
      <c r="IH50" s="60"/>
      <c r="II50" s="60"/>
      <c r="IJ50" s="60"/>
      <c r="IK50" s="60"/>
      <c r="IL50" s="60"/>
      <c r="IM50" s="60"/>
      <c r="IN50" s="60"/>
      <c r="IO50" s="60"/>
      <c r="IP50" s="60"/>
      <c r="IQ50" s="60"/>
      <c r="IR50" s="60"/>
      <c r="IS50" s="60"/>
      <c r="IT50" s="60"/>
      <c r="IU50" s="60"/>
      <c r="IV50" s="60"/>
      <c r="IW50" s="60"/>
      <c r="IX50" s="60"/>
      <c r="IY50" s="60"/>
      <c r="IZ50" s="60"/>
      <c r="JA50" s="60"/>
      <c r="JB50" s="60"/>
      <c r="JC50" s="60"/>
      <c r="JD50" s="60"/>
      <c r="JE50" s="60"/>
      <c r="JF50" s="60"/>
      <c r="JG50" s="60"/>
      <c r="JH50" s="60"/>
      <c r="JI50" s="60"/>
      <c r="JJ50" s="60"/>
      <c r="JK50" s="60"/>
      <c r="JL50" s="60"/>
      <c r="JM50" s="60"/>
      <c r="JN50" s="60"/>
      <c r="JO50" s="60"/>
      <c r="JP50" s="60"/>
      <c r="JQ50" s="60"/>
      <c r="JR50" s="60"/>
      <c r="JS50" s="60"/>
      <c r="JT50" s="60"/>
      <c r="JU50" s="60"/>
      <c r="JV50" s="60"/>
      <c r="JW50" s="60"/>
      <c r="JX50" s="60"/>
      <c r="JY50" s="60"/>
      <c r="JZ50" s="60"/>
      <c r="KA50" s="60"/>
      <c r="KB50" s="60"/>
      <c r="KC50" s="60"/>
      <c r="KD50" s="60"/>
      <c r="KE50" s="60"/>
      <c r="KF50" s="60"/>
      <c r="KG50" s="60"/>
      <c r="KH50" s="60"/>
      <c r="KI50" s="60"/>
      <c r="KJ50" s="60"/>
      <c r="KK50" s="60"/>
      <c r="KL50" s="60"/>
      <c r="KM50" s="60"/>
      <c r="KN50" s="60"/>
      <c r="KO50" s="60"/>
      <c r="KP50" s="60"/>
      <c r="KQ50" s="60"/>
      <c r="KR50" s="60"/>
      <c r="KS50" s="60"/>
      <c r="KT50" s="60"/>
      <c r="KU50" s="60"/>
      <c r="KV50" s="60"/>
      <c r="KW50" s="60"/>
      <c r="KX50" s="60"/>
      <c r="KY50" s="60"/>
      <c r="KZ50" s="60"/>
      <c r="LA50" s="60"/>
      <c r="LB50" s="60"/>
      <c r="LC50" s="60"/>
      <c r="LD50" s="60"/>
      <c r="LE50" s="60"/>
      <c r="LF50" s="60"/>
      <c r="LG50" s="60"/>
      <c r="LH50" s="60"/>
    </row>
    <row r="51" spans="1:320" s="17" customFormat="1" x14ac:dyDescent="0.25">
      <c r="A51" s="147"/>
      <c r="E51" s="156"/>
      <c r="F51" s="156"/>
      <c r="G51" s="156"/>
      <c r="H51" s="156"/>
      <c r="I51" s="156"/>
      <c r="J51" s="156"/>
      <c r="K51" s="156"/>
      <c r="L51" s="156"/>
      <c r="M51" s="156"/>
      <c r="N51" s="156"/>
      <c r="O51" s="156"/>
      <c r="P51" s="156"/>
      <c r="Q51" s="156"/>
      <c r="R51" s="156"/>
      <c r="S51" s="156"/>
      <c r="AC51" s="60"/>
      <c r="AD51" s="60"/>
      <c r="AE51" s="60"/>
      <c r="AF51" s="60"/>
      <c r="AG51" s="60"/>
      <c r="AH51" s="60"/>
      <c r="AI51" s="60"/>
      <c r="AJ51" s="60"/>
      <c r="AK51" s="60"/>
      <c r="AL51" s="60"/>
      <c r="AM51" s="60"/>
      <c r="AN51" s="60"/>
      <c r="AO51" s="60"/>
      <c r="AP51" s="60"/>
      <c r="AQ51" s="60"/>
      <c r="AR51" s="60"/>
      <c r="AS51" s="60"/>
      <c r="AT51" s="60"/>
      <c r="AU51" s="60"/>
      <c r="AV51" s="60"/>
      <c r="AW51" s="60"/>
      <c r="AX51" s="60"/>
      <c r="AY51" s="60"/>
      <c r="AZ51" s="60"/>
      <c r="BA51" s="60"/>
      <c r="BB51" s="60"/>
      <c r="BC51" s="60"/>
      <c r="BD51" s="60"/>
      <c r="BE51" s="60"/>
      <c r="BF51" s="60"/>
      <c r="BG51" s="60"/>
      <c r="BH51" s="60"/>
      <c r="BI51" s="60"/>
      <c r="BJ51" s="60"/>
      <c r="BK51" s="60"/>
      <c r="BL51" s="60"/>
      <c r="BM51" s="60"/>
      <c r="BN51" s="60"/>
      <c r="BO51" s="60"/>
      <c r="BP51" s="60"/>
      <c r="BQ51" s="60"/>
      <c r="BR51" s="60"/>
      <c r="BS51" s="60"/>
      <c r="BT51" s="60"/>
      <c r="BU51" s="60"/>
      <c r="BV51" s="60"/>
      <c r="BW51" s="60"/>
      <c r="BX51" s="60"/>
      <c r="BY51" s="60"/>
      <c r="BZ51" s="60"/>
      <c r="CA51" s="60"/>
      <c r="CB51" s="60"/>
      <c r="CC51" s="60"/>
      <c r="CD51" s="60"/>
      <c r="CE51" s="60"/>
      <c r="CF51" s="60"/>
      <c r="CG51" s="60"/>
      <c r="CH51" s="60"/>
      <c r="CI51" s="60"/>
      <c r="CJ51" s="60"/>
      <c r="CK51" s="60"/>
      <c r="CL51" s="60"/>
      <c r="CM51" s="60"/>
      <c r="CN51" s="60"/>
      <c r="CO51" s="60"/>
      <c r="CP51" s="60"/>
      <c r="CQ51" s="60"/>
      <c r="CR51" s="60"/>
      <c r="CS51" s="60"/>
      <c r="CT51" s="60"/>
      <c r="CU51" s="60"/>
      <c r="CV51" s="60"/>
      <c r="CW51" s="60"/>
      <c r="CX51" s="60"/>
      <c r="CY51" s="60"/>
      <c r="CZ51" s="60"/>
      <c r="DA51" s="60"/>
      <c r="DB51" s="60"/>
      <c r="DC51" s="60"/>
      <c r="DD51" s="60"/>
      <c r="DE51" s="60"/>
      <c r="DF51" s="60"/>
      <c r="DG51" s="60"/>
      <c r="DH51" s="60"/>
      <c r="DI51" s="60"/>
      <c r="DJ51" s="60"/>
      <c r="DK51" s="60"/>
      <c r="DL51" s="60"/>
      <c r="DM51" s="60"/>
      <c r="DN51" s="60"/>
      <c r="DO51" s="60"/>
      <c r="DP51" s="60"/>
      <c r="DQ51" s="60"/>
      <c r="DR51" s="60"/>
      <c r="DS51" s="60"/>
      <c r="DT51" s="60"/>
      <c r="DU51" s="60"/>
      <c r="DV51" s="60"/>
      <c r="DW51" s="60"/>
      <c r="DX51" s="60"/>
      <c r="DY51" s="60"/>
      <c r="DZ51" s="60"/>
      <c r="EA51" s="60"/>
      <c r="EB51" s="60"/>
      <c r="EC51" s="60"/>
      <c r="ED51" s="60"/>
      <c r="EE51" s="60"/>
      <c r="EF51" s="60"/>
      <c r="EG51" s="60"/>
      <c r="EH51" s="60"/>
      <c r="EI51" s="60"/>
      <c r="EJ51" s="60"/>
      <c r="EK51" s="60"/>
      <c r="EL51" s="60"/>
      <c r="EM51" s="60"/>
      <c r="EN51" s="60"/>
      <c r="EO51" s="60"/>
      <c r="EP51" s="60"/>
      <c r="EQ51" s="60"/>
      <c r="ER51" s="60"/>
      <c r="ES51" s="60"/>
      <c r="ET51" s="60"/>
      <c r="EU51" s="60"/>
      <c r="EV51" s="60"/>
      <c r="EW51" s="60"/>
      <c r="EX51" s="60"/>
      <c r="EY51" s="60"/>
      <c r="EZ51" s="60"/>
      <c r="FA51" s="60"/>
      <c r="FB51" s="60"/>
      <c r="FC51" s="60"/>
      <c r="FD51" s="60"/>
      <c r="FE51" s="60"/>
      <c r="FF51" s="60"/>
      <c r="FG51" s="60"/>
      <c r="FH51" s="60"/>
      <c r="FI51" s="60"/>
      <c r="FJ51" s="60"/>
      <c r="FK51" s="60"/>
      <c r="FL51" s="60"/>
      <c r="FM51" s="60"/>
      <c r="FN51" s="60"/>
      <c r="FO51" s="60"/>
      <c r="FP51" s="60"/>
      <c r="FQ51" s="60"/>
      <c r="FR51" s="60"/>
      <c r="FS51" s="60"/>
      <c r="FT51" s="60"/>
      <c r="FU51" s="60"/>
      <c r="FV51" s="60"/>
      <c r="FW51" s="60"/>
      <c r="FX51" s="60"/>
      <c r="FY51" s="60"/>
      <c r="FZ51" s="60"/>
      <c r="GA51" s="60"/>
      <c r="GB51" s="60"/>
      <c r="GC51" s="60"/>
      <c r="GD51" s="60"/>
      <c r="GE51" s="60"/>
      <c r="GF51" s="60"/>
      <c r="GG51" s="60"/>
      <c r="GH51" s="60"/>
      <c r="GI51" s="60"/>
      <c r="GJ51" s="60"/>
      <c r="GK51" s="60"/>
      <c r="GL51" s="60"/>
      <c r="GM51" s="60"/>
      <c r="GN51" s="60"/>
      <c r="GO51" s="60"/>
      <c r="GP51" s="60"/>
      <c r="GQ51" s="60"/>
      <c r="GR51" s="60"/>
      <c r="GS51" s="60"/>
      <c r="GT51" s="60"/>
      <c r="GU51" s="60"/>
      <c r="GV51" s="60"/>
      <c r="GW51" s="60"/>
      <c r="GX51" s="60"/>
      <c r="GY51" s="60"/>
      <c r="GZ51" s="60"/>
      <c r="HA51" s="60"/>
      <c r="HB51" s="60"/>
      <c r="HC51" s="60"/>
      <c r="HD51" s="60"/>
      <c r="HE51" s="60"/>
      <c r="HF51" s="60"/>
      <c r="HG51" s="60"/>
      <c r="HH51" s="60"/>
      <c r="HI51" s="60"/>
      <c r="HJ51" s="60"/>
      <c r="HK51" s="60"/>
      <c r="HL51" s="60"/>
      <c r="HM51" s="60"/>
      <c r="HN51" s="60"/>
      <c r="HO51" s="60"/>
      <c r="HP51" s="60"/>
      <c r="HQ51" s="60"/>
      <c r="HR51" s="60"/>
      <c r="HS51" s="60"/>
      <c r="HT51" s="60"/>
      <c r="HU51" s="60"/>
      <c r="HV51" s="60"/>
      <c r="HW51" s="60"/>
      <c r="HX51" s="60"/>
      <c r="HY51" s="60"/>
      <c r="HZ51" s="60"/>
      <c r="IA51" s="60"/>
      <c r="IB51" s="60"/>
      <c r="IC51" s="60"/>
      <c r="ID51" s="60"/>
      <c r="IE51" s="60"/>
      <c r="IF51" s="60"/>
      <c r="IG51" s="60"/>
      <c r="IH51" s="60"/>
      <c r="II51" s="60"/>
      <c r="IJ51" s="60"/>
      <c r="IK51" s="60"/>
      <c r="IL51" s="60"/>
      <c r="IM51" s="60"/>
      <c r="IN51" s="60"/>
      <c r="IO51" s="60"/>
      <c r="IP51" s="60"/>
      <c r="IQ51" s="60"/>
      <c r="IR51" s="60"/>
      <c r="IS51" s="60"/>
      <c r="IT51" s="60"/>
      <c r="IU51" s="60"/>
      <c r="IV51" s="60"/>
      <c r="IW51" s="60"/>
      <c r="IX51" s="60"/>
      <c r="IY51" s="60"/>
      <c r="IZ51" s="60"/>
      <c r="JA51" s="60"/>
      <c r="JB51" s="60"/>
      <c r="JC51" s="60"/>
      <c r="JD51" s="60"/>
      <c r="JE51" s="60"/>
      <c r="JF51" s="60"/>
      <c r="JG51" s="60"/>
      <c r="JH51" s="60"/>
      <c r="JI51" s="60"/>
      <c r="JJ51" s="60"/>
      <c r="JK51" s="60"/>
      <c r="JL51" s="60"/>
      <c r="JM51" s="60"/>
      <c r="JN51" s="60"/>
      <c r="JO51" s="60"/>
      <c r="JP51" s="60"/>
      <c r="JQ51" s="60"/>
      <c r="JR51" s="60"/>
      <c r="JS51" s="60"/>
      <c r="JT51" s="60"/>
      <c r="JU51" s="60"/>
      <c r="JV51" s="60"/>
      <c r="JW51" s="60"/>
      <c r="JX51" s="60"/>
      <c r="JY51" s="60"/>
      <c r="JZ51" s="60"/>
      <c r="KA51" s="60"/>
      <c r="KB51" s="60"/>
      <c r="KC51" s="60"/>
      <c r="KD51" s="60"/>
      <c r="KE51" s="60"/>
      <c r="KF51" s="60"/>
      <c r="KG51" s="60"/>
      <c r="KH51" s="60"/>
      <c r="KI51" s="60"/>
      <c r="KJ51" s="60"/>
      <c r="KK51" s="60"/>
      <c r="KL51" s="60"/>
      <c r="KM51" s="60"/>
      <c r="KN51" s="60"/>
      <c r="KO51" s="60"/>
      <c r="KP51" s="60"/>
      <c r="KQ51" s="60"/>
      <c r="KR51" s="60"/>
      <c r="KS51" s="60"/>
      <c r="KT51" s="60"/>
      <c r="KU51" s="60"/>
      <c r="KV51" s="60"/>
      <c r="KW51" s="60"/>
      <c r="KX51" s="60"/>
      <c r="KY51" s="60"/>
      <c r="KZ51" s="60"/>
      <c r="LA51" s="60"/>
      <c r="LB51" s="60"/>
      <c r="LC51" s="60"/>
      <c r="LD51" s="60"/>
      <c r="LE51" s="60"/>
      <c r="LF51" s="60"/>
      <c r="LG51" s="60"/>
      <c r="LH51" s="60"/>
    </row>
    <row r="52" spans="1:320" s="17" customFormat="1" x14ac:dyDescent="0.25">
      <c r="A52" s="147"/>
      <c r="E52" s="156"/>
      <c r="F52" s="156"/>
      <c r="G52" s="156"/>
      <c r="H52" s="156"/>
      <c r="I52" s="156"/>
      <c r="J52" s="156"/>
      <c r="K52" s="156"/>
      <c r="L52" s="156"/>
      <c r="M52" s="156"/>
      <c r="N52" s="156"/>
      <c r="O52" s="156"/>
      <c r="P52" s="156"/>
      <c r="Q52" s="156"/>
      <c r="R52" s="156"/>
      <c r="S52" s="156"/>
      <c r="AC52" s="60"/>
      <c r="AD52" s="60"/>
      <c r="AE52" s="60"/>
      <c r="AF52" s="60"/>
      <c r="AG52" s="60"/>
      <c r="AH52" s="60"/>
      <c r="AI52" s="60"/>
      <c r="AJ52" s="60"/>
      <c r="AK52" s="60"/>
      <c r="AL52" s="60"/>
      <c r="AM52" s="60"/>
      <c r="AN52" s="60"/>
      <c r="AO52" s="60"/>
      <c r="AP52" s="60"/>
      <c r="AQ52" s="60"/>
      <c r="AR52" s="60"/>
      <c r="AS52" s="60"/>
      <c r="AT52" s="60"/>
      <c r="AU52" s="60"/>
      <c r="AV52" s="60"/>
      <c r="AW52" s="60"/>
      <c r="AX52" s="60"/>
      <c r="AY52" s="60"/>
      <c r="AZ52" s="60"/>
      <c r="BA52" s="60"/>
      <c r="BB52" s="60"/>
      <c r="BC52" s="60"/>
      <c r="BD52" s="60"/>
      <c r="BE52" s="60"/>
      <c r="BF52" s="60"/>
      <c r="BG52" s="60"/>
      <c r="BH52" s="60"/>
      <c r="BI52" s="60"/>
      <c r="BJ52" s="60"/>
      <c r="BK52" s="60"/>
      <c r="BL52" s="60"/>
      <c r="BM52" s="60"/>
      <c r="BN52" s="60"/>
      <c r="BO52" s="60"/>
      <c r="BP52" s="60"/>
      <c r="BQ52" s="60"/>
      <c r="BR52" s="60"/>
      <c r="BS52" s="60"/>
      <c r="BT52" s="60"/>
      <c r="BU52" s="60"/>
      <c r="BV52" s="60"/>
      <c r="BW52" s="60"/>
      <c r="BX52" s="60"/>
      <c r="BY52" s="60"/>
      <c r="BZ52" s="60"/>
      <c r="CA52" s="60"/>
      <c r="CB52" s="60"/>
      <c r="CC52" s="60"/>
      <c r="CD52" s="60"/>
      <c r="CE52" s="60"/>
      <c r="CF52" s="60"/>
      <c r="CG52" s="60"/>
      <c r="CH52" s="60"/>
      <c r="CI52" s="60"/>
      <c r="CJ52" s="60"/>
      <c r="CK52" s="60"/>
      <c r="CL52" s="60"/>
      <c r="CM52" s="60"/>
      <c r="CN52" s="60"/>
      <c r="CO52" s="60"/>
      <c r="CP52" s="60"/>
      <c r="CQ52" s="60"/>
      <c r="CR52" s="60"/>
      <c r="CS52" s="60"/>
      <c r="CT52" s="60"/>
      <c r="CU52" s="60"/>
      <c r="CV52" s="60"/>
      <c r="CW52" s="60"/>
      <c r="CX52" s="60"/>
      <c r="CY52" s="60"/>
      <c r="CZ52" s="60"/>
      <c r="DA52" s="60"/>
      <c r="DB52" s="60"/>
      <c r="DC52" s="60"/>
      <c r="DD52" s="60"/>
      <c r="DE52" s="60"/>
      <c r="DF52" s="60"/>
      <c r="DG52" s="60"/>
      <c r="DH52" s="60"/>
      <c r="DI52" s="60"/>
      <c r="DJ52" s="60"/>
      <c r="DK52" s="60"/>
      <c r="DL52" s="60"/>
      <c r="DM52" s="60"/>
      <c r="DN52" s="60"/>
      <c r="DO52" s="60"/>
      <c r="DP52" s="60"/>
      <c r="DQ52" s="60"/>
      <c r="DR52" s="60"/>
      <c r="DS52" s="60"/>
      <c r="DT52" s="60"/>
      <c r="DU52" s="60"/>
      <c r="DV52" s="60"/>
      <c r="DW52" s="60"/>
      <c r="DX52" s="60"/>
      <c r="DY52" s="60"/>
      <c r="DZ52" s="60"/>
      <c r="EA52" s="60"/>
      <c r="EB52" s="60"/>
      <c r="EC52" s="60"/>
      <c r="ED52" s="60"/>
      <c r="EE52" s="60"/>
      <c r="EF52" s="60"/>
      <c r="EG52" s="60"/>
      <c r="EH52" s="60"/>
      <c r="EI52" s="60"/>
      <c r="EJ52" s="60"/>
      <c r="EK52" s="60"/>
      <c r="EL52" s="60"/>
      <c r="EM52" s="60"/>
      <c r="EN52" s="60"/>
      <c r="EO52" s="60"/>
      <c r="EP52" s="60"/>
      <c r="EQ52" s="60"/>
      <c r="ER52" s="60"/>
      <c r="ES52" s="60"/>
      <c r="ET52" s="60"/>
      <c r="EU52" s="60"/>
      <c r="EV52" s="60"/>
      <c r="EW52" s="60"/>
      <c r="EX52" s="60"/>
      <c r="EY52" s="60"/>
      <c r="EZ52" s="60"/>
      <c r="FA52" s="60"/>
      <c r="FB52" s="60"/>
      <c r="FC52" s="60"/>
      <c r="FD52" s="60"/>
      <c r="FE52" s="60"/>
      <c r="FF52" s="60"/>
      <c r="FG52" s="60"/>
      <c r="FH52" s="60"/>
      <c r="FI52" s="60"/>
      <c r="FJ52" s="60"/>
      <c r="FK52" s="60"/>
      <c r="FL52" s="60"/>
      <c r="FM52" s="60"/>
      <c r="FN52" s="60"/>
      <c r="FO52" s="60"/>
      <c r="FP52" s="60"/>
      <c r="FQ52" s="60"/>
      <c r="FR52" s="60"/>
      <c r="FS52" s="60"/>
      <c r="FT52" s="60"/>
      <c r="FU52" s="60"/>
      <c r="FV52" s="60"/>
      <c r="FW52" s="60"/>
      <c r="FX52" s="60"/>
      <c r="FY52" s="60"/>
      <c r="FZ52" s="60"/>
      <c r="GA52" s="60"/>
      <c r="GB52" s="60"/>
      <c r="GC52" s="60"/>
      <c r="GD52" s="60"/>
      <c r="GE52" s="60"/>
      <c r="GF52" s="60"/>
      <c r="GG52" s="60"/>
      <c r="GH52" s="60"/>
      <c r="GI52" s="60"/>
      <c r="GJ52" s="60"/>
      <c r="GK52" s="60"/>
      <c r="GL52" s="60"/>
      <c r="GM52" s="60"/>
      <c r="GN52" s="60"/>
      <c r="GO52" s="60"/>
      <c r="GP52" s="60"/>
      <c r="GQ52" s="60"/>
      <c r="GR52" s="60"/>
      <c r="GS52" s="60"/>
      <c r="GT52" s="60"/>
      <c r="GU52" s="60"/>
      <c r="GV52" s="60"/>
      <c r="GW52" s="60"/>
      <c r="GX52" s="60"/>
      <c r="GY52" s="60"/>
      <c r="GZ52" s="60"/>
      <c r="HA52" s="60"/>
      <c r="HB52" s="60"/>
      <c r="HC52" s="60"/>
      <c r="HD52" s="60"/>
      <c r="HE52" s="60"/>
      <c r="HF52" s="60"/>
      <c r="HG52" s="60"/>
      <c r="HH52" s="60"/>
      <c r="HI52" s="60"/>
      <c r="HJ52" s="60"/>
      <c r="HK52" s="60"/>
      <c r="HL52" s="60"/>
      <c r="HM52" s="60"/>
      <c r="HN52" s="60"/>
      <c r="HO52" s="60"/>
      <c r="HP52" s="60"/>
      <c r="HQ52" s="60"/>
      <c r="HR52" s="60"/>
      <c r="HS52" s="60"/>
      <c r="HT52" s="60"/>
      <c r="HU52" s="60"/>
      <c r="HV52" s="60"/>
      <c r="HW52" s="60"/>
      <c r="HX52" s="60"/>
      <c r="HY52" s="60"/>
      <c r="HZ52" s="60"/>
      <c r="IA52" s="60"/>
      <c r="IB52" s="60"/>
      <c r="IC52" s="60"/>
      <c r="ID52" s="60"/>
      <c r="IE52" s="60"/>
      <c r="IF52" s="60"/>
      <c r="IG52" s="60"/>
      <c r="IH52" s="60"/>
      <c r="II52" s="60"/>
      <c r="IJ52" s="60"/>
      <c r="IK52" s="60"/>
      <c r="IL52" s="60"/>
      <c r="IM52" s="60"/>
      <c r="IN52" s="60"/>
      <c r="IO52" s="60"/>
      <c r="IP52" s="60"/>
      <c r="IQ52" s="60"/>
      <c r="IR52" s="60"/>
      <c r="IS52" s="60"/>
      <c r="IT52" s="60"/>
      <c r="IU52" s="60"/>
      <c r="IV52" s="60"/>
      <c r="IW52" s="60"/>
      <c r="IX52" s="60"/>
      <c r="IY52" s="60"/>
      <c r="IZ52" s="60"/>
      <c r="JA52" s="60"/>
      <c r="JB52" s="60"/>
      <c r="JC52" s="60"/>
      <c r="JD52" s="60"/>
      <c r="JE52" s="60"/>
      <c r="JF52" s="60"/>
      <c r="JG52" s="60"/>
      <c r="JH52" s="60"/>
      <c r="JI52" s="60"/>
      <c r="JJ52" s="60"/>
      <c r="JK52" s="60"/>
      <c r="JL52" s="60"/>
      <c r="JM52" s="60"/>
      <c r="JN52" s="60"/>
      <c r="JO52" s="60"/>
      <c r="JP52" s="60"/>
      <c r="JQ52" s="60"/>
      <c r="JR52" s="60"/>
      <c r="JS52" s="60"/>
      <c r="JT52" s="60"/>
      <c r="JU52" s="60"/>
      <c r="JV52" s="60"/>
      <c r="JW52" s="60"/>
      <c r="JX52" s="60"/>
      <c r="JY52" s="60"/>
      <c r="JZ52" s="60"/>
      <c r="KA52" s="60"/>
      <c r="KB52" s="60"/>
      <c r="KC52" s="60"/>
      <c r="KD52" s="60"/>
      <c r="KE52" s="60"/>
      <c r="KF52" s="60"/>
      <c r="KG52" s="60"/>
      <c r="KH52" s="60"/>
      <c r="KI52" s="60"/>
      <c r="KJ52" s="60"/>
      <c r="KK52" s="60"/>
      <c r="KL52" s="60"/>
      <c r="KM52" s="60"/>
      <c r="KN52" s="60"/>
      <c r="KO52" s="60"/>
      <c r="KP52" s="60"/>
      <c r="KQ52" s="60"/>
      <c r="KR52" s="60"/>
      <c r="KS52" s="60"/>
      <c r="KT52" s="60"/>
      <c r="KU52" s="60"/>
      <c r="KV52" s="60"/>
      <c r="KW52" s="60"/>
      <c r="KX52" s="60"/>
      <c r="KY52" s="60"/>
      <c r="KZ52" s="60"/>
      <c r="LA52" s="60"/>
      <c r="LB52" s="60"/>
      <c r="LC52" s="60"/>
      <c r="LD52" s="60"/>
      <c r="LE52" s="60"/>
      <c r="LF52" s="60"/>
      <c r="LG52" s="60"/>
      <c r="LH52" s="60"/>
    </row>
    <row r="53" spans="1:320" s="17" customFormat="1" x14ac:dyDescent="0.25">
      <c r="A53" s="147"/>
      <c r="E53" s="156"/>
      <c r="F53" s="156"/>
      <c r="G53" s="156"/>
      <c r="H53" s="156"/>
      <c r="I53" s="156"/>
      <c r="J53" s="156"/>
      <c r="K53" s="156"/>
      <c r="L53" s="156"/>
      <c r="M53" s="156"/>
      <c r="N53" s="156"/>
      <c r="O53" s="156"/>
      <c r="P53" s="156"/>
      <c r="Q53" s="156"/>
      <c r="R53" s="156"/>
      <c r="S53" s="156"/>
      <c r="AC53" s="60"/>
      <c r="AD53" s="60"/>
      <c r="AE53" s="60"/>
      <c r="AF53" s="60"/>
      <c r="AG53" s="60"/>
      <c r="AH53" s="60"/>
      <c r="AI53" s="60"/>
      <c r="AJ53" s="60"/>
      <c r="AK53" s="60"/>
      <c r="AL53" s="60"/>
      <c r="AM53" s="60"/>
      <c r="AN53" s="60"/>
      <c r="AO53" s="60"/>
      <c r="AP53" s="60"/>
      <c r="AQ53" s="60"/>
      <c r="AR53" s="60"/>
      <c r="AS53" s="60"/>
      <c r="AT53" s="60"/>
      <c r="AU53" s="60"/>
      <c r="AV53" s="60"/>
      <c r="AW53" s="60"/>
      <c r="AX53" s="60"/>
      <c r="AY53" s="60"/>
      <c r="AZ53" s="60"/>
      <c r="BA53" s="60"/>
      <c r="BB53" s="60"/>
      <c r="BC53" s="60"/>
      <c r="BD53" s="60"/>
      <c r="BE53" s="60"/>
      <c r="BF53" s="60"/>
      <c r="BG53" s="60"/>
      <c r="BH53" s="60"/>
      <c r="BI53" s="60"/>
      <c r="BJ53" s="60"/>
      <c r="BK53" s="60"/>
      <c r="BL53" s="60"/>
      <c r="BM53" s="60"/>
      <c r="BN53" s="60"/>
      <c r="BO53" s="60"/>
      <c r="BP53" s="60"/>
      <c r="BQ53" s="60"/>
      <c r="BR53" s="60"/>
      <c r="BS53" s="60"/>
      <c r="BT53" s="60"/>
      <c r="BU53" s="60"/>
      <c r="BV53" s="60"/>
      <c r="BW53" s="60"/>
      <c r="BX53" s="60"/>
      <c r="BY53" s="60"/>
      <c r="BZ53" s="60"/>
      <c r="CA53" s="60"/>
      <c r="CB53" s="60"/>
      <c r="CC53" s="60"/>
      <c r="CD53" s="60"/>
      <c r="CE53" s="60"/>
      <c r="CF53" s="60"/>
      <c r="CG53" s="60"/>
      <c r="CH53" s="60"/>
      <c r="CI53" s="60"/>
      <c r="CJ53" s="60"/>
      <c r="CK53" s="60"/>
      <c r="CL53" s="60"/>
      <c r="CM53" s="60"/>
      <c r="CN53" s="60"/>
      <c r="CO53" s="60"/>
      <c r="CP53" s="60"/>
      <c r="CQ53" s="60"/>
      <c r="CR53" s="60"/>
      <c r="CS53" s="60"/>
      <c r="CT53" s="60"/>
      <c r="CU53" s="60"/>
      <c r="CV53" s="60"/>
      <c r="CW53" s="60"/>
      <c r="CX53" s="60"/>
      <c r="CY53" s="60"/>
      <c r="CZ53" s="60"/>
      <c r="DA53" s="60"/>
      <c r="DB53" s="60"/>
      <c r="DC53" s="60"/>
      <c r="DD53" s="60"/>
      <c r="DE53" s="60"/>
      <c r="DF53" s="60"/>
      <c r="DG53" s="60"/>
      <c r="DH53" s="60"/>
      <c r="DI53" s="60"/>
      <c r="DJ53" s="60"/>
      <c r="DK53" s="60"/>
      <c r="DL53" s="60"/>
      <c r="DM53" s="60"/>
      <c r="DN53" s="60"/>
      <c r="DO53" s="60"/>
      <c r="DP53" s="60"/>
      <c r="DQ53" s="60"/>
      <c r="DR53" s="60"/>
      <c r="DS53" s="60"/>
      <c r="DT53" s="60"/>
      <c r="DU53" s="60"/>
      <c r="DV53" s="60"/>
      <c r="DW53" s="60"/>
      <c r="DX53" s="60"/>
      <c r="DY53" s="60"/>
      <c r="DZ53" s="60"/>
      <c r="EA53" s="60"/>
      <c r="EB53" s="60"/>
      <c r="EC53" s="60"/>
      <c r="ED53" s="60"/>
      <c r="EE53" s="60"/>
      <c r="EF53" s="60"/>
      <c r="EG53" s="60"/>
      <c r="EH53" s="60"/>
      <c r="EI53" s="60"/>
      <c r="EJ53" s="60"/>
      <c r="EK53" s="60"/>
      <c r="EL53" s="60"/>
      <c r="EM53" s="60"/>
      <c r="EN53" s="60"/>
      <c r="EO53" s="60"/>
      <c r="EP53" s="60"/>
      <c r="EQ53" s="60"/>
      <c r="ER53" s="60"/>
      <c r="ES53" s="60"/>
      <c r="ET53" s="60"/>
      <c r="EU53" s="60"/>
      <c r="EV53" s="60"/>
      <c r="EW53" s="60"/>
      <c r="EX53" s="60"/>
      <c r="EY53" s="60"/>
      <c r="EZ53" s="60"/>
      <c r="FA53" s="60"/>
      <c r="FB53" s="60"/>
      <c r="FC53" s="60"/>
      <c r="FD53" s="60"/>
      <c r="FE53" s="60"/>
      <c r="FF53" s="60"/>
      <c r="FG53" s="60"/>
      <c r="FH53" s="60"/>
      <c r="FI53" s="60"/>
      <c r="FJ53" s="60"/>
      <c r="FK53" s="60"/>
      <c r="FL53" s="60"/>
      <c r="FM53" s="60"/>
      <c r="FN53" s="60"/>
      <c r="FO53" s="60"/>
      <c r="FP53" s="60"/>
      <c r="FQ53" s="60"/>
      <c r="FR53" s="60"/>
      <c r="FS53" s="60"/>
      <c r="FT53" s="60"/>
      <c r="FU53" s="60"/>
      <c r="FV53" s="60"/>
      <c r="FW53" s="60"/>
      <c r="FX53" s="60"/>
      <c r="FY53" s="60"/>
      <c r="FZ53" s="60"/>
      <c r="GA53" s="60"/>
      <c r="GB53" s="60"/>
      <c r="GC53" s="60"/>
      <c r="GD53" s="60"/>
      <c r="GE53" s="60"/>
      <c r="GF53" s="60"/>
      <c r="GG53" s="60"/>
      <c r="GH53" s="60"/>
      <c r="GI53" s="60"/>
      <c r="GJ53" s="60"/>
      <c r="GK53" s="60"/>
      <c r="GL53" s="60"/>
      <c r="GM53" s="60"/>
      <c r="GN53" s="60"/>
      <c r="GO53" s="60"/>
      <c r="GP53" s="60"/>
      <c r="GQ53" s="60"/>
      <c r="GR53" s="60"/>
      <c r="GS53" s="60"/>
      <c r="GT53" s="60"/>
      <c r="GU53" s="60"/>
      <c r="GV53" s="60"/>
      <c r="GW53" s="60"/>
      <c r="GX53" s="60"/>
      <c r="GY53" s="60"/>
      <c r="GZ53" s="60"/>
      <c r="HA53" s="60"/>
      <c r="HB53" s="60"/>
      <c r="HC53" s="60"/>
      <c r="HD53" s="60"/>
      <c r="HE53" s="60"/>
      <c r="HF53" s="60"/>
      <c r="HG53" s="60"/>
      <c r="HH53" s="60"/>
      <c r="HI53" s="60"/>
      <c r="HJ53" s="60"/>
      <c r="HK53" s="60"/>
      <c r="HL53" s="60"/>
      <c r="HM53" s="60"/>
      <c r="HN53" s="60"/>
      <c r="HO53" s="60"/>
      <c r="HP53" s="60"/>
      <c r="HQ53" s="60"/>
      <c r="HR53" s="60"/>
      <c r="HS53" s="60"/>
      <c r="HT53" s="60"/>
      <c r="HU53" s="60"/>
      <c r="HV53" s="60"/>
      <c r="HW53" s="60"/>
      <c r="HX53" s="60"/>
      <c r="HY53" s="60"/>
      <c r="HZ53" s="60"/>
      <c r="IA53" s="60"/>
      <c r="IB53" s="60"/>
      <c r="IC53" s="60"/>
      <c r="ID53" s="60"/>
      <c r="IE53" s="60"/>
      <c r="IF53" s="60"/>
      <c r="IG53" s="60"/>
      <c r="IH53" s="60"/>
      <c r="II53" s="60"/>
      <c r="IJ53" s="60"/>
      <c r="IK53" s="60"/>
      <c r="IL53" s="60"/>
      <c r="IM53" s="60"/>
      <c r="IN53" s="60"/>
      <c r="IO53" s="60"/>
      <c r="IP53" s="60"/>
      <c r="IQ53" s="60"/>
      <c r="IR53" s="60"/>
      <c r="IS53" s="60"/>
      <c r="IT53" s="60"/>
      <c r="IU53" s="60"/>
      <c r="IV53" s="60"/>
      <c r="IW53" s="60"/>
      <c r="IX53" s="60"/>
      <c r="IY53" s="60"/>
      <c r="IZ53" s="60"/>
      <c r="JA53" s="60"/>
      <c r="JB53" s="60"/>
      <c r="JC53" s="60"/>
      <c r="JD53" s="60"/>
      <c r="JE53" s="60"/>
      <c r="JF53" s="60"/>
      <c r="JG53" s="60"/>
      <c r="JH53" s="60"/>
      <c r="JI53" s="60"/>
      <c r="JJ53" s="60"/>
      <c r="JK53" s="60"/>
      <c r="JL53" s="60"/>
      <c r="JM53" s="60"/>
      <c r="JN53" s="60"/>
      <c r="JO53" s="60"/>
      <c r="JP53" s="60"/>
      <c r="JQ53" s="60"/>
      <c r="JR53" s="60"/>
      <c r="JS53" s="60"/>
      <c r="JT53" s="60"/>
      <c r="JU53" s="60"/>
      <c r="JV53" s="60"/>
      <c r="JW53" s="60"/>
      <c r="JX53" s="60"/>
      <c r="JY53" s="60"/>
      <c r="JZ53" s="60"/>
      <c r="KA53" s="60"/>
      <c r="KB53" s="60"/>
      <c r="KC53" s="60"/>
      <c r="KD53" s="60"/>
      <c r="KE53" s="60"/>
      <c r="KF53" s="60"/>
      <c r="KG53" s="60"/>
      <c r="KH53" s="60"/>
      <c r="KI53" s="60"/>
      <c r="KJ53" s="60"/>
      <c r="KK53" s="60"/>
      <c r="KL53" s="60"/>
      <c r="KM53" s="60"/>
      <c r="KN53" s="60"/>
      <c r="KO53" s="60"/>
      <c r="KP53" s="60"/>
      <c r="KQ53" s="60"/>
      <c r="KR53" s="60"/>
      <c r="KS53" s="60"/>
      <c r="KT53" s="60"/>
      <c r="KU53" s="60"/>
      <c r="KV53" s="60"/>
      <c r="KW53" s="60"/>
      <c r="KX53" s="60"/>
      <c r="KY53" s="60"/>
      <c r="KZ53" s="60"/>
      <c r="LA53" s="60"/>
      <c r="LB53" s="60"/>
      <c r="LC53" s="60"/>
      <c r="LD53" s="60"/>
      <c r="LE53" s="60"/>
      <c r="LF53" s="60"/>
      <c r="LG53" s="60"/>
      <c r="LH53" s="60"/>
    </row>
    <row r="54" spans="1:320" s="17" customFormat="1" x14ac:dyDescent="0.25">
      <c r="A54" s="147"/>
      <c r="E54" s="156"/>
      <c r="F54" s="156"/>
      <c r="G54" s="156"/>
      <c r="H54" s="156"/>
      <c r="I54" s="156"/>
      <c r="J54" s="156"/>
      <c r="K54" s="156"/>
      <c r="L54" s="156"/>
      <c r="M54" s="156"/>
      <c r="N54" s="156"/>
      <c r="O54" s="156"/>
      <c r="P54" s="156"/>
      <c r="Q54" s="156"/>
      <c r="R54" s="156"/>
      <c r="S54" s="156"/>
      <c r="AC54" s="60"/>
      <c r="AD54" s="60"/>
      <c r="AE54" s="60"/>
      <c r="AF54" s="60"/>
      <c r="AG54" s="60"/>
      <c r="AH54" s="60"/>
      <c r="AI54" s="60"/>
      <c r="AJ54" s="60"/>
      <c r="AK54" s="60"/>
      <c r="AL54" s="60"/>
      <c r="AM54" s="60"/>
      <c r="AN54" s="60"/>
      <c r="AO54" s="60"/>
      <c r="AP54" s="60"/>
      <c r="AQ54" s="60"/>
      <c r="AR54" s="60"/>
      <c r="AS54" s="60"/>
      <c r="AT54" s="60"/>
      <c r="AU54" s="60"/>
      <c r="AV54" s="60"/>
      <c r="AW54" s="60"/>
      <c r="AX54" s="60"/>
      <c r="AY54" s="60"/>
      <c r="AZ54" s="60"/>
      <c r="BA54" s="60"/>
      <c r="BB54" s="60"/>
      <c r="BC54" s="60"/>
      <c r="BD54" s="60"/>
      <c r="BE54" s="60"/>
      <c r="BF54" s="60"/>
      <c r="BG54" s="60"/>
      <c r="BH54" s="60"/>
      <c r="BI54" s="60"/>
      <c r="BJ54" s="60"/>
      <c r="BK54" s="60"/>
      <c r="BL54" s="60"/>
      <c r="BM54" s="60"/>
      <c r="BN54" s="60"/>
      <c r="BO54" s="60"/>
      <c r="BP54" s="60"/>
      <c r="BQ54" s="60"/>
      <c r="BR54" s="60"/>
      <c r="BS54" s="60"/>
      <c r="BT54" s="60"/>
      <c r="BU54" s="60"/>
      <c r="BV54" s="60"/>
      <c r="BW54" s="60"/>
      <c r="BX54" s="60"/>
      <c r="BY54" s="60"/>
      <c r="BZ54" s="60"/>
      <c r="CA54" s="60"/>
      <c r="CB54" s="60"/>
      <c r="CC54" s="60"/>
      <c r="CD54" s="60"/>
      <c r="CE54" s="60"/>
      <c r="CF54" s="60"/>
      <c r="CG54" s="60"/>
      <c r="CH54" s="60"/>
      <c r="CI54" s="60"/>
      <c r="CJ54" s="60"/>
      <c r="CK54" s="60"/>
      <c r="CL54" s="60"/>
      <c r="CM54" s="60"/>
      <c r="CN54" s="60"/>
      <c r="CO54" s="60"/>
      <c r="CP54" s="60"/>
      <c r="CQ54" s="60"/>
      <c r="CR54" s="60"/>
      <c r="CS54" s="60"/>
      <c r="CT54" s="60"/>
      <c r="CU54" s="60"/>
      <c r="CV54" s="60"/>
      <c r="CW54" s="60"/>
      <c r="CX54" s="60"/>
      <c r="CY54" s="60"/>
      <c r="CZ54" s="60"/>
      <c r="DA54" s="60"/>
      <c r="DB54" s="60"/>
      <c r="DC54" s="60"/>
      <c r="DD54" s="60"/>
      <c r="DE54" s="60"/>
      <c r="DF54" s="60"/>
      <c r="DG54" s="60"/>
      <c r="DH54" s="60"/>
      <c r="DI54" s="60"/>
      <c r="DJ54" s="60"/>
      <c r="DK54" s="60"/>
      <c r="DL54" s="60"/>
      <c r="DM54" s="60"/>
      <c r="DN54" s="60"/>
      <c r="DO54" s="60"/>
      <c r="DP54" s="60"/>
      <c r="DQ54" s="60"/>
      <c r="DR54" s="60"/>
      <c r="DS54" s="60"/>
      <c r="DT54" s="60"/>
      <c r="DU54" s="60"/>
      <c r="DV54" s="60"/>
      <c r="DW54" s="60"/>
      <c r="DX54" s="60"/>
      <c r="DY54" s="60"/>
      <c r="DZ54" s="60"/>
      <c r="EA54" s="60"/>
      <c r="EB54" s="60"/>
      <c r="EC54" s="60"/>
      <c r="ED54" s="60"/>
      <c r="EE54" s="60"/>
      <c r="EF54" s="60"/>
      <c r="EG54" s="60"/>
      <c r="EH54" s="60"/>
      <c r="EI54" s="60"/>
      <c r="EJ54" s="60"/>
      <c r="EK54" s="60"/>
      <c r="EL54" s="60"/>
      <c r="EM54" s="60"/>
      <c r="EN54" s="60"/>
      <c r="EO54" s="60"/>
      <c r="EP54" s="60"/>
      <c r="EQ54" s="60"/>
      <c r="ER54" s="60"/>
      <c r="ES54" s="60"/>
      <c r="ET54" s="60"/>
      <c r="EU54" s="60"/>
      <c r="EV54" s="60"/>
      <c r="EW54" s="60"/>
      <c r="EX54" s="60"/>
      <c r="EY54" s="60"/>
      <c r="EZ54" s="60"/>
      <c r="FA54" s="60"/>
      <c r="FB54" s="60"/>
      <c r="FC54" s="60"/>
      <c r="FD54" s="60"/>
      <c r="FE54" s="60"/>
      <c r="FF54" s="60"/>
      <c r="FG54" s="60"/>
      <c r="FH54" s="60"/>
      <c r="FI54" s="60"/>
      <c r="FJ54" s="60"/>
      <c r="FK54" s="60"/>
      <c r="FL54" s="60"/>
      <c r="FM54" s="60"/>
      <c r="FN54" s="60"/>
      <c r="FO54" s="60"/>
      <c r="FP54" s="60"/>
      <c r="FQ54" s="60"/>
      <c r="FR54" s="60"/>
      <c r="FS54" s="60"/>
      <c r="FT54" s="60"/>
      <c r="FU54" s="60"/>
      <c r="FV54" s="60"/>
      <c r="FW54" s="60"/>
      <c r="FX54" s="60"/>
      <c r="FY54" s="60"/>
      <c r="FZ54" s="60"/>
      <c r="GA54" s="60"/>
      <c r="GB54" s="60"/>
      <c r="GC54" s="60"/>
      <c r="GD54" s="60"/>
      <c r="GE54" s="60"/>
      <c r="GF54" s="60"/>
      <c r="GG54" s="60"/>
      <c r="GH54" s="60"/>
      <c r="GI54" s="60"/>
      <c r="GJ54" s="60"/>
      <c r="GK54" s="60"/>
      <c r="GL54" s="60"/>
      <c r="GM54" s="60"/>
      <c r="GN54" s="60"/>
      <c r="GO54" s="60"/>
      <c r="GP54" s="60"/>
      <c r="GQ54" s="60"/>
      <c r="GR54" s="60"/>
      <c r="GS54" s="60"/>
      <c r="GT54" s="60"/>
      <c r="GU54" s="60"/>
      <c r="GV54" s="60"/>
      <c r="GW54" s="60"/>
      <c r="GX54" s="60"/>
      <c r="GY54" s="60"/>
      <c r="GZ54" s="60"/>
      <c r="HA54" s="60"/>
      <c r="HB54" s="60"/>
      <c r="HC54" s="60"/>
      <c r="HD54" s="60"/>
      <c r="HE54" s="60"/>
      <c r="HF54" s="60"/>
      <c r="HG54" s="60"/>
      <c r="HH54" s="60"/>
      <c r="HI54" s="60"/>
      <c r="HJ54" s="60"/>
      <c r="HK54" s="60"/>
      <c r="HL54" s="60"/>
      <c r="HM54" s="60"/>
      <c r="HN54" s="60"/>
      <c r="HO54" s="60"/>
      <c r="HP54" s="60"/>
      <c r="HQ54" s="60"/>
      <c r="HR54" s="60"/>
      <c r="HS54" s="60"/>
      <c r="HT54" s="60"/>
      <c r="HU54" s="60"/>
      <c r="HV54" s="60"/>
      <c r="HW54" s="60"/>
      <c r="HX54" s="60"/>
      <c r="HY54" s="60"/>
      <c r="HZ54" s="60"/>
      <c r="IA54" s="60"/>
      <c r="IB54" s="60"/>
      <c r="IC54" s="60"/>
      <c r="ID54" s="60"/>
      <c r="IE54" s="60"/>
      <c r="IF54" s="60"/>
      <c r="IG54" s="60"/>
      <c r="IH54" s="60"/>
      <c r="II54" s="60"/>
      <c r="IJ54" s="60"/>
      <c r="IK54" s="60"/>
      <c r="IL54" s="60"/>
      <c r="IM54" s="60"/>
      <c r="IN54" s="60"/>
      <c r="IO54" s="60"/>
      <c r="IP54" s="60"/>
      <c r="IQ54" s="60"/>
      <c r="IR54" s="60"/>
      <c r="IS54" s="60"/>
      <c r="IT54" s="60"/>
      <c r="IU54" s="60"/>
      <c r="IV54" s="60"/>
      <c r="IW54" s="60"/>
      <c r="IX54" s="60"/>
      <c r="IY54" s="60"/>
      <c r="IZ54" s="60"/>
      <c r="JA54" s="60"/>
      <c r="JB54" s="60"/>
      <c r="JC54" s="60"/>
      <c r="JD54" s="60"/>
      <c r="JE54" s="60"/>
      <c r="JF54" s="60"/>
      <c r="JG54" s="60"/>
      <c r="JH54" s="60"/>
      <c r="JI54" s="60"/>
      <c r="JJ54" s="60"/>
      <c r="JK54" s="60"/>
      <c r="JL54" s="60"/>
      <c r="JM54" s="60"/>
      <c r="JN54" s="60"/>
      <c r="JO54" s="60"/>
      <c r="JP54" s="60"/>
      <c r="JQ54" s="60"/>
      <c r="JR54" s="60"/>
      <c r="JS54" s="60"/>
      <c r="JT54" s="60"/>
      <c r="JU54" s="60"/>
      <c r="JV54" s="60"/>
      <c r="JW54" s="60"/>
      <c r="JX54" s="60"/>
      <c r="JY54" s="60"/>
      <c r="JZ54" s="60"/>
      <c r="KA54" s="60"/>
      <c r="KB54" s="60"/>
      <c r="KC54" s="60"/>
      <c r="KD54" s="60"/>
      <c r="KE54" s="60"/>
      <c r="KF54" s="60"/>
      <c r="KG54" s="60"/>
      <c r="KH54" s="60"/>
      <c r="KI54" s="60"/>
      <c r="KJ54" s="60"/>
      <c r="KK54" s="60"/>
      <c r="KL54" s="60"/>
      <c r="KM54" s="60"/>
      <c r="KN54" s="60"/>
      <c r="KO54" s="60"/>
      <c r="KP54" s="60"/>
      <c r="KQ54" s="60"/>
      <c r="KR54" s="60"/>
      <c r="KS54" s="60"/>
      <c r="KT54" s="60"/>
      <c r="KU54" s="60"/>
      <c r="KV54" s="60"/>
      <c r="KW54" s="60"/>
      <c r="KX54" s="60"/>
      <c r="KY54" s="60"/>
      <c r="KZ54" s="60"/>
      <c r="LA54" s="60"/>
      <c r="LB54" s="60"/>
      <c r="LC54" s="60"/>
      <c r="LD54" s="60"/>
      <c r="LE54" s="60"/>
      <c r="LF54" s="60"/>
      <c r="LG54" s="60"/>
      <c r="LH54" s="60"/>
    </row>
    <row r="55" spans="1:320" s="17" customFormat="1" x14ac:dyDescent="0.25">
      <c r="A55" s="147"/>
      <c r="E55" s="156"/>
      <c r="F55" s="156"/>
      <c r="G55" s="156"/>
      <c r="H55" s="156"/>
      <c r="I55" s="156"/>
      <c r="J55" s="156"/>
      <c r="K55" s="156"/>
      <c r="L55" s="156"/>
      <c r="M55" s="156"/>
      <c r="N55" s="156"/>
      <c r="O55" s="156"/>
      <c r="P55" s="156"/>
      <c r="Q55" s="156"/>
      <c r="R55" s="156"/>
      <c r="S55" s="156"/>
      <c r="AC55" s="60"/>
      <c r="AD55" s="60"/>
      <c r="AE55" s="60"/>
      <c r="AF55" s="60"/>
      <c r="AG55" s="60"/>
      <c r="AH55" s="60"/>
      <c r="AI55" s="60"/>
      <c r="AJ55" s="60"/>
      <c r="AK55" s="60"/>
      <c r="AL55" s="60"/>
      <c r="AM55" s="60"/>
      <c r="AN55" s="60"/>
      <c r="AO55" s="60"/>
      <c r="AP55" s="60"/>
      <c r="AQ55" s="60"/>
      <c r="AR55" s="60"/>
      <c r="AS55" s="60"/>
      <c r="AT55" s="60"/>
      <c r="AU55" s="60"/>
      <c r="AV55" s="60"/>
      <c r="AW55" s="60"/>
      <c r="AX55" s="60"/>
      <c r="AY55" s="60"/>
      <c r="AZ55" s="60"/>
      <c r="BA55" s="60"/>
      <c r="BB55" s="60"/>
      <c r="BC55" s="60"/>
      <c r="BD55" s="60"/>
      <c r="BE55" s="60"/>
      <c r="BF55" s="60"/>
      <c r="BG55" s="60"/>
      <c r="BH55" s="60"/>
      <c r="BI55" s="60"/>
      <c r="BJ55" s="60"/>
      <c r="BK55" s="60"/>
      <c r="BL55" s="60"/>
      <c r="BM55" s="60"/>
      <c r="BN55" s="60"/>
      <c r="BO55" s="60"/>
      <c r="BP55" s="60"/>
      <c r="BQ55" s="60"/>
      <c r="BR55" s="60"/>
      <c r="BS55" s="60"/>
      <c r="BT55" s="60"/>
      <c r="BU55" s="60"/>
      <c r="BV55" s="60"/>
      <c r="BW55" s="60"/>
      <c r="BX55" s="60"/>
      <c r="BY55" s="60"/>
      <c r="BZ55" s="60"/>
      <c r="CA55" s="60"/>
      <c r="CB55" s="60"/>
      <c r="CC55" s="60"/>
      <c r="CD55" s="60"/>
      <c r="CE55" s="60"/>
      <c r="CF55" s="60"/>
      <c r="CG55" s="60"/>
      <c r="CH55" s="60"/>
      <c r="CI55" s="60"/>
      <c r="CJ55" s="60"/>
      <c r="CK55" s="60"/>
      <c r="CL55" s="60"/>
      <c r="CM55" s="60"/>
      <c r="CN55" s="60"/>
      <c r="CO55" s="60"/>
      <c r="CP55" s="60"/>
      <c r="CQ55" s="60"/>
      <c r="CR55" s="60"/>
      <c r="CS55" s="60"/>
      <c r="CT55" s="60"/>
      <c r="CU55" s="60"/>
      <c r="CV55" s="60"/>
      <c r="CW55" s="60"/>
      <c r="CX55" s="60"/>
      <c r="CY55" s="60"/>
      <c r="CZ55" s="60"/>
      <c r="DA55" s="60"/>
      <c r="DB55" s="60"/>
      <c r="DC55" s="60"/>
      <c r="DD55" s="60"/>
      <c r="DE55" s="60"/>
      <c r="DF55" s="60"/>
      <c r="DG55" s="60"/>
      <c r="DH55" s="60"/>
      <c r="DI55" s="60"/>
      <c r="DJ55" s="60"/>
      <c r="DK55" s="60"/>
      <c r="DL55" s="60"/>
      <c r="DM55" s="60"/>
      <c r="DN55" s="60"/>
      <c r="DO55" s="60"/>
      <c r="DP55" s="60"/>
      <c r="DQ55" s="60"/>
      <c r="DR55" s="60"/>
      <c r="DS55" s="60"/>
      <c r="DT55" s="60"/>
      <c r="DU55" s="60"/>
      <c r="DV55" s="60"/>
      <c r="DW55" s="60"/>
      <c r="DX55" s="60"/>
      <c r="DY55" s="60"/>
      <c r="DZ55" s="60"/>
      <c r="EA55" s="60"/>
      <c r="EB55" s="60"/>
      <c r="EC55" s="60"/>
      <c r="ED55" s="60"/>
      <c r="EE55" s="60"/>
      <c r="EF55" s="60"/>
      <c r="EG55" s="60"/>
      <c r="EH55" s="60"/>
      <c r="EI55" s="60"/>
      <c r="EJ55" s="60"/>
      <c r="EK55" s="60"/>
      <c r="EL55" s="60"/>
      <c r="EM55" s="60"/>
      <c r="EN55" s="60"/>
      <c r="EO55" s="60"/>
      <c r="EP55" s="60"/>
      <c r="EQ55" s="60"/>
      <c r="ER55" s="60"/>
      <c r="ES55" s="60"/>
      <c r="ET55" s="60"/>
      <c r="EU55" s="60"/>
      <c r="EV55" s="60"/>
      <c r="EW55" s="60"/>
      <c r="EX55" s="60"/>
      <c r="EY55" s="60"/>
      <c r="EZ55" s="60"/>
      <c r="FA55" s="60"/>
      <c r="FB55" s="60"/>
      <c r="FC55" s="60"/>
      <c r="FD55" s="60"/>
      <c r="FE55" s="60"/>
      <c r="FF55" s="60"/>
      <c r="FG55" s="60"/>
      <c r="FH55" s="60"/>
      <c r="FI55" s="60"/>
      <c r="FJ55" s="60"/>
      <c r="FK55" s="60"/>
      <c r="FL55" s="60"/>
      <c r="FM55" s="60"/>
      <c r="FN55" s="60"/>
      <c r="FO55" s="60"/>
      <c r="FP55" s="60"/>
      <c r="FQ55" s="60"/>
      <c r="FR55" s="60"/>
      <c r="FS55" s="60"/>
      <c r="FT55" s="60"/>
      <c r="FU55" s="60"/>
      <c r="FV55" s="60"/>
      <c r="FW55" s="60"/>
      <c r="FX55" s="60"/>
      <c r="FY55" s="60"/>
      <c r="FZ55" s="60"/>
      <c r="GA55" s="60"/>
      <c r="GB55" s="60"/>
      <c r="GC55" s="60"/>
      <c r="GD55" s="60"/>
      <c r="GE55" s="60"/>
      <c r="GF55" s="60"/>
      <c r="GG55" s="60"/>
      <c r="GH55" s="60"/>
      <c r="GI55" s="60"/>
      <c r="GJ55" s="60"/>
      <c r="GK55" s="60"/>
      <c r="GL55" s="60"/>
      <c r="GM55" s="60"/>
      <c r="GN55" s="60"/>
      <c r="GO55" s="60"/>
      <c r="GP55" s="60"/>
      <c r="GQ55" s="60"/>
      <c r="GR55" s="60"/>
      <c r="GS55" s="60"/>
      <c r="GT55" s="60"/>
      <c r="GU55" s="60"/>
      <c r="GV55" s="60"/>
      <c r="GW55" s="60"/>
      <c r="GX55" s="60"/>
      <c r="GY55" s="60"/>
      <c r="GZ55" s="60"/>
      <c r="HA55" s="60"/>
      <c r="HB55" s="60"/>
      <c r="HC55" s="60"/>
      <c r="HD55" s="60"/>
      <c r="HE55" s="60"/>
      <c r="HF55" s="60"/>
      <c r="HG55" s="60"/>
      <c r="HH55" s="60"/>
      <c r="HI55" s="60"/>
      <c r="HJ55" s="60"/>
      <c r="HK55" s="60"/>
      <c r="HL55" s="60"/>
      <c r="HM55" s="60"/>
      <c r="HN55" s="60"/>
      <c r="HO55" s="60"/>
      <c r="HP55" s="60"/>
      <c r="HQ55" s="60"/>
      <c r="HR55" s="60"/>
      <c r="HS55" s="60"/>
      <c r="HT55" s="60"/>
      <c r="HU55" s="60"/>
      <c r="HV55" s="60"/>
      <c r="HW55" s="60"/>
      <c r="HX55" s="60"/>
      <c r="HY55" s="60"/>
      <c r="HZ55" s="60"/>
      <c r="IA55" s="60"/>
      <c r="IB55" s="60"/>
      <c r="IC55" s="60"/>
      <c r="ID55" s="60"/>
      <c r="IE55" s="60"/>
      <c r="IF55" s="60"/>
      <c r="IG55" s="60"/>
      <c r="IH55" s="60"/>
      <c r="II55" s="60"/>
      <c r="IJ55" s="60"/>
      <c r="IK55" s="60"/>
      <c r="IL55" s="60"/>
      <c r="IM55" s="60"/>
      <c r="IN55" s="60"/>
      <c r="IO55" s="60"/>
      <c r="IP55" s="60"/>
      <c r="IQ55" s="60"/>
      <c r="IR55" s="60"/>
      <c r="IS55" s="60"/>
      <c r="IT55" s="60"/>
      <c r="IU55" s="60"/>
      <c r="IV55" s="60"/>
      <c r="IW55" s="60"/>
      <c r="IX55" s="60"/>
      <c r="IY55" s="60"/>
      <c r="IZ55" s="60"/>
      <c r="JA55" s="60"/>
      <c r="JB55" s="60"/>
      <c r="JC55" s="60"/>
      <c r="JD55" s="60"/>
      <c r="JE55" s="60"/>
      <c r="JF55" s="60"/>
      <c r="JG55" s="60"/>
      <c r="JH55" s="60"/>
      <c r="JI55" s="60"/>
      <c r="JJ55" s="60"/>
      <c r="JK55" s="60"/>
      <c r="JL55" s="60"/>
      <c r="JM55" s="60"/>
      <c r="JN55" s="60"/>
      <c r="JO55" s="60"/>
      <c r="JP55" s="60"/>
      <c r="JQ55" s="60"/>
      <c r="JR55" s="60"/>
      <c r="JS55" s="60"/>
      <c r="JT55" s="60"/>
      <c r="JU55" s="60"/>
      <c r="JV55" s="60"/>
      <c r="JW55" s="60"/>
      <c r="JX55" s="60"/>
      <c r="JY55" s="60"/>
      <c r="JZ55" s="60"/>
      <c r="KA55" s="60"/>
      <c r="KB55" s="60"/>
      <c r="KC55" s="60"/>
      <c r="KD55" s="60"/>
      <c r="KE55" s="60"/>
      <c r="KF55" s="60"/>
      <c r="KG55" s="60"/>
      <c r="KH55" s="60"/>
      <c r="KI55" s="60"/>
      <c r="KJ55" s="60"/>
      <c r="KK55" s="60"/>
      <c r="KL55" s="60"/>
      <c r="KM55" s="60"/>
      <c r="KN55" s="60"/>
      <c r="KO55" s="60"/>
      <c r="KP55" s="60"/>
      <c r="KQ55" s="60"/>
      <c r="KR55" s="60"/>
      <c r="KS55" s="60"/>
      <c r="KT55" s="60"/>
      <c r="KU55" s="60"/>
      <c r="KV55" s="60"/>
      <c r="KW55" s="60"/>
      <c r="KX55" s="60"/>
      <c r="KY55" s="60"/>
      <c r="KZ55" s="60"/>
      <c r="LA55" s="60"/>
      <c r="LB55" s="60"/>
      <c r="LC55" s="60"/>
      <c r="LD55" s="60"/>
      <c r="LE55" s="60"/>
      <c r="LF55" s="60"/>
      <c r="LG55" s="60"/>
      <c r="LH55" s="60"/>
    </row>
    <row r="56" spans="1:320" s="17" customFormat="1" x14ac:dyDescent="0.25">
      <c r="A56" s="147"/>
      <c r="E56" s="156"/>
      <c r="F56" s="156"/>
      <c r="G56" s="156"/>
      <c r="H56" s="156"/>
      <c r="I56" s="156"/>
      <c r="J56" s="156"/>
      <c r="K56" s="156"/>
      <c r="L56" s="156"/>
      <c r="M56" s="156"/>
      <c r="N56" s="156"/>
      <c r="O56" s="156"/>
      <c r="P56" s="156"/>
      <c r="Q56" s="156"/>
      <c r="R56" s="156"/>
      <c r="S56" s="156"/>
      <c r="AC56" s="60"/>
      <c r="AD56" s="60"/>
      <c r="AE56" s="60"/>
      <c r="AF56" s="60"/>
      <c r="AG56" s="60"/>
      <c r="AH56" s="60"/>
      <c r="AI56" s="60"/>
      <c r="AJ56" s="60"/>
      <c r="AK56" s="60"/>
      <c r="AL56" s="60"/>
      <c r="AM56" s="60"/>
      <c r="AN56" s="60"/>
      <c r="AO56" s="60"/>
      <c r="AP56" s="60"/>
      <c r="AQ56" s="60"/>
      <c r="AR56" s="60"/>
      <c r="AS56" s="60"/>
      <c r="AT56" s="60"/>
      <c r="AU56" s="60"/>
      <c r="AV56" s="60"/>
      <c r="AW56" s="60"/>
      <c r="AX56" s="60"/>
      <c r="AY56" s="60"/>
      <c r="AZ56" s="60"/>
      <c r="BA56" s="60"/>
      <c r="BB56" s="60"/>
      <c r="BC56" s="60"/>
      <c r="BD56" s="60"/>
      <c r="BE56" s="60"/>
      <c r="BF56" s="60"/>
      <c r="BG56" s="60"/>
      <c r="BH56" s="60"/>
      <c r="BI56" s="60"/>
      <c r="BJ56" s="60"/>
      <c r="BK56" s="60"/>
      <c r="BL56" s="60"/>
      <c r="BM56" s="60"/>
      <c r="BN56" s="60"/>
      <c r="BO56" s="60"/>
      <c r="BP56" s="60"/>
      <c r="BQ56" s="60"/>
      <c r="BR56" s="60"/>
      <c r="BS56" s="60"/>
      <c r="BT56" s="60"/>
      <c r="BU56" s="60"/>
      <c r="BV56" s="60"/>
      <c r="BW56" s="60"/>
      <c r="BX56" s="60"/>
      <c r="BY56" s="60"/>
      <c r="BZ56" s="60"/>
      <c r="CA56" s="60"/>
      <c r="CB56" s="60"/>
      <c r="CC56" s="60"/>
      <c r="CD56" s="60"/>
      <c r="CE56" s="60"/>
      <c r="CF56" s="60"/>
      <c r="CG56" s="60"/>
      <c r="CH56" s="60"/>
      <c r="CI56" s="60"/>
      <c r="CJ56" s="60"/>
      <c r="CK56" s="60"/>
      <c r="CL56" s="60"/>
      <c r="CM56" s="60"/>
      <c r="CN56" s="60"/>
      <c r="CO56" s="60"/>
      <c r="CP56" s="60"/>
      <c r="CQ56" s="60"/>
      <c r="CR56" s="60"/>
      <c r="CS56" s="60"/>
      <c r="CT56" s="60"/>
      <c r="CU56" s="60"/>
      <c r="CV56" s="60"/>
      <c r="CW56" s="60"/>
      <c r="CX56" s="60"/>
      <c r="CY56" s="60"/>
      <c r="CZ56" s="60"/>
      <c r="DA56" s="60"/>
      <c r="DB56" s="60"/>
      <c r="DC56" s="60"/>
      <c r="DD56" s="60"/>
      <c r="DE56" s="60"/>
      <c r="DF56" s="60"/>
      <c r="DG56" s="60"/>
      <c r="DH56" s="60"/>
      <c r="DI56" s="60"/>
      <c r="DJ56" s="60"/>
      <c r="DK56" s="60"/>
      <c r="DL56" s="60"/>
      <c r="DM56" s="60"/>
      <c r="DN56" s="60"/>
      <c r="DO56" s="60"/>
      <c r="DP56" s="60"/>
      <c r="DQ56" s="60"/>
      <c r="DR56" s="60"/>
      <c r="DS56" s="60"/>
      <c r="DT56" s="60"/>
      <c r="DU56" s="60"/>
      <c r="DV56" s="60"/>
      <c r="DW56" s="60"/>
      <c r="DX56" s="60"/>
      <c r="DY56" s="60"/>
      <c r="DZ56" s="60"/>
      <c r="EA56" s="60"/>
      <c r="EB56" s="60"/>
      <c r="EC56" s="60"/>
      <c r="ED56" s="60"/>
      <c r="EE56" s="60"/>
      <c r="EF56" s="60"/>
      <c r="EG56" s="60"/>
      <c r="EH56" s="60"/>
      <c r="EI56" s="60"/>
      <c r="EJ56" s="60"/>
      <c r="EK56" s="60"/>
      <c r="EL56" s="60"/>
      <c r="EM56" s="60"/>
      <c r="EN56" s="60"/>
      <c r="EO56" s="60"/>
      <c r="EP56" s="60"/>
      <c r="EQ56" s="60"/>
      <c r="ER56" s="60"/>
      <c r="ES56" s="60"/>
      <c r="ET56" s="60"/>
      <c r="EU56" s="60"/>
      <c r="EV56" s="60"/>
      <c r="EW56" s="60"/>
      <c r="EX56" s="60"/>
      <c r="EY56" s="60"/>
      <c r="EZ56" s="60"/>
      <c r="FA56" s="60"/>
      <c r="FB56" s="60"/>
      <c r="FC56" s="60"/>
      <c r="FD56" s="60"/>
      <c r="FE56" s="60"/>
      <c r="FF56" s="60"/>
      <c r="FG56" s="60"/>
      <c r="FH56" s="60"/>
      <c r="FI56" s="60"/>
      <c r="FJ56" s="60"/>
      <c r="FK56" s="60"/>
      <c r="FL56" s="60"/>
      <c r="FM56" s="60"/>
      <c r="FN56" s="60"/>
      <c r="FO56" s="60"/>
      <c r="FP56" s="60"/>
      <c r="FQ56" s="60"/>
      <c r="FR56" s="60"/>
      <c r="FS56" s="60"/>
      <c r="FT56" s="60"/>
      <c r="FU56" s="60"/>
      <c r="FV56" s="60"/>
      <c r="FW56" s="60"/>
      <c r="FX56" s="60"/>
      <c r="FY56" s="60"/>
      <c r="FZ56" s="60"/>
      <c r="GA56" s="60"/>
      <c r="GB56" s="60"/>
      <c r="GC56" s="60"/>
      <c r="GD56" s="60"/>
      <c r="GE56" s="60"/>
      <c r="GF56" s="60"/>
      <c r="GG56" s="60"/>
      <c r="GH56" s="60"/>
      <c r="GI56" s="60"/>
      <c r="GJ56" s="60"/>
      <c r="GK56" s="60"/>
      <c r="GL56" s="60"/>
      <c r="GM56" s="60"/>
      <c r="GN56" s="60"/>
      <c r="GO56" s="60"/>
      <c r="GP56" s="60"/>
      <c r="GQ56" s="60"/>
      <c r="GR56" s="60"/>
      <c r="GS56" s="60"/>
      <c r="GT56" s="60"/>
      <c r="GU56" s="60"/>
      <c r="GV56" s="60"/>
      <c r="GW56" s="60"/>
      <c r="GX56" s="60"/>
      <c r="GY56" s="60"/>
      <c r="GZ56" s="60"/>
      <c r="HA56" s="60"/>
      <c r="HB56" s="60"/>
      <c r="HC56" s="60"/>
      <c r="HD56" s="60"/>
      <c r="HE56" s="60"/>
      <c r="HF56" s="60"/>
      <c r="HG56" s="60"/>
      <c r="HH56" s="60"/>
      <c r="HI56" s="60"/>
      <c r="HJ56" s="60"/>
      <c r="HK56" s="60"/>
      <c r="HL56" s="60"/>
      <c r="HM56" s="60"/>
      <c r="HN56" s="60"/>
      <c r="HO56" s="60"/>
      <c r="HP56" s="60"/>
      <c r="HQ56" s="60"/>
      <c r="HR56" s="60"/>
      <c r="HS56" s="60"/>
      <c r="HT56" s="60"/>
      <c r="HU56" s="60"/>
      <c r="HV56" s="60"/>
      <c r="HW56" s="60"/>
      <c r="HX56" s="60"/>
      <c r="HY56" s="60"/>
      <c r="HZ56" s="60"/>
      <c r="IA56" s="60"/>
      <c r="IB56" s="60"/>
      <c r="IC56" s="60"/>
      <c r="ID56" s="60"/>
      <c r="IE56" s="60"/>
      <c r="IF56" s="60"/>
      <c r="IG56" s="60"/>
      <c r="IH56" s="60"/>
      <c r="II56" s="60"/>
      <c r="IJ56" s="60"/>
      <c r="IK56" s="60"/>
      <c r="IL56" s="60"/>
      <c r="IM56" s="60"/>
      <c r="IN56" s="60"/>
      <c r="IO56" s="60"/>
      <c r="IP56" s="60"/>
      <c r="IQ56" s="60"/>
      <c r="IR56" s="60"/>
      <c r="IS56" s="60"/>
      <c r="IT56" s="60"/>
      <c r="IU56" s="60"/>
      <c r="IV56" s="60"/>
      <c r="IW56" s="60"/>
      <c r="IX56" s="60"/>
      <c r="IY56" s="60"/>
      <c r="IZ56" s="60"/>
      <c r="JA56" s="60"/>
      <c r="JB56" s="60"/>
      <c r="JC56" s="60"/>
      <c r="JD56" s="60"/>
      <c r="JE56" s="60"/>
      <c r="JF56" s="60"/>
      <c r="JG56" s="60"/>
      <c r="JH56" s="60"/>
      <c r="JI56" s="60"/>
      <c r="JJ56" s="60"/>
      <c r="JK56" s="60"/>
      <c r="JL56" s="60"/>
      <c r="JM56" s="60"/>
      <c r="JN56" s="60"/>
      <c r="JO56" s="60"/>
      <c r="JP56" s="60"/>
      <c r="JQ56" s="60"/>
      <c r="JR56" s="60"/>
      <c r="JS56" s="60"/>
      <c r="JT56" s="60"/>
      <c r="JU56" s="60"/>
      <c r="JV56" s="60"/>
      <c r="JW56" s="60"/>
      <c r="JX56" s="60"/>
      <c r="JY56" s="60"/>
      <c r="JZ56" s="60"/>
      <c r="KA56" s="60"/>
      <c r="KB56" s="60"/>
      <c r="KC56" s="60"/>
      <c r="KD56" s="60"/>
      <c r="KE56" s="60"/>
      <c r="KF56" s="60"/>
      <c r="KG56" s="60"/>
      <c r="KH56" s="60"/>
      <c r="KI56" s="60"/>
      <c r="KJ56" s="60"/>
      <c r="KK56" s="60"/>
      <c r="KL56" s="60"/>
      <c r="KM56" s="60"/>
      <c r="KN56" s="60"/>
      <c r="KO56" s="60"/>
      <c r="KP56" s="60"/>
      <c r="KQ56" s="60"/>
      <c r="KR56" s="60"/>
      <c r="KS56" s="60"/>
      <c r="KT56" s="60"/>
      <c r="KU56" s="60"/>
      <c r="KV56" s="60"/>
      <c r="KW56" s="60"/>
      <c r="KX56" s="60"/>
      <c r="KY56" s="60"/>
      <c r="KZ56" s="60"/>
      <c r="LA56" s="60"/>
      <c r="LB56" s="60"/>
      <c r="LC56" s="60"/>
      <c r="LD56" s="60"/>
      <c r="LE56" s="60"/>
      <c r="LF56" s="60"/>
      <c r="LG56" s="60"/>
      <c r="LH56" s="60"/>
    </row>
    <row r="57" spans="1:320" s="17" customFormat="1" x14ac:dyDescent="0.25">
      <c r="A57" s="147"/>
      <c r="E57" s="156"/>
      <c r="F57" s="156"/>
      <c r="G57" s="156"/>
      <c r="H57" s="156"/>
      <c r="I57" s="156"/>
      <c r="J57" s="156"/>
      <c r="K57" s="156"/>
      <c r="L57" s="156"/>
      <c r="M57" s="156"/>
      <c r="N57" s="156"/>
      <c r="O57" s="156"/>
      <c r="P57" s="156"/>
      <c r="Q57" s="156"/>
      <c r="R57" s="156"/>
      <c r="S57" s="156"/>
      <c r="AC57" s="60"/>
      <c r="AD57" s="60"/>
      <c r="AE57" s="60"/>
      <c r="AF57" s="60"/>
      <c r="AG57" s="60"/>
      <c r="AH57" s="60"/>
      <c r="AI57" s="60"/>
      <c r="AJ57" s="60"/>
      <c r="AK57" s="60"/>
      <c r="AL57" s="60"/>
      <c r="AM57" s="60"/>
      <c r="AN57" s="60"/>
      <c r="AO57" s="60"/>
      <c r="AP57" s="60"/>
      <c r="AQ57" s="60"/>
      <c r="AR57" s="60"/>
      <c r="AS57" s="60"/>
      <c r="AT57" s="60"/>
      <c r="AU57" s="60"/>
      <c r="AV57" s="60"/>
      <c r="AW57" s="60"/>
      <c r="AX57" s="60"/>
      <c r="AY57" s="60"/>
      <c r="AZ57" s="60"/>
      <c r="BA57" s="60"/>
      <c r="BB57" s="60"/>
      <c r="BC57" s="60"/>
      <c r="BD57" s="60"/>
      <c r="BE57" s="60"/>
      <c r="BF57" s="60"/>
      <c r="BG57" s="60"/>
      <c r="BH57" s="60"/>
      <c r="BI57" s="60"/>
      <c r="BJ57" s="60"/>
      <c r="BK57" s="60"/>
      <c r="BL57" s="60"/>
      <c r="BM57" s="60"/>
      <c r="BN57" s="60"/>
      <c r="BO57" s="60"/>
      <c r="BP57" s="60"/>
      <c r="BQ57" s="60"/>
      <c r="BR57" s="60"/>
      <c r="BS57" s="60"/>
      <c r="BT57" s="60"/>
      <c r="BU57" s="60"/>
      <c r="BV57" s="60"/>
      <c r="BW57" s="60"/>
      <c r="BX57" s="60"/>
      <c r="BY57" s="60"/>
      <c r="BZ57" s="60"/>
      <c r="CA57" s="60"/>
      <c r="CB57" s="60"/>
      <c r="CC57" s="60"/>
      <c r="CD57" s="60"/>
      <c r="CE57" s="60"/>
      <c r="CF57" s="60"/>
      <c r="CG57" s="60"/>
      <c r="CH57" s="60"/>
      <c r="CI57" s="60"/>
      <c r="CJ57" s="60"/>
      <c r="CK57" s="60"/>
      <c r="CL57" s="60"/>
      <c r="CM57" s="60"/>
      <c r="CN57" s="60"/>
      <c r="CO57" s="60"/>
      <c r="CP57" s="60"/>
      <c r="CQ57" s="60"/>
      <c r="CR57" s="60"/>
      <c r="CS57" s="60"/>
      <c r="CT57" s="60"/>
      <c r="CU57" s="60"/>
      <c r="CV57" s="60"/>
      <c r="CW57" s="60"/>
      <c r="CX57" s="60"/>
      <c r="CY57" s="60"/>
      <c r="CZ57" s="60"/>
      <c r="DA57" s="60"/>
      <c r="DB57" s="60"/>
      <c r="DC57" s="60"/>
      <c r="DD57" s="60"/>
      <c r="DE57" s="60"/>
      <c r="DF57" s="60"/>
      <c r="DG57" s="60"/>
      <c r="DH57" s="60"/>
      <c r="DI57" s="60"/>
      <c r="DJ57" s="60"/>
      <c r="DK57" s="60"/>
      <c r="DL57" s="60"/>
      <c r="DM57" s="60"/>
      <c r="DN57" s="60"/>
      <c r="DO57" s="60"/>
      <c r="DP57" s="60"/>
      <c r="DQ57" s="60"/>
      <c r="DR57" s="60"/>
      <c r="DS57" s="60"/>
      <c r="DT57" s="60"/>
      <c r="DU57" s="60"/>
      <c r="DV57" s="60"/>
      <c r="DW57" s="60"/>
      <c r="DX57" s="60"/>
      <c r="DY57" s="60"/>
      <c r="DZ57" s="60"/>
      <c r="EA57" s="60"/>
      <c r="EB57" s="60"/>
      <c r="EC57" s="60"/>
      <c r="ED57" s="60"/>
      <c r="EE57" s="60"/>
      <c r="EF57" s="60"/>
      <c r="EG57" s="60"/>
      <c r="EH57" s="60"/>
      <c r="EI57" s="60"/>
      <c r="EJ57" s="60"/>
      <c r="EK57" s="60"/>
      <c r="EL57" s="60"/>
      <c r="EM57" s="60"/>
      <c r="EN57" s="60"/>
      <c r="EO57" s="60"/>
      <c r="EP57" s="60"/>
      <c r="EQ57" s="60"/>
      <c r="ER57" s="60"/>
      <c r="ES57" s="60"/>
      <c r="ET57" s="60"/>
      <c r="EU57" s="60"/>
      <c r="EV57" s="60"/>
      <c r="EW57" s="60"/>
      <c r="EX57" s="60"/>
      <c r="EY57" s="60"/>
      <c r="EZ57" s="60"/>
      <c r="FA57" s="60"/>
      <c r="FB57" s="60"/>
      <c r="FC57" s="60"/>
      <c r="FD57" s="60"/>
      <c r="FE57" s="60"/>
      <c r="FF57" s="60"/>
      <c r="FG57" s="60"/>
      <c r="FH57" s="60"/>
      <c r="FI57" s="60"/>
      <c r="FJ57" s="60"/>
      <c r="FK57" s="60"/>
      <c r="FL57" s="60"/>
      <c r="FM57" s="60"/>
      <c r="FN57" s="60"/>
      <c r="FO57" s="60"/>
      <c r="FP57" s="60"/>
      <c r="FQ57" s="60"/>
      <c r="FR57" s="60"/>
      <c r="FS57" s="60"/>
      <c r="FT57" s="60"/>
      <c r="FU57" s="60"/>
      <c r="FV57" s="60"/>
      <c r="FW57" s="60"/>
      <c r="FX57" s="60"/>
      <c r="FY57" s="60"/>
      <c r="FZ57" s="60"/>
      <c r="GA57" s="60"/>
      <c r="GB57" s="60"/>
      <c r="GC57" s="60"/>
      <c r="GD57" s="60"/>
      <c r="GE57" s="60"/>
      <c r="GF57" s="60"/>
      <c r="GG57" s="60"/>
      <c r="GH57" s="60"/>
      <c r="GI57" s="60"/>
      <c r="GJ57" s="60"/>
      <c r="GK57" s="60"/>
      <c r="GL57" s="60"/>
      <c r="GM57" s="60"/>
      <c r="GN57" s="60"/>
      <c r="GO57" s="60"/>
      <c r="GP57" s="60"/>
      <c r="GQ57" s="60"/>
      <c r="GR57" s="60"/>
      <c r="GS57" s="60"/>
      <c r="GT57" s="60"/>
      <c r="GU57" s="60"/>
      <c r="GV57" s="60"/>
      <c r="GW57" s="60"/>
      <c r="GX57" s="60"/>
      <c r="GY57" s="60"/>
      <c r="GZ57" s="60"/>
      <c r="HA57" s="60"/>
      <c r="HB57" s="60"/>
      <c r="HC57" s="60"/>
      <c r="HD57" s="60"/>
      <c r="HE57" s="60"/>
      <c r="HF57" s="60"/>
      <c r="HG57" s="60"/>
      <c r="HH57" s="60"/>
      <c r="HI57" s="60"/>
      <c r="HJ57" s="60"/>
      <c r="HK57" s="60"/>
      <c r="HL57" s="60"/>
      <c r="HM57" s="60"/>
      <c r="HN57" s="60"/>
      <c r="HO57" s="60"/>
      <c r="HP57" s="60"/>
      <c r="HQ57" s="60"/>
      <c r="HR57" s="60"/>
      <c r="HS57" s="60"/>
      <c r="HT57" s="60"/>
      <c r="HU57" s="60"/>
      <c r="HV57" s="60"/>
      <c r="HW57" s="60"/>
      <c r="HX57" s="60"/>
      <c r="HY57" s="60"/>
      <c r="HZ57" s="60"/>
      <c r="IA57" s="60"/>
      <c r="IB57" s="60"/>
      <c r="IC57" s="60"/>
      <c r="ID57" s="60"/>
      <c r="IE57" s="60"/>
      <c r="IF57" s="60"/>
      <c r="IG57" s="60"/>
      <c r="IH57" s="60"/>
      <c r="II57" s="60"/>
      <c r="IJ57" s="60"/>
      <c r="IK57" s="60"/>
      <c r="IL57" s="60"/>
      <c r="IM57" s="60"/>
      <c r="IN57" s="60"/>
      <c r="IO57" s="60"/>
      <c r="IP57" s="60"/>
      <c r="IQ57" s="60"/>
      <c r="IR57" s="60"/>
      <c r="IS57" s="60"/>
      <c r="IT57" s="60"/>
      <c r="IU57" s="60"/>
      <c r="IV57" s="60"/>
      <c r="IW57" s="60"/>
      <c r="IX57" s="60"/>
      <c r="IY57" s="60"/>
      <c r="IZ57" s="60"/>
      <c r="JA57" s="60"/>
      <c r="JB57" s="60"/>
      <c r="JC57" s="60"/>
      <c r="JD57" s="60"/>
      <c r="JE57" s="60"/>
      <c r="JF57" s="60"/>
      <c r="JG57" s="60"/>
      <c r="JH57" s="60"/>
      <c r="JI57" s="60"/>
      <c r="JJ57" s="60"/>
      <c r="JK57" s="60"/>
      <c r="JL57" s="60"/>
      <c r="JM57" s="60"/>
      <c r="JN57" s="60"/>
      <c r="JO57" s="60"/>
      <c r="JP57" s="60"/>
      <c r="JQ57" s="60"/>
      <c r="JR57" s="60"/>
      <c r="JS57" s="60"/>
      <c r="JT57" s="60"/>
      <c r="JU57" s="60"/>
      <c r="JV57" s="60"/>
      <c r="JW57" s="60"/>
      <c r="JX57" s="60"/>
      <c r="JY57" s="60"/>
      <c r="JZ57" s="60"/>
      <c r="KA57" s="60"/>
      <c r="KB57" s="60"/>
      <c r="KC57" s="60"/>
      <c r="KD57" s="60"/>
      <c r="KE57" s="60"/>
      <c r="KF57" s="60"/>
      <c r="KG57" s="60"/>
      <c r="KH57" s="60"/>
      <c r="KI57" s="60"/>
      <c r="KJ57" s="60"/>
      <c r="KK57" s="60"/>
      <c r="KL57" s="60"/>
      <c r="KM57" s="60"/>
      <c r="KN57" s="60"/>
      <c r="KO57" s="60"/>
      <c r="KP57" s="60"/>
      <c r="KQ57" s="60"/>
      <c r="KR57" s="60"/>
      <c r="KS57" s="60"/>
      <c r="KT57" s="60"/>
      <c r="KU57" s="60"/>
      <c r="KV57" s="60"/>
      <c r="KW57" s="60"/>
      <c r="KX57" s="60"/>
      <c r="KY57" s="60"/>
      <c r="KZ57" s="60"/>
      <c r="LA57" s="60"/>
      <c r="LB57" s="60"/>
      <c r="LC57" s="60"/>
      <c r="LD57" s="60"/>
      <c r="LE57" s="60"/>
      <c r="LF57" s="60"/>
      <c r="LG57" s="60"/>
      <c r="LH57" s="60"/>
    </row>
    <row r="58" spans="1:320" s="17" customFormat="1" x14ac:dyDescent="0.25">
      <c r="A58" s="147"/>
      <c r="E58" s="156"/>
      <c r="F58" s="156"/>
      <c r="G58" s="156"/>
      <c r="H58" s="156"/>
      <c r="I58" s="156"/>
      <c r="J58" s="156"/>
      <c r="K58" s="156"/>
      <c r="L58" s="156"/>
      <c r="M58" s="156"/>
      <c r="N58" s="156"/>
      <c r="O58" s="156"/>
      <c r="P58" s="156"/>
      <c r="Q58" s="156"/>
      <c r="R58" s="156"/>
      <c r="S58" s="156"/>
      <c r="AC58" s="60"/>
      <c r="AD58" s="60"/>
      <c r="AE58" s="60"/>
      <c r="AF58" s="60"/>
      <c r="AG58" s="60"/>
      <c r="AH58" s="60"/>
      <c r="AI58" s="60"/>
      <c r="AJ58" s="60"/>
      <c r="AK58" s="60"/>
      <c r="AL58" s="60"/>
      <c r="AM58" s="60"/>
      <c r="AN58" s="60"/>
      <c r="AO58" s="60"/>
      <c r="AP58" s="60"/>
      <c r="AQ58" s="60"/>
      <c r="AR58" s="60"/>
      <c r="AS58" s="60"/>
      <c r="AT58" s="60"/>
      <c r="AU58" s="60"/>
      <c r="AV58" s="60"/>
      <c r="AW58" s="60"/>
      <c r="AX58" s="60"/>
      <c r="AY58" s="60"/>
      <c r="AZ58" s="60"/>
      <c r="BA58" s="60"/>
      <c r="BB58" s="60"/>
      <c r="BC58" s="60"/>
      <c r="BD58" s="60"/>
      <c r="BE58" s="60"/>
      <c r="BF58" s="60"/>
      <c r="BG58" s="60"/>
      <c r="BH58" s="60"/>
      <c r="BI58" s="60"/>
      <c r="BJ58" s="60"/>
      <c r="BK58" s="60"/>
      <c r="BL58" s="60"/>
      <c r="BM58" s="60"/>
      <c r="BN58" s="60"/>
      <c r="BO58" s="60"/>
      <c r="BP58" s="60"/>
      <c r="BQ58" s="60"/>
      <c r="BR58" s="60"/>
      <c r="BS58" s="60"/>
      <c r="BT58" s="60"/>
      <c r="BU58" s="60"/>
      <c r="BV58" s="60"/>
      <c r="BW58" s="60"/>
      <c r="BX58" s="60"/>
      <c r="BY58" s="60"/>
      <c r="BZ58" s="60"/>
      <c r="CA58" s="60"/>
      <c r="CB58" s="60"/>
      <c r="CC58" s="60"/>
      <c r="CD58" s="60"/>
      <c r="CE58" s="60"/>
      <c r="CF58" s="60"/>
      <c r="CG58" s="60"/>
      <c r="CH58" s="60"/>
      <c r="CI58" s="60"/>
      <c r="CJ58" s="60"/>
      <c r="CK58" s="60"/>
      <c r="CL58" s="60"/>
      <c r="CM58" s="60"/>
      <c r="CN58" s="60"/>
      <c r="CO58" s="60"/>
      <c r="CP58" s="60"/>
      <c r="CQ58" s="60"/>
      <c r="CR58" s="60"/>
      <c r="CS58" s="60"/>
      <c r="CT58" s="60"/>
      <c r="CU58" s="60"/>
      <c r="CV58" s="60"/>
      <c r="CW58" s="60"/>
      <c r="CX58" s="60"/>
      <c r="CY58" s="60"/>
      <c r="CZ58" s="60"/>
      <c r="DA58" s="60"/>
      <c r="DB58" s="60"/>
      <c r="DC58" s="60"/>
      <c r="DD58" s="60"/>
      <c r="DE58" s="60"/>
      <c r="DF58" s="60"/>
      <c r="DG58" s="60"/>
      <c r="DH58" s="60"/>
      <c r="DI58" s="60"/>
      <c r="DJ58" s="60"/>
      <c r="DK58" s="60"/>
      <c r="DL58" s="60"/>
      <c r="DM58" s="60"/>
      <c r="DN58" s="60"/>
      <c r="DO58" s="60"/>
      <c r="DP58" s="60"/>
      <c r="DQ58" s="60"/>
      <c r="DR58" s="60"/>
      <c r="DS58" s="60"/>
      <c r="DT58" s="60"/>
      <c r="DU58" s="60"/>
      <c r="DV58" s="60"/>
      <c r="DW58" s="60"/>
      <c r="DX58" s="60"/>
      <c r="DY58" s="60"/>
      <c r="DZ58" s="60"/>
      <c r="EA58" s="60"/>
      <c r="EB58" s="60"/>
      <c r="EC58" s="60"/>
      <c r="ED58" s="60"/>
      <c r="EE58" s="60"/>
      <c r="EF58" s="60"/>
      <c r="EG58" s="60"/>
      <c r="EH58" s="60"/>
      <c r="EI58" s="60"/>
      <c r="EJ58" s="60"/>
      <c r="EK58" s="60"/>
      <c r="EL58" s="60"/>
      <c r="EM58" s="60"/>
      <c r="EN58" s="60"/>
      <c r="EO58" s="60"/>
      <c r="EP58" s="60"/>
      <c r="EQ58" s="60"/>
      <c r="ER58" s="60"/>
      <c r="ES58" s="60"/>
      <c r="ET58" s="60"/>
      <c r="EU58" s="60"/>
      <c r="EV58" s="60"/>
      <c r="EW58" s="60"/>
      <c r="EX58" s="60"/>
      <c r="EY58" s="60"/>
      <c r="EZ58" s="60"/>
      <c r="FA58" s="60"/>
      <c r="FB58" s="60"/>
      <c r="FC58" s="60"/>
      <c r="FD58" s="60"/>
      <c r="FE58" s="60"/>
      <c r="FF58" s="60"/>
      <c r="FG58" s="60"/>
      <c r="FH58" s="60"/>
      <c r="FI58" s="60"/>
      <c r="FJ58" s="60"/>
      <c r="FK58" s="60"/>
      <c r="FL58" s="60"/>
      <c r="FM58" s="60"/>
      <c r="FN58" s="60"/>
      <c r="FO58" s="60"/>
      <c r="FP58" s="60"/>
      <c r="FQ58" s="60"/>
      <c r="FR58" s="60"/>
      <c r="FS58" s="60"/>
      <c r="FT58" s="60"/>
      <c r="FU58" s="60"/>
      <c r="FV58" s="60"/>
      <c r="FW58" s="60"/>
      <c r="FX58" s="60"/>
      <c r="FY58" s="60"/>
      <c r="FZ58" s="60"/>
      <c r="GA58" s="60"/>
      <c r="GB58" s="60"/>
      <c r="GC58" s="60"/>
      <c r="GD58" s="60"/>
      <c r="GE58" s="60"/>
      <c r="GF58" s="60"/>
      <c r="GG58" s="60"/>
      <c r="GH58" s="60"/>
      <c r="GI58" s="60"/>
      <c r="GJ58" s="60"/>
      <c r="GK58" s="60"/>
      <c r="GL58" s="60"/>
      <c r="GM58" s="60"/>
      <c r="GN58" s="60"/>
      <c r="GO58" s="60"/>
      <c r="GP58" s="60"/>
      <c r="GQ58" s="60"/>
      <c r="GR58" s="60"/>
      <c r="GS58" s="60"/>
      <c r="GT58" s="60"/>
      <c r="GU58" s="60"/>
      <c r="GV58" s="60"/>
      <c r="GW58" s="60"/>
      <c r="GX58" s="60"/>
      <c r="GY58" s="60"/>
      <c r="GZ58" s="60"/>
      <c r="HA58" s="60"/>
      <c r="HB58" s="60"/>
      <c r="HC58" s="60"/>
      <c r="HD58" s="60"/>
      <c r="HE58" s="60"/>
      <c r="HF58" s="60"/>
      <c r="HG58" s="60"/>
      <c r="HH58" s="60"/>
      <c r="HI58" s="60"/>
      <c r="HJ58" s="60"/>
      <c r="HK58" s="60"/>
      <c r="HL58" s="60"/>
      <c r="HM58" s="60"/>
      <c r="HN58" s="60"/>
      <c r="HO58" s="60"/>
      <c r="HP58" s="60"/>
      <c r="HQ58" s="60"/>
      <c r="HR58" s="60"/>
      <c r="HS58" s="60"/>
      <c r="HT58" s="60"/>
      <c r="HU58" s="60"/>
      <c r="HV58" s="60"/>
      <c r="HW58" s="60"/>
      <c r="HX58" s="60"/>
      <c r="HY58" s="60"/>
      <c r="HZ58" s="60"/>
      <c r="IA58" s="60"/>
      <c r="IB58" s="60"/>
      <c r="IC58" s="60"/>
      <c r="ID58" s="60"/>
      <c r="IE58" s="60"/>
      <c r="IF58" s="60"/>
      <c r="IG58" s="60"/>
      <c r="IH58" s="60"/>
      <c r="II58" s="60"/>
      <c r="IJ58" s="60"/>
      <c r="IK58" s="60"/>
      <c r="IL58" s="60"/>
      <c r="IM58" s="60"/>
      <c r="IN58" s="60"/>
      <c r="IO58" s="60"/>
      <c r="IP58" s="60"/>
      <c r="IQ58" s="60"/>
      <c r="IR58" s="60"/>
      <c r="IS58" s="60"/>
      <c r="IT58" s="60"/>
      <c r="IU58" s="60"/>
      <c r="IV58" s="60"/>
      <c r="IW58" s="60"/>
      <c r="IX58" s="60"/>
      <c r="IY58" s="60"/>
      <c r="IZ58" s="60"/>
      <c r="JA58" s="60"/>
      <c r="JB58" s="60"/>
      <c r="JC58" s="60"/>
      <c r="JD58" s="60"/>
      <c r="JE58" s="60"/>
      <c r="JF58" s="60"/>
      <c r="JG58" s="60"/>
      <c r="JH58" s="60"/>
      <c r="JI58" s="60"/>
      <c r="JJ58" s="60"/>
      <c r="JK58" s="60"/>
      <c r="JL58" s="60"/>
      <c r="JM58" s="60"/>
      <c r="JN58" s="60"/>
      <c r="JO58" s="60"/>
      <c r="JP58" s="60"/>
      <c r="JQ58" s="60"/>
      <c r="JR58" s="60"/>
      <c r="JS58" s="60"/>
      <c r="JT58" s="60"/>
      <c r="JU58" s="60"/>
      <c r="JV58" s="60"/>
      <c r="JW58" s="60"/>
      <c r="JX58" s="60"/>
      <c r="JY58" s="60"/>
      <c r="JZ58" s="60"/>
      <c r="KA58" s="60"/>
      <c r="KB58" s="60"/>
      <c r="KC58" s="60"/>
      <c r="KD58" s="60"/>
      <c r="KE58" s="60"/>
      <c r="KF58" s="60"/>
      <c r="KG58" s="60"/>
      <c r="KH58" s="60"/>
      <c r="KI58" s="60"/>
      <c r="KJ58" s="60"/>
      <c r="KK58" s="60"/>
      <c r="KL58" s="60"/>
      <c r="KM58" s="60"/>
      <c r="KN58" s="60"/>
      <c r="KO58" s="60"/>
      <c r="KP58" s="60"/>
      <c r="KQ58" s="60"/>
      <c r="KR58" s="60"/>
      <c r="KS58" s="60"/>
      <c r="KT58" s="60"/>
      <c r="KU58" s="60"/>
      <c r="KV58" s="60"/>
      <c r="KW58" s="60"/>
      <c r="KX58" s="60"/>
      <c r="KY58" s="60"/>
      <c r="KZ58" s="60"/>
      <c r="LA58" s="60"/>
      <c r="LB58" s="60"/>
      <c r="LC58" s="60"/>
      <c r="LD58" s="60"/>
      <c r="LE58" s="60"/>
      <c r="LF58" s="60"/>
      <c r="LG58" s="60"/>
      <c r="LH58" s="60"/>
    </row>
    <row r="59" spans="1:320" s="17" customFormat="1" x14ac:dyDescent="0.25">
      <c r="A59" s="147"/>
      <c r="E59" s="156"/>
      <c r="F59" s="156"/>
      <c r="G59" s="156"/>
      <c r="H59" s="156"/>
      <c r="I59" s="156"/>
      <c r="J59" s="156"/>
      <c r="K59" s="156"/>
      <c r="L59" s="156"/>
      <c r="M59" s="156"/>
      <c r="N59" s="156"/>
      <c r="O59" s="156"/>
      <c r="P59" s="156"/>
      <c r="Q59" s="156"/>
      <c r="R59" s="156"/>
      <c r="S59" s="156"/>
      <c r="AC59" s="60"/>
      <c r="AD59" s="60"/>
      <c r="AE59" s="60"/>
      <c r="AF59" s="60"/>
      <c r="AG59" s="60"/>
      <c r="AH59" s="60"/>
      <c r="AI59" s="60"/>
      <c r="AJ59" s="60"/>
      <c r="AK59" s="60"/>
      <c r="AL59" s="60"/>
      <c r="AM59" s="60"/>
      <c r="AN59" s="60"/>
      <c r="AO59" s="60"/>
      <c r="AP59" s="60"/>
      <c r="AQ59" s="60"/>
      <c r="AR59" s="60"/>
      <c r="AS59" s="60"/>
      <c r="AT59" s="60"/>
      <c r="AU59" s="60"/>
      <c r="AV59" s="60"/>
      <c r="AW59" s="60"/>
      <c r="AX59" s="60"/>
      <c r="AY59" s="60"/>
      <c r="AZ59" s="60"/>
      <c r="BA59" s="60"/>
      <c r="BB59" s="60"/>
      <c r="BC59" s="60"/>
      <c r="BD59" s="60"/>
      <c r="BE59" s="60"/>
      <c r="BF59" s="60"/>
      <c r="BG59" s="60"/>
      <c r="BH59" s="60"/>
      <c r="BI59" s="60"/>
      <c r="BJ59" s="60"/>
      <c r="BK59" s="60"/>
      <c r="BL59" s="60"/>
      <c r="BM59" s="60"/>
      <c r="BN59" s="60"/>
      <c r="BO59" s="60"/>
      <c r="BP59" s="60"/>
      <c r="BQ59" s="60"/>
      <c r="BR59" s="60"/>
      <c r="BS59" s="60"/>
      <c r="BT59" s="60"/>
      <c r="BU59" s="60"/>
      <c r="BV59" s="60"/>
      <c r="BW59" s="60"/>
      <c r="BX59" s="60"/>
      <c r="BY59" s="60"/>
      <c r="BZ59" s="60"/>
      <c r="CA59" s="60"/>
      <c r="CB59" s="60"/>
      <c r="CC59" s="60"/>
      <c r="CD59" s="60"/>
      <c r="CE59" s="60"/>
      <c r="CF59" s="60"/>
      <c r="CG59" s="60"/>
      <c r="CH59" s="60"/>
      <c r="CI59" s="60"/>
      <c r="CJ59" s="60"/>
      <c r="CK59" s="60"/>
      <c r="CL59" s="60"/>
      <c r="CM59" s="60"/>
      <c r="CN59" s="60"/>
      <c r="CO59" s="60"/>
      <c r="CP59" s="60"/>
      <c r="CQ59" s="60"/>
      <c r="CR59" s="60"/>
      <c r="CS59" s="60"/>
      <c r="CT59" s="60"/>
      <c r="CU59" s="60"/>
      <c r="CV59" s="60"/>
      <c r="CW59" s="60"/>
      <c r="CX59" s="60"/>
      <c r="CY59" s="60"/>
      <c r="CZ59" s="60"/>
      <c r="DA59" s="60"/>
      <c r="DB59" s="60"/>
      <c r="DC59" s="60"/>
      <c r="DD59" s="60"/>
      <c r="DE59" s="60"/>
      <c r="DF59" s="60"/>
      <c r="DG59" s="60"/>
      <c r="DH59" s="60"/>
      <c r="DI59" s="60"/>
      <c r="DJ59" s="60"/>
      <c r="DK59" s="60"/>
      <c r="DL59" s="60"/>
      <c r="DM59" s="60"/>
      <c r="DN59" s="60"/>
      <c r="DO59" s="60"/>
      <c r="DP59" s="60"/>
      <c r="DQ59" s="60"/>
      <c r="DR59" s="60"/>
      <c r="DS59" s="60"/>
      <c r="DT59" s="60"/>
      <c r="DU59" s="60"/>
      <c r="DV59" s="60"/>
      <c r="DW59" s="60"/>
      <c r="DX59" s="60"/>
      <c r="DY59" s="60"/>
      <c r="DZ59" s="60"/>
      <c r="EA59" s="60"/>
      <c r="EB59" s="60"/>
      <c r="EC59" s="60"/>
      <c r="ED59" s="60"/>
      <c r="EE59" s="60"/>
      <c r="EF59" s="60"/>
      <c r="EG59" s="60"/>
      <c r="EH59" s="60"/>
      <c r="EI59" s="60"/>
      <c r="EJ59" s="60"/>
      <c r="EK59" s="60"/>
      <c r="EL59" s="60"/>
      <c r="EM59" s="60"/>
      <c r="EN59" s="60"/>
      <c r="EO59" s="60"/>
      <c r="EP59" s="60"/>
      <c r="EQ59" s="60"/>
      <c r="ER59" s="60"/>
      <c r="ES59" s="60"/>
      <c r="ET59" s="60"/>
      <c r="EU59" s="60"/>
      <c r="EV59" s="60"/>
      <c r="EW59" s="60"/>
      <c r="EX59" s="60"/>
      <c r="EY59" s="60"/>
      <c r="EZ59" s="60"/>
      <c r="FA59" s="60"/>
      <c r="FB59" s="60"/>
      <c r="FC59" s="60"/>
      <c r="FD59" s="60"/>
      <c r="FE59" s="60"/>
      <c r="FF59" s="60"/>
      <c r="FG59" s="60"/>
      <c r="FH59" s="60"/>
      <c r="FI59" s="60"/>
      <c r="FJ59" s="60"/>
      <c r="FK59" s="60"/>
      <c r="FL59" s="60"/>
      <c r="FM59" s="60"/>
      <c r="FN59" s="60"/>
      <c r="FO59" s="60"/>
      <c r="FP59" s="60"/>
      <c r="FQ59" s="60"/>
      <c r="FR59" s="60"/>
      <c r="FS59" s="60"/>
      <c r="FT59" s="60"/>
      <c r="FU59" s="60"/>
      <c r="FV59" s="60"/>
      <c r="FW59" s="60"/>
      <c r="FX59" s="60"/>
      <c r="FY59" s="60"/>
      <c r="FZ59" s="60"/>
      <c r="GA59" s="60"/>
      <c r="GB59" s="60"/>
      <c r="GC59" s="60"/>
      <c r="GD59" s="60"/>
      <c r="GE59" s="60"/>
      <c r="GF59" s="60"/>
      <c r="GG59" s="60"/>
      <c r="GH59" s="60"/>
      <c r="GI59" s="60"/>
      <c r="GJ59" s="60"/>
      <c r="GK59" s="60"/>
      <c r="GL59" s="60"/>
      <c r="GM59" s="60"/>
      <c r="GN59" s="60"/>
      <c r="GO59" s="60"/>
      <c r="GP59" s="60"/>
      <c r="GQ59" s="60"/>
      <c r="GR59" s="60"/>
      <c r="GS59" s="60"/>
      <c r="GT59" s="60"/>
      <c r="GU59" s="60"/>
      <c r="GV59" s="60"/>
      <c r="GW59" s="60"/>
      <c r="GX59" s="60"/>
      <c r="GY59" s="60"/>
      <c r="GZ59" s="60"/>
      <c r="HA59" s="60"/>
      <c r="HB59" s="60"/>
      <c r="HC59" s="60"/>
      <c r="HD59" s="60"/>
      <c r="HE59" s="60"/>
      <c r="HF59" s="60"/>
      <c r="HG59" s="60"/>
      <c r="HH59" s="60"/>
      <c r="HI59" s="60"/>
      <c r="HJ59" s="60"/>
      <c r="HK59" s="60"/>
      <c r="HL59" s="60"/>
      <c r="HM59" s="60"/>
      <c r="HN59" s="60"/>
      <c r="HO59" s="60"/>
      <c r="HP59" s="60"/>
      <c r="HQ59" s="60"/>
      <c r="HR59" s="60"/>
      <c r="HS59" s="60"/>
      <c r="HT59" s="60"/>
      <c r="HU59" s="60"/>
      <c r="HV59" s="60"/>
      <c r="HW59" s="60"/>
      <c r="HX59" s="60"/>
      <c r="HY59" s="60"/>
      <c r="HZ59" s="60"/>
      <c r="IA59" s="60"/>
      <c r="IB59" s="60"/>
      <c r="IC59" s="60"/>
      <c r="ID59" s="60"/>
      <c r="IE59" s="60"/>
      <c r="IF59" s="60"/>
      <c r="IG59" s="60"/>
      <c r="IH59" s="60"/>
      <c r="II59" s="60"/>
      <c r="IJ59" s="60"/>
      <c r="IK59" s="60"/>
      <c r="IL59" s="60"/>
      <c r="IM59" s="60"/>
      <c r="IN59" s="60"/>
      <c r="IO59" s="60"/>
      <c r="IP59" s="60"/>
      <c r="IQ59" s="60"/>
      <c r="IR59" s="60"/>
      <c r="IS59" s="60"/>
      <c r="IT59" s="60"/>
      <c r="IU59" s="60"/>
      <c r="IV59" s="60"/>
      <c r="IW59" s="60"/>
      <c r="IX59" s="60"/>
      <c r="IY59" s="60"/>
      <c r="IZ59" s="60"/>
      <c r="JA59" s="60"/>
      <c r="JB59" s="60"/>
      <c r="JC59" s="60"/>
      <c r="JD59" s="60"/>
      <c r="JE59" s="60"/>
      <c r="JF59" s="60"/>
      <c r="JG59" s="60"/>
      <c r="JH59" s="60"/>
      <c r="JI59" s="60"/>
      <c r="JJ59" s="60"/>
      <c r="JK59" s="60"/>
      <c r="JL59" s="60"/>
      <c r="JM59" s="60"/>
      <c r="JN59" s="60"/>
      <c r="JO59" s="60"/>
      <c r="JP59" s="60"/>
      <c r="JQ59" s="60"/>
      <c r="JR59" s="60"/>
      <c r="JS59" s="60"/>
      <c r="JT59" s="60"/>
      <c r="JU59" s="60"/>
      <c r="JV59" s="60"/>
      <c r="JW59" s="60"/>
      <c r="JX59" s="60"/>
      <c r="JY59" s="60"/>
      <c r="JZ59" s="60"/>
      <c r="KA59" s="60"/>
      <c r="KB59" s="60"/>
      <c r="KC59" s="60"/>
      <c r="KD59" s="60"/>
      <c r="KE59" s="60"/>
      <c r="KF59" s="60"/>
      <c r="KG59" s="60"/>
      <c r="KH59" s="60"/>
      <c r="KI59" s="60"/>
      <c r="KJ59" s="60"/>
      <c r="KK59" s="60"/>
      <c r="KL59" s="60"/>
      <c r="KM59" s="60"/>
      <c r="KN59" s="60"/>
      <c r="KO59" s="60"/>
      <c r="KP59" s="60"/>
      <c r="KQ59" s="60"/>
      <c r="KR59" s="60"/>
      <c r="KS59" s="60"/>
      <c r="KT59" s="60"/>
      <c r="KU59" s="60"/>
      <c r="KV59" s="60"/>
      <c r="KW59" s="60"/>
      <c r="KX59" s="60"/>
      <c r="KY59" s="60"/>
      <c r="KZ59" s="60"/>
      <c r="LA59" s="60"/>
      <c r="LB59" s="60"/>
      <c r="LC59" s="60"/>
      <c r="LD59" s="60"/>
      <c r="LE59" s="60"/>
      <c r="LF59" s="60"/>
      <c r="LG59" s="60"/>
      <c r="LH59" s="60"/>
    </row>
    <row r="60" spans="1:320" s="17" customFormat="1" x14ac:dyDescent="0.25">
      <c r="A60" s="147"/>
      <c r="E60" s="156"/>
      <c r="F60" s="156"/>
      <c r="G60" s="156"/>
      <c r="H60" s="156"/>
      <c r="I60" s="156"/>
      <c r="J60" s="156"/>
      <c r="K60" s="156"/>
      <c r="L60" s="156"/>
      <c r="M60" s="156"/>
      <c r="N60" s="156"/>
      <c r="O60" s="156"/>
      <c r="P60" s="156"/>
      <c r="Q60" s="156"/>
      <c r="R60" s="156"/>
      <c r="S60" s="156"/>
      <c r="AC60" s="60"/>
      <c r="AD60" s="60"/>
      <c r="AE60" s="60"/>
      <c r="AF60" s="60"/>
      <c r="AG60" s="60"/>
      <c r="AH60" s="60"/>
      <c r="AI60" s="60"/>
      <c r="AJ60" s="60"/>
      <c r="AK60" s="60"/>
      <c r="AL60" s="60"/>
      <c r="AM60" s="60"/>
      <c r="AN60" s="60"/>
      <c r="AO60" s="60"/>
      <c r="AP60" s="60"/>
      <c r="AQ60" s="60"/>
      <c r="AR60" s="60"/>
      <c r="AS60" s="60"/>
      <c r="AT60" s="60"/>
      <c r="AU60" s="60"/>
      <c r="AV60" s="60"/>
      <c r="AW60" s="60"/>
      <c r="AX60" s="60"/>
      <c r="AY60" s="60"/>
      <c r="AZ60" s="60"/>
      <c r="BA60" s="60"/>
      <c r="BB60" s="60"/>
      <c r="BC60" s="60"/>
      <c r="BD60" s="60"/>
      <c r="BE60" s="60"/>
      <c r="BF60" s="60"/>
      <c r="BG60" s="60"/>
      <c r="BH60" s="60"/>
      <c r="BI60" s="60"/>
      <c r="BJ60" s="60"/>
      <c r="BK60" s="60"/>
      <c r="BL60" s="60"/>
      <c r="BM60" s="60"/>
      <c r="BN60" s="60"/>
      <c r="BO60" s="60"/>
      <c r="BP60" s="60"/>
      <c r="BQ60" s="60"/>
      <c r="BR60" s="60"/>
      <c r="BS60" s="60"/>
      <c r="BT60" s="60"/>
      <c r="BU60" s="60"/>
      <c r="BV60" s="60"/>
      <c r="BW60" s="60"/>
      <c r="BX60" s="60"/>
      <c r="BY60" s="60"/>
      <c r="BZ60" s="60"/>
      <c r="CA60" s="60"/>
      <c r="CB60" s="60"/>
      <c r="CC60" s="60"/>
      <c r="CD60" s="60"/>
      <c r="CE60" s="60"/>
      <c r="CF60" s="60"/>
      <c r="CG60" s="60"/>
      <c r="CH60" s="60"/>
      <c r="CI60" s="60"/>
      <c r="CJ60" s="60"/>
      <c r="CK60" s="60"/>
      <c r="CL60" s="60"/>
      <c r="CM60" s="60"/>
      <c r="CN60" s="60"/>
      <c r="CO60" s="60"/>
      <c r="CP60" s="60"/>
      <c r="CQ60" s="60"/>
      <c r="CR60" s="60"/>
      <c r="CS60" s="60"/>
      <c r="CT60" s="60"/>
      <c r="CU60" s="60"/>
      <c r="CV60" s="60"/>
      <c r="CW60" s="60"/>
      <c r="CX60" s="60"/>
      <c r="CY60" s="60"/>
      <c r="CZ60" s="60"/>
      <c r="DA60" s="60"/>
      <c r="DB60" s="60"/>
      <c r="DC60" s="60"/>
      <c r="DD60" s="60"/>
      <c r="DE60" s="60"/>
      <c r="DF60" s="60"/>
      <c r="DG60" s="60"/>
      <c r="DH60" s="60"/>
      <c r="DI60" s="60"/>
      <c r="DJ60" s="60"/>
      <c r="DK60" s="60"/>
      <c r="DL60" s="60"/>
      <c r="DM60" s="60"/>
      <c r="DN60" s="60"/>
      <c r="DO60" s="60"/>
      <c r="DP60" s="60"/>
      <c r="DQ60" s="60"/>
      <c r="DR60" s="60"/>
      <c r="DS60" s="60"/>
      <c r="DT60" s="60"/>
      <c r="DU60" s="60"/>
      <c r="DV60" s="60"/>
      <c r="DW60" s="60"/>
      <c r="DX60" s="60"/>
      <c r="DY60" s="60"/>
      <c r="DZ60" s="60"/>
      <c r="EA60" s="60"/>
      <c r="EB60" s="60"/>
      <c r="EC60" s="60"/>
      <c r="ED60" s="60"/>
      <c r="EE60" s="60"/>
      <c r="EF60" s="60"/>
      <c r="EG60" s="60"/>
      <c r="EH60" s="60"/>
      <c r="EI60" s="60"/>
      <c r="EJ60" s="60"/>
      <c r="EK60" s="60"/>
      <c r="EL60" s="60"/>
      <c r="EM60" s="60"/>
      <c r="EN60" s="60"/>
      <c r="EO60" s="60"/>
      <c r="EP60" s="60"/>
      <c r="EQ60" s="60"/>
      <c r="ER60" s="60"/>
      <c r="ES60" s="60"/>
      <c r="ET60" s="60"/>
      <c r="EU60" s="60"/>
      <c r="EV60" s="60"/>
      <c r="EW60" s="60"/>
      <c r="EX60" s="60"/>
      <c r="EY60" s="60"/>
      <c r="EZ60" s="60"/>
      <c r="FA60" s="60"/>
      <c r="FB60" s="60"/>
      <c r="FC60" s="60"/>
      <c r="FD60" s="60"/>
      <c r="FE60" s="60"/>
      <c r="FF60" s="60"/>
      <c r="FG60" s="60"/>
      <c r="FH60" s="60"/>
      <c r="FI60" s="60"/>
      <c r="FJ60" s="60"/>
      <c r="FK60" s="60"/>
      <c r="FL60" s="60"/>
      <c r="FM60" s="60"/>
      <c r="FN60" s="60"/>
      <c r="FO60" s="60"/>
      <c r="FP60" s="60"/>
      <c r="FQ60" s="60"/>
      <c r="FR60" s="60"/>
      <c r="FS60" s="60"/>
      <c r="FT60" s="60"/>
      <c r="FU60" s="60"/>
      <c r="FV60" s="60"/>
      <c r="FW60" s="60"/>
      <c r="FX60" s="60"/>
      <c r="FY60" s="60"/>
      <c r="FZ60" s="60"/>
      <c r="GA60" s="60"/>
      <c r="GB60" s="60"/>
      <c r="GC60" s="60"/>
      <c r="GD60" s="60"/>
      <c r="GE60" s="60"/>
      <c r="GF60" s="60"/>
      <c r="GG60" s="60"/>
      <c r="GH60" s="60"/>
      <c r="GI60" s="60"/>
      <c r="GJ60" s="60"/>
      <c r="GK60" s="60"/>
      <c r="GL60" s="60"/>
      <c r="GM60" s="60"/>
      <c r="GN60" s="60"/>
      <c r="GO60" s="60"/>
      <c r="GP60" s="60"/>
      <c r="GQ60" s="60"/>
      <c r="GR60" s="60"/>
      <c r="GS60" s="60"/>
      <c r="GT60" s="60"/>
      <c r="GU60" s="60"/>
      <c r="GV60" s="60"/>
      <c r="GW60" s="60"/>
      <c r="GX60" s="60"/>
      <c r="GY60" s="60"/>
      <c r="GZ60" s="60"/>
      <c r="HA60" s="60"/>
      <c r="HB60" s="60"/>
      <c r="HC60" s="60"/>
      <c r="HD60" s="60"/>
      <c r="HE60" s="60"/>
      <c r="HF60" s="60"/>
      <c r="HG60" s="60"/>
      <c r="HH60" s="60"/>
      <c r="HI60" s="60"/>
      <c r="HJ60" s="60"/>
      <c r="HK60" s="60"/>
      <c r="HL60" s="60"/>
      <c r="HM60" s="60"/>
      <c r="HN60" s="60"/>
      <c r="HO60" s="60"/>
      <c r="HP60" s="60"/>
      <c r="HQ60" s="60"/>
      <c r="HR60" s="60"/>
      <c r="HS60" s="60"/>
      <c r="HT60" s="60"/>
      <c r="HU60" s="60"/>
      <c r="HV60" s="60"/>
      <c r="HW60" s="60"/>
      <c r="HX60" s="60"/>
      <c r="HY60" s="60"/>
      <c r="HZ60" s="60"/>
      <c r="IA60" s="60"/>
      <c r="IB60" s="60"/>
      <c r="IC60" s="60"/>
      <c r="ID60" s="60"/>
      <c r="IE60" s="60"/>
      <c r="IF60" s="60"/>
      <c r="IG60" s="60"/>
      <c r="IH60" s="60"/>
      <c r="II60" s="60"/>
      <c r="IJ60" s="60"/>
      <c r="IK60" s="60"/>
      <c r="IL60" s="60"/>
      <c r="IM60" s="60"/>
      <c r="IN60" s="60"/>
      <c r="IO60" s="60"/>
      <c r="IP60" s="60"/>
      <c r="IQ60" s="60"/>
      <c r="IR60" s="60"/>
      <c r="IS60" s="60"/>
      <c r="IT60" s="60"/>
      <c r="IU60" s="60"/>
      <c r="IV60" s="60"/>
      <c r="IW60" s="60"/>
      <c r="IX60" s="60"/>
      <c r="IY60" s="60"/>
      <c r="IZ60" s="60"/>
      <c r="JA60" s="60"/>
      <c r="JB60" s="60"/>
      <c r="JC60" s="60"/>
      <c r="JD60" s="60"/>
      <c r="JE60" s="60"/>
      <c r="JF60" s="60"/>
      <c r="JG60" s="60"/>
      <c r="JH60" s="60"/>
      <c r="JI60" s="60"/>
      <c r="JJ60" s="60"/>
      <c r="JK60" s="60"/>
      <c r="JL60" s="60"/>
      <c r="JM60" s="60"/>
      <c r="JN60" s="60"/>
      <c r="JO60" s="60"/>
      <c r="JP60" s="60"/>
      <c r="JQ60" s="60"/>
      <c r="JR60" s="60"/>
      <c r="JS60" s="60"/>
      <c r="JT60" s="60"/>
      <c r="JU60" s="60"/>
      <c r="JV60" s="60"/>
      <c r="JW60" s="60"/>
      <c r="JX60" s="60"/>
      <c r="JY60" s="60"/>
      <c r="JZ60" s="60"/>
      <c r="KA60" s="60"/>
      <c r="KB60" s="60"/>
      <c r="KC60" s="60"/>
      <c r="KD60" s="60"/>
      <c r="KE60" s="60"/>
      <c r="KF60" s="60"/>
      <c r="KG60" s="60"/>
      <c r="KH60" s="60"/>
      <c r="KI60" s="60"/>
      <c r="KJ60" s="60"/>
      <c r="KK60" s="60"/>
      <c r="KL60" s="60"/>
      <c r="KM60" s="60"/>
      <c r="KN60" s="60"/>
      <c r="KO60" s="60"/>
      <c r="KP60" s="60"/>
      <c r="KQ60" s="60"/>
      <c r="KR60" s="60"/>
      <c r="KS60" s="60"/>
      <c r="KT60" s="60"/>
      <c r="KU60" s="60"/>
      <c r="KV60" s="60"/>
      <c r="KW60" s="60"/>
      <c r="KX60" s="60"/>
      <c r="KY60" s="60"/>
      <c r="KZ60" s="60"/>
      <c r="LA60" s="60"/>
      <c r="LB60" s="60"/>
      <c r="LC60" s="60"/>
      <c r="LD60" s="60"/>
      <c r="LE60" s="60"/>
      <c r="LF60" s="60"/>
      <c r="LG60" s="60"/>
      <c r="LH60" s="60"/>
    </row>
    <row r="61" spans="1:320" s="17" customFormat="1" ht="14.1" customHeight="1" x14ac:dyDescent="0.25">
      <c r="A61" s="147"/>
      <c r="E61" s="156"/>
      <c r="F61" s="156"/>
      <c r="G61" s="156"/>
      <c r="H61" s="156"/>
      <c r="I61" s="156"/>
      <c r="J61" s="156"/>
      <c r="K61" s="156"/>
      <c r="L61" s="156"/>
      <c r="M61" s="156"/>
      <c r="N61" s="156"/>
      <c r="O61" s="156"/>
      <c r="P61" s="156"/>
      <c r="Q61" s="156"/>
      <c r="R61" s="156"/>
      <c r="S61" s="156"/>
      <c r="AC61" s="60"/>
      <c r="AD61" s="60"/>
      <c r="AE61" s="60"/>
      <c r="AF61" s="60"/>
      <c r="AG61" s="60"/>
      <c r="AH61" s="60"/>
      <c r="AI61" s="60"/>
      <c r="AJ61" s="60"/>
      <c r="AK61" s="60"/>
      <c r="AL61" s="60"/>
      <c r="AM61" s="60"/>
      <c r="AN61" s="60"/>
      <c r="AO61" s="60"/>
      <c r="AP61" s="60"/>
      <c r="AQ61" s="60"/>
      <c r="AR61" s="60"/>
      <c r="AS61" s="60"/>
      <c r="AT61" s="60"/>
      <c r="AU61" s="60"/>
      <c r="AV61" s="60"/>
      <c r="AW61" s="60"/>
      <c r="AX61" s="60"/>
      <c r="AY61" s="60"/>
      <c r="AZ61" s="60"/>
      <c r="BA61" s="60"/>
      <c r="BB61" s="60"/>
      <c r="BC61" s="60"/>
      <c r="BD61" s="60"/>
      <c r="BE61" s="60"/>
      <c r="BF61" s="60"/>
      <c r="BG61" s="60"/>
      <c r="BH61" s="60"/>
      <c r="BI61" s="60"/>
      <c r="BJ61" s="60"/>
      <c r="BK61" s="60"/>
      <c r="BL61" s="60"/>
      <c r="BM61" s="60"/>
      <c r="BN61" s="60"/>
      <c r="BO61" s="60"/>
      <c r="BP61" s="60"/>
      <c r="BQ61" s="60"/>
      <c r="BR61" s="60"/>
      <c r="BS61" s="60"/>
      <c r="BT61" s="60"/>
      <c r="BU61" s="60"/>
      <c r="BV61" s="60"/>
      <c r="BW61" s="60"/>
      <c r="BX61" s="60"/>
      <c r="BY61" s="60"/>
      <c r="BZ61" s="60"/>
      <c r="CA61" s="60"/>
      <c r="CB61" s="60"/>
      <c r="CC61" s="60"/>
      <c r="CD61" s="60"/>
      <c r="CE61" s="60"/>
      <c r="CF61" s="60"/>
      <c r="CG61" s="60"/>
      <c r="CH61" s="60"/>
      <c r="CI61" s="60"/>
      <c r="CJ61" s="60"/>
      <c r="CK61" s="60"/>
      <c r="CL61" s="60"/>
      <c r="CM61" s="60"/>
      <c r="CN61" s="60"/>
      <c r="CO61" s="60"/>
      <c r="CP61" s="60"/>
      <c r="CQ61" s="60"/>
      <c r="CR61" s="60"/>
      <c r="CS61" s="60"/>
      <c r="CT61" s="60"/>
      <c r="CU61" s="60"/>
      <c r="CV61" s="60"/>
      <c r="CW61" s="60"/>
      <c r="CX61" s="60"/>
      <c r="CY61" s="60"/>
      <c r="CZ61" s="60"/>
      <c r="DA61" s="60"/>
      <c r="DB61" s="60"/>
      <c r="DC61" s="60"/>
      <c r="DD61" s="60"/>
      <c r="DE61" s="60"/>
      <c r="DF61" s="60"/>
      <c r="DG61" s="60"/>
      <c r="DH61" s="60"/>
      <c r="DI61" s="60"/>
      <c r="DJ61" s="60"/>
      <c r="DK61" s="60"/>
      <c r="DL61" s="60"/>
      <c r="DM61" s="60"/>
      <c r="DN61" s="60"/>
      <c r="DO61" s="60"/>
      <c r="DP61" s="60"/>
      <c r="DQ61" s="60"/>
      <c r="DR61" s="60"/>
      <c r="DS61" s="60"/>
      <c r="DT61" s="60"/>
      <c r="DU61" s="60"/>
      <c r="DV61" s="60"/>
      <c r="DW61" s="60"/>
      <c r="DX61" s="60"/>
      <c r="DY61" s="60"/>
      <c r="DZ61" s="60"/>
      <c r="EA61" s="60"/>
      <c r="EB61" s="60"/>
      <c r="EC61" s="60"/>
      <c r="ED61" s="60"/>
      <c r="EE61" s="60"/>
      <c r="EF61" s="60"/>
      <c r="EG61" s="60"/>
      <c r="EH61" s="60"/>
      <c r="EI61" s="60"/>
      <c r="EJ61" s="60"/>
      <c r="EK61" s="60"/>
      <c r="EL61" s="60"/>
      <c r="EM61" s="60"/>
      <c r="EN61" s="60"/>
      <c r="EO61" s="60"/>
      <c r="EP61" s="60"/>
      <c r="EQ61" s="60"/>
      <c r="ER61" s="60"/>
      <c r="ES61" s="60"/>
      <c r="ET61" s="60"/>
      <c r="EU61" s="60"/>
      <c r="EV61" s="60"/>
      <c r="EW61" s="60"/>
      <c r="EX61" s="60"/>
      <c r="EY61" s="60"/>
      <c r="EZ61" s="60"/>
      <c r="FA61" s="60"/>
      <c r="FB61" s="60"/>
      <c r="FC61" s="60"/>
      <c r="FD61" s="60"/>
      <c r="FE61" s="60"/>
      <c r="FF61" s="60"/>
      <c r="FG61" s="60"/>
      <c r="FH61" s="60"/>
      <c r="FI61" s="60"/>
      <c r="FJ61" s="60"/>
      <c r="FK61" s="60"/>
      <c r="FL61" s="60"/>
      <c r="FM61" s="60"/>
      <c r="FN61" s="60"/>
      <c r="FO61" s="60"/>
      <c r="FP61" s="60"/>
      <c r="FQ61" s="60"/>
      <c r="FR61" s="60"/>
      <c r="FS61" s="60"/>
      <c r="FT61" s="60"/>
      <c r="FU61" s="60"/>
      <c r="FV61" s="60"/>
      <c r="FW61" s="60"/>
      <c r="FX61" s="60"/>
      <c r="FY61" s="60"/>
      <c r="FZ61" s="60"/>
      <c r="GA61" s="60"/>
      <c r="GB61" s="60"/>
      <c r="GC61" s="60"/>
      <c r="GD61" s="60"/>
      <c r="GE61" s="60"/>
      <c r="GF61" s="60"/>
      <c r="GG61" s="60"/>
      <c r="GH61" s="60"/>
      <c r="GI61" s="60"/>
      <c r="GJ61" s="60"/>
      <c r="GK61" s="60"/>
      <c r="GL61" s="60"/>
      <c r="GM61" s="60"/>
      <c r="GN61" s="60"/>
      <c r="GO61" s="60"/>
      <c r="GP61" s="60"/>
      <c r="GQ61" s="60"/>
      <c r="GR61" s="60"/>
      <c r="GS61" s="60"/>
      <c r="GT61" s="60"/>
      <c r="GU61" s="60"/>
      <c r="GV61" s="60"/>
      <c r="GW61" s="60"/>
      <c r="GX61" s="60"/>
      <c r="GY61" s="60"/>
      <c r="GZ61" s="60"/>
      <c r="HA61" s="60"/>
      <c r="HB61" s="60"/>
      <c r="HC61" s="60"/>
      <c r="HD61" s="60"/>
      <c r="HE61" s="60"/>
      <c r="HF61" s="60"/>
      <c r="HG61" s="60"/>
      <c r="HH61" s="60"/>
      <c r="HI61" s="60"/>
      <c r="HJ61" s="60"/>
      <c r="HK61" s="60"/>
      <c r="HL61" s="60"/>
      <c r="HM61" s="60"/>
      <c r="HN61" s="60"/>
      <c r="HO61" s="60"/>
      <c r="HP61" s="60"/>
      <c r="HQ61" s="60"/>
      <c r="HR61" s="60"/>
      <c r="HS61" s="60"/>
      <c r="HT61" s="60"/>
      <c r="HU61" s="60"/>
      <c r="HV61" s="60"/>
      <c r="HW61" s="60"/>
      <c r="HX61" s="60"/>
      <c r="HY61" s="60"/>
      <c r="HZ61" s="60"/>
      <c r="IA61" s="60"/>
      <c r="IB61" s="60"/>
      <c r="IC61" s="60"/>
      <c r="ID61" s="60"/>
      <c r="IE61" s="60"/>
      <c r="IF61" s="60"/>
      <c r="IG61" s="60"/>
      <c r="IH61" s="60"/>
      <c r="II61" s="60"/>
      <c r="IJ61" s="60"/>
      <c r="IK61" s="60"/>
      <c r="IL61" s="60"/>
      <c r="IM61" s="60"/>
      <c r="IN61" s="60"/>
      <c r="IO61" s="60"/>
      <c r="IP61" s="60"/>
      <c r="IQ61" s="60"/>
      <c r="IR61" s="60"/>
      <c r="IS61" s="60"/>
      <c r="IT61" s="60"/>
      <c r="IU61" s="60"/>
      <c r="IV61" s="60"/>
      <c r="IW61" s="60"/>
      <c r="IX61" s="60"/>
      <c r="IY61" s="60"/>
      <c r="IZ61" s="60"/>
      <c r="JA61" s="60"/>
      <c r="JB61" s="60"/>
      <c r="JC61" s="60"/>
      <c r="JD61" s="60"/>
      <c r="JE61" s="60"/>
      <c r="JF61" s="60"/>
      <c r="JG61" s="60"/>
      <c r="JH61" s="60"/>
      <c r="JI61" s="60"/>
      <c r="JJ61" s="60"/>
      <c r="JK61" s="60"/>
      <c r="JL61" s="60"/>
      <c r="JM61" s="60"/>
      <c r="JN61" s="60"/>
      <c r="JO61" s="60"/>
      <c r="JP61" s="60"/>
      <c r="JQ61" s="60"/>
      <c r="JR61" s="60"/>
      <c r="JS61" s="60"/>
      <c r="JT61" s="60"/>
      <c r="JU61" s="60"/>
      <c r="JV61" s="60"/>
      <c r="JW61" s="60"/>
      <c r="JX61" s="60"/>
      <c r="JY61" s="60"/>
      <c r="JZ61" s="60"/>
      <c r="KA61" s="60"/>
      <c r="KB61" s="60"/>
      <c r="KC61" s="60"/>
      <c r="KD61" s="60"/>
      <c r="KE61" s="60"/>
      <c r="KF61" s="60"/>
      <c r="KG61" s="60"/>
      <c r="KH61" s="60"/>
      <c r="KI61" s="60"/>
      <c r="KJ61" s="60"/>
      <c r="KK61" s="60"/>
      <c r="KL61" s="60"/>
      <c r="KM61" s="60"/>
      <c r="KN61" s="60"/>
      <c r="KO61" s="60"/>
      <c r="KP61" s="60"/>
      <c r="KQ61" s="60"/>
      <c r="KR61" s="60"/>
      <c r="KS61" s="60"/>
      <c r="KT61" s="60"/>
      <c r="KU61" s="60"/>
      <c r="KV61" s="60"/>
      <c r="KW61" s="60"/>
      <c r="KX61" s="60"/>
      <c r="KY61" s="60"/>
      <c r="KZ61" s="60"/>
      <c r="LA61" s="60"/>
      <c r="LB61" s="60"/>
      <c r="LC61" s="60"/>
      <c r="LD61" s="60"/>
      <c r="LE61" s="60"/>
      <c r="LF61" s="60"/>
      <c r="LG61" s="60"/>
      <c r="LH61" s="60"/>
    </row>
    <row r="62" spans="1:320" s="17" customFormat="1" ht="14.1" customHeight="1" x14ac:dyDescent="0.25">
      <c r="A62" s="147"/>
      <c r="E62" s="156"/>
      <c r="F62" s="156"/>
      <c r="G62" s="156"/>
      <c r="H62" s="156"/>
      <c r="I62" s="156"/>
      <c r="J62" s="156"/>
      <c r="K62" s="156"/>
      <c r="L62" s="156"/>
      <c r="M62" s="156"/>
      <c r="N62" s="156"/>
      <c r="O62" s="156"/>
      <c r="P62" s="156"/>
      <c r="Q62" s="156"/>
      <c r="R62" s="156"/>
      <c r="S62" s="156"/>
      <c r="AC62" s="60"/>
      <c r="AD62" s="60"/>
      <c r="AE62" s="60"/>
      <c r="AF62" s="60"/>
      <c r="AG62" s="60"/>
      <c r="AH62" s="60"/>
      <c r="AI62" s="60"/>
      <c r="AJ62" s="60"/>
      <c r="AK62" s="60"/>
      <c r="AL62" s="60"/>
      <c r="AM62" s="60"/>
      <c r="AN62" s="60"/>
      <c r="AO62" s="60"/>
      <c r="AP62" s="60"/>
      <c r="AQ62" s="60"/>
      <c r="AR62" s="60"/>
      <c r="AS62" s="60"/>
      <c r="AT62" s="60"/>
      <c r="AU62" s="60"/>
      <c r="AV62" s="60"/>
      <c r="AW62" s="60"/>
      <c r="AX62" s="60"/>
      <c r="AY62" s="60"/>
      <c r="AZ62" s="60"/>
      <c r="BA62" s="60"/>
      <c r="BB62" s="60"/>
      <c r="BC62" s="60"/>
      <c r="BD62" s="60"/>
      <c r="BE62" s="60"/>
      <c r="BF62" s="60"/>
      <c r="BG62" s="60"/>
      <c r="BH62" s="60"/>
      <c r="BI62" s="60"/>
      <c r="BJ62" s="60"/>
      <c r="BK62" s="60"/>
      <c r="BL62" s="60"/>
      <c r="BM62" s="60"/>
      <c r="BN62" s="60"/>
      <c r="BO62" s="60"/>
      <c r="BP62" s="60"/>
      <c r="BQ62" s="60"/>
      <c r="BR62" s="60"/>
      <c r="BS62" s="60"/>
      <c r="BT62" s="60"/>
      <c r="BU62" s="60"/>
      <c r="BV62" s="60"/>
      <c r="BW62" s="60"/>
      <c r="BX62" s="60"/>
      <c r="BY62" s="60"/>
      <c r="BZ62" s="60"/>
      <c r="CA62" s="60"/>
      <c r="CB62" s="60"/>
      <c r="CC62" s="60"/>
      <c r="CD62" s="60"/>
      <c r="CE62" s="60"/>
      <c r="CF62" s="60"/>
      <c r="CG62" s="60"/>
      <c r="CH62" s="60"/>
      <c r="CI62" s="60"/>
      <c r="CJ62" s="60"/>
      <c r="CK62" s="60"/>
      <c r="CL62" s="60"/>
      <c r="CM62" s="60"/>
      <c r="CN62" s="60"/>
      <c r="CO62" s="60"/>
      <c r="CP62" s="60"/>
      <c r="CQ62" s="60"/>
      <c r="CR62" s="60"/>
      <c r="CS62" s="60"/>
      <c r="CT62" s="60"/>
      <c r="CU62" s="60"/>
      <c r="CV62" s="60"/>
      <c r="CW62" s="60"/>
      <c r="CX62" s="60"/>
      <c r="CY62" s="60"/>
      <c r="CZ62" s="60"/>
      <c r="DA62" s="60"/>
      <c r="DB62" s="60"/>
      <c r="DC62" s="60"/>
      <c r="DD62" s="60"/>
      <c r="DE62" s="60"/>
      <c r="DF62" s="60"/>
      <c r="DG62" s="60"/>
      <c r="DH62" s="60"/>
      <c r="DI62" s="60"/>
      <c r="DJ62" s="60"/>
      <c r="DK62" s="60"/>
      <c r="DL62" s="60"/>
      <c r="DM62" s="60"/>
      <c r="DN62" s="60"/>
      <c r="DO62" s="60"/>
      <c r="DP62" s="60"/>
      <c r="DQ62" s="60"/>
      <c r="DR62" s="60"/>
      <c r="DS62" s="60"/>
      <c r="DT62" s="60"/>
      <c r="DU62" s="60"/>
      <c r="DV62" s="60"/>
      <c r="DW62" s="60"/>
      <c r="DX62" s="60"/>
      <c r="DY62" s="60"/>
      <c r="DZ62" s="60"/>
      <c r="EA62" s="60"/>
      <c r="EB62" s="60"/>
      <c r="EC62" s="60"/>
      <c r="ED62" s="60"/>
      <c r="EE62" s="60"/>
      <c r="EF62" s="60"/>
      <c r="EG62" s="60"/>
      <c r="EH62" s="60"/>
      <c r="EI62" s="60"/>
      <c r="EJ62" s="60"/>
      <c r="EK62" s="60"/>
      <c r="EL62" s="60"/>
      <c r="EM62" s="60"/>
      <c r="EN62" s="60"/>
      <c r="EO62" s="60"/>
      <c r="EP62" s="60"/>
      <c r="EQ62" s="60"/>
      <c r="ER62" s="60"/>
      <c r="ES62" s="60"/>
      <c r="ET62" s="60"/>
      <c r="EU62" s="60"/>
      <c r="EV62" s="60"/>
      <c r="EW62" s="60"/>
      <c r="EX62" s="60"/>
      <c r="EY62" s="60"/>
      <c r="EZ62" s="60"/>
      <c r="FA62" s="60"/>
      <c r="FB62" s="60"/>
      <c r="FC62" s="60"/>
      <c r="FD62" s="60"/>
      <c r="FE62" s="60"/>
      <c r="FF62" s="60"/>
      <c r="FG62" s="60"/>
      <c r="FH62" s="60"/>
      <c r="FI62" s="60"/>
      <c r="FJ62" s="60"/>
      <c r="FK62" s="60"/>
      <c r="FL62" s="60"/>
      <c r="FM62" s="60"/>
      <c r="FN62" s="60"/>
      <c r="FO62" s="60"/>
      <c r="FP62" s="60"/>
      <c r="FQ62" s="60"/>
      <c r="FR62" s="60"/>
      <c r="FS62" s="60"/>
      <c r="FT62" s="60"/>
      <c r="FU62" s="60"/>
      <c r="FV62" s="60"/>
      <c r="FW62" s="60"/>
      <c r="FX62" s="60"/>
      <c r="FY62" s="60"/>
      <c r="FZ62" s="60"/>
      <c r="GA62" s="60"/>
      <c r="GB62" s="60"/>
      <c r="GC62" s="60"/>
      <c r="GD62" s="60"/>
      <c r="GE62" s="60"/>
      <c r="GF62" s="60"/>
      <c r="GG62" s="60"/>
      <c r="GH62" s="60"/>
      <c r="GI62" s="60"/>
      <c r="GJ62" s="60"/>
      <c r="GK62" s="60"/>
      <c r="GL62" s="60"/>
      <c r="GM62" s="60"/>
      <c r="GN62" s="60"/>
      <c r="GO62" s="60"/>
      <c r="GP62" s="60"/>
      <c r="GQ62" s="60"/>
      <c r="GR62" s="60"/>
      <c r="GS62" s="60"/>
      <c r="GT62" s="60"/>
      <c r="GU62" s="60"/>
      <c r="GV62" s="60"/>
      <c r="GW62" s="60"/>
      <c r="GX62" s="60"/>
      <c r="GY62" s="60"/>
      <c r="GZ62" s="60"/>
      <c r="HA62" s="60"/>
      <c r="HB62" s="60"/>
      <c r="HC62" s="60"/>
      <c r="HD62" s="60"/>
      <c r="HE62" s="60"/>
      <c r="HF62" s="60"/>
      <c r="HG62" s="60"/>
      <c r="HH62" s="60"/>
      <c r="HI62" s="60"/>
      <c r="HJ62" s="60"/>
      <c r="HK62" s="60"/>
      <c r="HL62" s="60"/>
      <c r="HM62" s="60"/>
      <c r="HN62" s="60"/>
      <c r="HO62" s="60"/>
      <c r="HP62" s="60"/>
      <c r="HQ62" s="60"/>
      <c r="HR62" s="60"/>
      <c r="HS62" s="60"/>
      <c r="HT62" s="60"/>
      <c r="HU62" s="60"/>
      <c r="HV62" s="60"/>
      <c r="HW62" s="60"/>
      <c r="HX62" s="60"/>
      <c r="HY62" s="60"/>
      <c r="HZ62" s="60"/>
      <c r="IA62" s="60"/>
      <c r="IB62" s="60"/>
      <c r="IC62" s="60"/>
      <c r="ID62" s="60"/>
      <c r="IE62" s="60"/>
      <c r="IF62" s="60"/>
      <c r="IG62" s="60"/>
      <c r="IH62" s="60"/>
      <c r="II62" s="60"/>
      <c r="IJ62" s="60"/>
      <c r="IK62" s="60"/>
      <c r="IL62" s="60"/>
      <c r="IM62" s="60"/>
      <c r="IN62" s="60"/>
      <c r="IO62" s="60"/>
      <c r="IP62" s="60"/>
      <c r="IQ62" s="60"/>
      <c r="IR62" s="60"/>
      <c r="IS62" s="60"/>
      <c r="IT62" s="60"/>
      <c r="IU62" s="60"/>
      <c r="IV62" s="60"/>
      <c r="IW62" s="60"/>
      <c r="IX62" s="60"/>
      <c r="IY62" s="60"/>
      <c r="IZ62" s="60"/>
      <c r="JA62" s="60"/>
      <c r="JB62" s="60"/>
      <c r="JC62" s="60"/>
      <c r="JD62" s="60"/>
      <c r="JE62" s="60"/>
      <c r="JF62" s="60"/>
      <c r="JG62" s="60"/>
      <c r="JH62" s="60"/>
      <c r="JI62" s="60"/>
      <c r="JJ62" s="60"/>
      <c r="JK62" s="60"/>
      <c r="JL62" s="60"/>
      <c r="JM62" s="60"/>
      <c r="JN62" s="60"/>
      <c r="JO62" s="60"/>
      <c r="JP62" s="60"/>
      <c r="JQ62" s="60"/>
      <c r="JR62" s="60"/>
      <c r="JS62" s="60"/>
      <c r="JT62" s="60"/>
      <c r="JU62" s="60"/>
      <c r="JV62" s="60"/>
      <c r="JW62" s="60"/>
      <c r="JX62" s="60"/>
      <c r="JY62" s="60"/>
      <c r="JZ62" s="60"/>
      <c r="KA62" s="60"/>
      <c r="KB62" s="60"/>
      <c r="KC62" s="60"/>
      <c r="KD62" s="60"/>
      <c r="KE62" s="60"/>
      <c r="KF62" s="60"/>
      <c r="KG62" s="60"/>
      <c r="KH62" s="60"/>
      <c r="KI62" s="60"/>
      <c r="KJ62" s="60"/>
      <c r="KK62" s="60"/>
      <c r="KL62" s="60"/>
      <c r="KM62" s="60"/>
      <c r="KN62" s="60"/>
      <c r="KO62" s="60"/>
      <c r="KP62" s="60"/>
      <c r="KQ62" s="60"/>
      <c r="KR62" s="60"/>
      <c r="KS62" s="60"/>
      <c r="KT62" s="60"/>
      <c r="KU62" s="60"/>
      <c r="KV62" s="60"/>
      <c r="KW62" s="60"/>
      <c r="KX62" s="60"/>
      <c r="KY62" s="60"/>
      <c r="KZ62" s="60"/>
      <c r="LA62" s="60"/>
      <c r="LB62" s="60"/>
      <c r="LC62" s="60"/>
      <c r="LD62" s="60"/>
      <c r="LE62" s="60"/>
      <c r="LF62" s="60"/>
      <c r="LG62" s="60"/>
      <c r="LH62" s="60"/>
    </row>
    <row r="65" spans="1:320" s="17" customFormat="1" ht="14.1" customHeight="1" x14ac:dyDescent="0.25">
      <c r="A65" s="147"/>
      <c r="E65" s="156"/>
      <c r="F65" s="156"/>
      <c r="G65" s="156"/>
      <c r="H65" s="156"/>
      <c r="I65" s="156"/>
      <c r="J65" s="156"/>
      <c r="K65" s="156"/>
      <c r="L65" s="156"/>
      <c r="M65" s="156"/>
      <c r="N65" s="156"/>
      <c r="O65" s="156"/>
      <c r="P65" s="156"/>
      <c r="Q65" s="156"/>
      <c r="R65" s="156"/>
      <c r="S65" s="156"/>
      <c r="AC65" s="60"/>
      <c r="AD65" s="60"/>
      <c r="AE65" s="60"/>
      <c r="AF65" s="60"/>
      <c r="AG65" s="60"/>
      <c r="AH65" s="60"/>
      <c r="AI65" s="60"/>
      <c r="AJ65" s="60"/>
      <c r="AK65" s="60"/>
      <c r="AL65" s="60"/>
      <c r="AM65" s="60"/>
      <c r="AN65" s="60"/>
      <c r="AO65" s="60"/>
      <c r="AP65" s="60"/>
      <c r="AQ65" s="60"/>
      <c r="AR65" s="60"/>
      <c r="AS65" s="60"/>
      <c r="AT65" s="60"/>
      <c r="AU65" s="60"/>
      <c r="AV65" s="60"/>
      <c r="AW65" s="60"/>
      <c r="AX65" s="60"/>
      <c r="AY65" s="60"/>
      <c r="AZ65" s="60"/>
      <c r="BA65" s="60"/>
      <c r="BB65" s="60"/>
      <c r="BC65" s="60"/>
      <c r="BD65" s="60"/>
      <c r="BE65" s="60"/>
      <c r="BF65" s="60"/>
      <c r="BG65" s="60"/>
      <c r="BH65" s="60"/>
      <c r="BI65" s="60"/>
      <c r="BJ65" s="60"/>
      <c r="BK65" s="60"/>
      <c r="BL65" s="60"/>
      <c r="BM65" s="60"/>
      <c r="BN65" s="60"/>
      <c r="BO65" s="60"/>
      <c r="BP65" s="60"/>
      <c r="BQ65" s="60"/>
      <c r="BR65" s="60"/>
      <c r="BS65" s="60"/>
      <c r="BT65" s="60"/>
      <c r="BU65" s="60"/>
      <c r="BV65" s="60"/>
      <c r="BW65" s="60"/>
      <c r="BX65" s="60"/>
      <c r="BY65" s="60"/>
      <c r="BZ65" s="60"/>
      <c r="CA65" s="60"/>
      <c r="CB65" s="60"/>
      <c r="CC65" s="60"/>
      <c r="CD65" s="60"/>
      <c r="CE65" s="60"/>
      <c r="CF65" s="60"/>
      <c r="CG65" s="60"/>
      <c r="CH65" s="60"/>
      <c r="CI65" s="60"/>
      <c r="CJ65" s="60"/>
      <c r="CK65" s="60"/>
      <c r="CL65" s="60"/>
      <c r="CM65" s="60"/>
      <c r="CN65" s="60"/>
      <c r="CO65" s="60"/>
      <c r="CP65" s="60"/>
      <c r="CQ65" s="60"/>
      <c r="CR65" s="60"/>
      <c r="CS65" s="60"/>
      <c r="CT65" s="60"/>
      <c r="CU65" s="60"/>
      <c r="CV65" s="60"/>
      <c r="CW65" s="60"/>
      <c r="CX65" s="60"/>
      <c r="CY65" s="60"/>
      <c r="CZ65" s="60"/>
      <c r="DA65" s="60"/>
      <c r="DB65" s="60"/>
      <c r="DC65" s="60"/>
      <c r="DD65" s="60"/>
      <c r="DE65" s="60"/>
      <c r="DF65" s="60"/>
      <c r="DG65" s="60"/>
      <c r="DH65" s="60"/>
      <c r="DI65" s="60"/>
      <c r="DJ65" s="60"/>
      <c r="DK65" s="60"/>
      <c r="DL65" s="60"/>
      <c r="DM65" s="60"/>
      <c r="DN65" s="60"/>
      <c r="DO65" s="60"/>
      <c r="DP65" s="60"/>
      <c r="DQ65" s="60"/>
      <c r="DR65" s="60"/>
      <c r="DS65" s="60"/>
      <c r="DT65" s="60"/>
      <c r="DU65" s="60"/>
      <c r="DV65" s="60"/>
      <c r="DW65" s="60"/>
      <c r="DX65" s="60"/>
      <c r="DY65" s="60"/>
      <c r="DZ65" s="60"/>
      <c r="EA65" s="60"/>
      <c r="EB65" s="60"/>
      <c r="EC65" s="60"/>
      <c r="ED65" s="60"/>
      <c r="EE65" s="60"/>
      <c r="EF65" s="60"/>
      <c r="EG65" s="60"/>
      <c r="EH65" s="60"/>
      <c r="EI65" s="60"/>
      <c r="EJ65" s="60"/>
      <c r="EK65" s="60"/>
      <c r="EL65" s="60"/>
      <c r="EM65" s="60"/>
      <c r="EN65" s="60"/>
      <c r="EO65" s="60"/>
      <c r="EP65" s="60"/>
      <c r="EQ65" s="60"/>
      <c r="ER65" s="60"/>
      <c r="ES65" s="60"/>
      <c r="ET65" s="60"/>
      <c r="EU65" s="60"/>
      <c r="EV65" s="60"/>
      <c r="EW65" s="60"/>
      <c r="EX65" s="60"/>
      <c r="EY65" s="60"/>
      <c r="EZ65" s="60"/>
      <c r="FA65" s="60"/>
      <c r="FB65" s="60"/>
      <c r="FC65" s="60"/>
      <c r="FD65" s="60"/>
      <c r="FE65" s="60"/>
      <c r="FF65" s="60"/>
      <c r="FG65" s="60"/>
      <c r="FH65" s="60"/>
      <c r="FI65" s="60"/>
      <c r="FJ65" s="60"/>
      <c r="FK65" s="60"/>
      <c r="FL65" s="60"/>
      <c r="FM65" s="60"/>
      <c r="FN65" s="60"/>
      <c r="FO65" s="60"/>
      <c r="FP65" s="60"/>
      <c r="FQ65" s="60"/>
      <c r="FR65" s="60"/>
      <c r="FS65" s="60"/>
      <c r="FT65" s="60"/>
      <c r="FU65" s="60"/>
      <c r="FV65" s="60"/>
      <c r="FW65" s="60"/>
      <c r="FX65" s="60"/>
      <c r="FY65" s="60"/>
      <c r="FZ65" s="60"/>
      <c r="GA65" s="60"/>
      <c r="GB65" s="60"/>
      <c r="GC65" s="60"/>
      <c r="GD65" s="60"/>
      <c r="GE65" s="60"/>
      <c r="GF65" s="60"/>
      <c r="GG65" s="60"/>
      <c r="GH65" s="60"/>
      <c r="GI65" s="60"/>
      <c r="GJ65" s="60"/>
      <c r="GK65" s="60"/>
      <c r="GL65" s="60"/>
      <c r="GM65" s="60"/>
      <c r="GN65" s="60"/>
      <c r="GO65" s="60"/>
      <c r="GP65" s="60"/>
      <c r="GQ65" s="60"/>
      <c r="GR65" s="60"/>
      <c r="GS65" s="60"/>
      <c r="GT65" s="60"/>
      <c r="GU65" s="60"/>
      <c r="GV65" s="60"/>
      <c r="GW65" s="60"/>
      <c r="GX65" s="60"/>
      <c r="GY65" s="60"/>
      <c r="GZ65" s="60"/>
      <c r="HA65" s="60"/>
      <c r="HB65" s="60"/>
      <c r="HC65" s="60"/>
      <c r="HD65" s="60"/>
      <c r="HE65" s="60"/>
      <c r="HF65" s="60"/>
      <c r="HG65" s="60"/>
      <c r="HH65" s="60"/>
      <c r="HI65" s="60"/>
      <c r="HJ65" s="60"/>
      <c r="HK65" s="60"/>
      <c r="HL65" s="60"/>
      <c r="HM65" s="60"/>
      <c r="HN65" s="60"/>
      <c r="HO65" s="60"/>
      <c r="HP65" s="60"/>
      <c r="HQ65" s="60"/>
      <c r="HR65" s="60"/>
      <c r="HS65" s="60"/>
      <c r="HT65" s="60"/>
      <c r="HU65" s="60"/>
      <c r="HV65" s="60"/>
      <c r="HW65" s="60"/>
      <c r="HX65" s="60"/>
      <c r="HY65" s="60"/>
      <c r="HZ65" s="60"/>
      <c r="IA65" s="60"/>
      <c r="IB65" s="60"/>
      <c r="IC65" s="60"/>
      <c r="ID65" s="60"/>
      <c r="IE65" s="60"/>
      <c r="IF65" s="60"/>
      <c r="IG65" s="60"/>
      <c r="IH65" s="60"/>
      <c r="II65" s="60"/>
      <c r="IJ65" s="60"/>
      <c r="IK65" s="60"/>
      <c r="IL65" s="60"/>
      <c r="IM65" s="60"/>
      <c r="IN65" s="60"/>
      <c r="IO65" s="60"/>
      <c r="IP65" s="60"/>
      <c r="IQ65" s="60"/>
      <c r="IR65" s="60"/>
      <c r="IS65" s="60"/>
      <c r="IT65" s="60"/>
      <c r="IU65" s="60"/>
      <c r="IV65" s="60"/>
      <c r="IW65" s="60"/>
      <c r="IX65" s="60"/>
      <c r="IY65" s="60"/>
      <c r="IZ65" s="60"/>
      <c r="JA65" s="60"/>
      <c r="JB65" s="60"/>
      <c r="JC65" s="60"/>
      <c r="JD65" s="60"/>
      <c r="JE65" s="60"/>
      <c r="JF65" s="60"/>
      <c r="JG65" s="60"/>
      <c r="JH65" s="60"/>
      <c r="JI65" s="60"/>
      <c r="JJ65" s="60"/>
      <c r="JK65" s="60"/>
      <c r="JL65" s="60"/>
      <c r="JM65" s="60"/>
      <c r="JN65" s="60"/>
      <c r="JO65" s="60"/>
      <c r="JP65" s="60"/>
      <c r="JQ65" s="60"/>
      <c r="JR65" s="60"/>
      <c r="JS65" s="60"/>
      <c r="JT65" s="60"/>
      <c r="JU65" s="60"/>
      <c r="JV65" s="60"/>
      <c r="JW65" s="60"/>
      <c r="JX65" s="60"/>
      <c r="JY65" s="60"/>
      <c r="JZ65" s="60"/>
      <c r="KA65" s="60"/>
      <c r="KB65" s="60"/>
      <c r="KC65" s="60"/>
      <c r="KD65" s="60"/>
      <c r="KE65" s="60"/>
      <c r="KF65" s="60"/>
      <c r="KG65" s="60"/>
      <c r="KH65" s="60"/>
      <c r="KI65" s="60"/>
      <c r="KJ65" s="60"/>
      <c r="KK65" s="60"/>
      <c r="KL65" s="60"/>
      <c r="KM65" s="60"/>
      <c r="KN65" s="60"/>
      <c r="KO65" s="60"/>
      <c r="KP65" s="60"/>
      <c r="KQ65" s="60"/>
      <c r="KR65" s="60"/>
      <c r="KS65" s="60"/>
      <c r="KT65" s="60"/>
      <c r="KU65" s="60"/>
      <c r="KV65" s="60"/>
      <c r="KW65" s="60"/>
      <c r="KX65" s="60"/>
      <c r="KY65" s="60"/>
      <c r="KZ65" s="60"/>
      <c r="LA65" s="60"/>
      <c r="LB65" s="60"/>
      <c r="LC65" s="60"/>
      <c r="LD65" s="60"/>
      <c r="LE65" s="60"/>
      <c r="LF65" s="60"/>
      <c r="LG65" s="60"/>
      <c r="LH65" s="60"/>
    </row>
    <row r="66" spans="1:320" s="17" customFormat="1" x14ac:dyDescent="0.25">
      <c r="A66" s="147"/>
      <c r="E66" s="156"/>
      <c r="F66" s="156"/>
      <c r="G66" s="156"/>
      <c r="H66" s="156"/>
      <c r="I66" s="156"/>
      <c r="J66" s="156"/>
      <c r="K66" s="156"/>
      <c r="L66" s="156"/>
      <c r="M66" s="156"/>
      <c r="N66" s="156"/>
      <c r="O66" s="156"/>
      <c r="P66" s="156"/>
      <c r="Q66" s="156"/>
      <c r="R66" s="156"/>
      <c r="S66" s="156"/>
      <c r="AC66" s="60"/>
      <c r="AD66" s="60"/>
      <c r="AE66" s="60"/>
      <c r="AF66" s="60"/>
      <c r="AG66" s="60"/>
      <c r="AH66" s="60"/>
      <c r="AI66" s="60"/>
      <c r="AJ66" s="60"/>
      <c r="AK66" s="60"/>
      <c r="AL66" s="60"/>
      <c r="AM66" s="60"/>
      <c r="AN66" s="60"/>
      <c r="AO66" s="60"/>
      <c r="AP66" s="60"/>
      <c r="AQ66" s="60"/>
      <c r="AR66" s="60"/>
      <c r="AS66" s="60"/>
      <c r="AT66" s="60"/>
      <c r="AU66" s="60"/>
      <c r="AV66" s="60"/>
      <c r="AW66" s="60"/>
      <c r="AX66" s="60"/>
      <c r="AY66" s="60"/>
      <c r="AZ66" s="60"/>
      <c r="BA66" s="60"/>
      <c r="BB66" s="60"/>
      <c r="BC66" s="60"/>
      <c r="BD66" s="60"/>
      <c r="BE66" s="60"/>
      <c r="BF66" s="60"/>
      <c r="BG66" s="60"/>
      <c r="BH66" s="60"/>
      <c r="BI66" s="60"/>
      <c r="BJ66" s="60"/>
      <c r="BK66" s="60"/>
      <c r="BL66" s="60"/>
      <c r="BM66" s="60"/>
      <c r="BN66" s="60"/>
      <c r="BO66" s="60"/>
      <c r="BP66" s="60"/>
      <c r="BQ66" s="60"/>
      <c r="BR66" s="60"/>
      <c r="BS66" s="60"/>
      <c r="BT66" s="60"/>
      <c r="BU66" s="60"/>
      <c r="BV66" s="60"/>
      <c r="BW66" s="60"/>
      <c r="BX66" s="60"/>
      <c r="BY66" s="60"/>
      <c r="BZ66" s="60"/>
      <c r="CA66" s="60"/>
      <c r="CB66" s="60"/>
      <c r="CC66" s="60"/>
      <c r="CD66" s="60"/>
      <c r="CE66" s="60"/>
      <c r="CF66" s="60"/>
      <c r="CG66" s="60"/>
      <c r="CH66" s="60"/>
      <c r="CI66" s="60"/>
      <c r="CJ66" s="60"/>
      <c r="CK66" s="60"/>
      <c r="CL66" s="60"/>
      <c r="CM66" s="60"/>
      <c r="CN66" s="60"/>
      <c r="CO66" s="60"/>
      <c r="CP66" s="60"/>
      <c r="CQ66" s="60"/>
      <c r="CR66" s="60"/>
      <c r="CS66" s="60"/>
      <c r="CT66" s="60"/>
      <c r="CU66" s="60"/>
      <c r="CV66" s="60"/>
      <c r="CW66" s="60"/>
      <c r="CX66" s="60"/>
      <c r="CY66" s="60"/>
      <c r="CZ66" s="60"/>
      <c r="DA66" s="60"/>
      <c r="DB66" s="60"/>
      <c r="DC66" s="60"/>
      <c r="DD66" s="60"/>
      <c r="DE66" s="60"/>
      <c r="DF66" s="60"/>
      <c r="DG66" s="60"/>
      <c r="DH66" s="60"/>
      <c r="DI66" s="60"/>
      <c r="DJ66" s="60"/>
      <c r="DK66" s="60"/>
      <c r="DL66" s="60"/>
      <c r="DM66" s="60"/>
      <c r="DN66" s="60"/>
      <c r="DO66" s="60"/>
      <c r="DP66" s="60"/>
      <c r="DQ66" s="60"/>
      <c r="DR66" s="60"/>
      <c r="DS66" s="60"/>
      <c r="DT66" s="60"/>
      <c r="DU66" s="60"/>
      <c r="DV66" s="60"/>
      <c r="DW66" s="60"/>
      <c r="DX66" s="60"/>
      <c r="DY66" s="60"/>
      <c r="DZ66" s="60"/>
      <c r="EA66" s="60"/>
      <c r="EB66" s="60"/>
      <c r="EC66" s="60"/>
      <c r="ED66" s="60"/>
      <c r="EE66" s="60"/>
      <c r="EF66" s="60"/>
      <c r="EG66" s="60"/>
      <c r="EH66" s="60"/>
      <c r="EI66" s="60"/>
      <c r="EJ66" s="60"/>
      <c r="EK66" s="60"/>
      <c r="EL66" s="60"/>
      <c r="EM66" s="60"/>
      <c r="EN66" s="60"/>
      <c r="EO66" s="60"/>
      <c r="EP66" s="60"/>
      <c r="EQ66" s="60"/>
      <c r="ER66" s="60"/>
      <c r="ES66" s="60"/>
      <c r="ET66" s="60"/>
      <c r="EU66" s="60"/>
      <c r="EV66" s="60"/>
      <c r="EW66" s="60"/>
      <c r="EX66" s="60"/>
      <c r="EY66" s="60"/>
      <c r="EZ66" s="60"/>
      <c r="FA66" s="60"/>
      <c r="FB66" s="60"/>
      <c r="FC66" s="60"/>
      <c r="FD66" s="60"/>
      <c r="FE66" s="60"/>
      <c r="FF66" s="60"/>
      <c r="FG66" s="60"/>
      <c r="FH66" s="60"/>
      <c r="FI66" s="60"/>
      <c r="FJ66" s="60"/>
      <c r="FK66" s="60"/>
      <c r="FL66" s="60"/>
      <c r="FM66" s="60"/>
      <c r="FN66" s="60"/>
      <c r="FO66" s="60"/>
      <c r="FP66" s="60"/>
      <c r="FQ66" s="60"/>
      <c r="FR66" s="60"/>
      <c r="FS66" s="60"/>
      <c r="FT66" s="60"/>
      <c r="FU66" s="60"/>
      <c r="FV66" s="60"/>
      <c r="FW66" s="60"/>
      <c r="FX66" s="60"/>
      <c r="FY66" s="60"/>
      <c r="FZ66" s="60"/>
      <c r="GA66" s="60"/>
      <c r="GB66" s="60"/>
      <c r="GC66" s="60"/>
      <c r="GD66" s="60"/>
      <c r="GE66" s="60"/>
      <c r="GF66" s="60"/>
      <c r="GG66" s="60"/>
      <c r="GH66" s="60"/>
      <c r="GI66" s="60"/>
      <c r="GJ66" s="60"/>
      <c r="GK66" s="60"/>
      <c r="GL66" s="60"/>
      <c r="GM66" s="60"/>
      <c r="GN66" s="60"/>
      <c r="GO66" s="60"/>
      <c r="GP66" s="60"/>
      <c r="GQ66" s="60"/>
      <c r="GR66" s="60"/>
      <c r="GS66" s="60"/>
      <c r="GT66" s="60"/>
      <c r="GU66" s="60"/>
      <c r="GV66" s="60"/>
      <c r="GW66" s="60"/>
      <c r="GX66" s="60"/>
      <c r="GY66" s="60"/>
      <c r="GZ66" s="60"/>
      <c r="HA66" s="60"/>
      <c r="HB66" s="60"/>
      <c r="HC66" s="60"/>
      <c r="HD66" s="60"/>
      <c r="HE66" s="60"/>
      <c r="HF66" s="60"/>
      <c r="HG66" s="60"/>
      <c r="HH66" s="60"/>
      <c r="HI66" s="60"/>
      <c r="HJ66" s="60"/>
      <c r="HK66" s="60"/>
      <c r="HL66" s="60"/>
      <c r="HM66" s="60"/>
      <c r="HN66" s="60"/>
      <c r="HO66" s="60"/>
      <c r="HP66" s="60"/>
      <c r="HQ66" s="60"/>
      <c r="HR66" s="60"/>
      <c r="HS66" s="60"/>
      <c r="HT66" s="60"/>
      <c r="HU66" s="60"/>
      <c r="HV66" s="60"/>
      <c r="HW66" s="60"/>
      <c r="HX66" s="60"/>
      <c r="HY66" s="60"/>
      <c r="HZ66" s="60"/>
      <c r="IA66" s="60"/>
      <c r="IB66" s="60"/>
      <c r="IC66" s="60"/>
      <c r="ID66" s="60"/>
      <c r="IE66" s="60"/>
      <c r="IF66" s="60"/>
      <c r="IG66" s="60"/>
      <c r="IH66" s="60"/>
      <c r="II66" s="60"/>
      <c r="IJ66" s="60"/>
      <c r="IK66" s="60"/>
      <c r="IL66" s="60"/>
      <c r="IM66" s="60"/>
      <c r="IN66" s="60"/>
      <c r="IO66" s="60"/>
      <c r="IP66" s="60"/>
      <c r="IQ66" s="60"/>
      <c r="IR66" s="60"/>
      <c r="IS66" s="60"/>
      <c r="IT66" s="60"/>
      <c r="IU66" s="60"/>
      <c r="IV66" s="60"/>
      <c r="IW66" s="60"/>
      <c r="IX66" s="60"/>
      <c r="IY66" s="60"/>
      <c r="IZ66" s="60"/>
      <c r="JA66" s="60"/>
      <c r="JB66" s="60"/>
      <c r="JC66" s="60"/>
      <c r="JD66" s="60"/>
      <c r="JE66" s="60"/>
      <c r="JF66" s="60"/>
      <c r="JG66" s="60"/>
      <c r="JH66" s="60"/>
      <c r="JI66" s="60"/>
      <c r="JJ66" s="60"/>
      <c r="JK66" s="60"/>
      <c r="JL66" s="60"/>
      <c r="JM66" s="60"/>
      <c r="JN66" s="60"/>
      <c r="JO66" s="60"/>
      <c r="JP66" s="60"/>
      <c r="JQ66" s="60"/>
      <c r="JR66" s="60"/>
      <c r="JS66" s="60"/>
      <c r="JT66" s="60"/>
      <c r="JU66" s="60"/>
      <c r="JV66" s="60"/>
      <c r="JW66" s="60"/>
      <c r="JX66" s="60"/>
      <c r="JY66" s="60"/>
      <c r="JZ66" s="60"/>
      <c r="KA66" s="60"/>
      <c r="KB66" s="60"/>
      <c r="KC66" s="60"/>
      <c r="KD66" s="60"/>
      <c r="KE66" s="60"/>
      <c r="KF66" s="60"/>
      <c r="KG66" s="60"/>
      <c r="KH66" s="60"/>
      <c r="KI66" s="60"/>
      <c r="KJ66" s="60"/>
      <c r="KK66" s="60"/>
      <c r="KL66" s="60"/>
      <c r="KM66" s="60"/>
      <c r="KN66" s="60"/>
      <c r="KO66" s="60"/>
      <c r="KP66" s="60"/>
      <c r="KQ66" s="60"/>
      <c r="KR66" s="60"/>
      <c r="KS66" s="60"/>
      <c r="KT66" s="60"/>
      <c r="KU66" s="60"/>
      <c r="KV66" s="60"/>
      <c r="KW66" s="60"/>
      <c r="KX66" s="60"/>
      <c r="KY66" s="60"/>
      <c r="KZ66" s="60"/>
      <c r="LA66" s="60"/>
      <c r="LB66" s="60"/>
      <c r="LC66" s="60"/>
      <c r="LD66" s="60"/>
      <c r="LE66" s="60"/>
      <c r="LF66" s="60"/>
      <c r="LG66" s="60"/>
      <c r="LH66" s="60"/>
    </row>
    <row r="67" spans="1:320" s="17" customFormat="1" x14ac:dyDescent="0.25">
      <c r="A67" s="147"/>
      <c r="E67" s="156"/>
      <c r="F67" s="156"/>
      <c r="G67" s="156"/>
      <c r="H67" s="156"/>
      <c r="I67" s="156"/>
      <c r="J67" s="156"/>
      <c r="K67" s="156"/>
      <c r="L67" s="156"/>
      <c r="M67" s="156"/>
      <c r="N67" s="156"/>
      <c r="O67" s="156"/>
      <c r="P67" s="156"/>
      <c r="Q67" s="156"/>
      <c r="R67" s="156"/>
      <c r="S67" s="156"/>
      <c r="AC67" s="60"/>
      <c r="AD67" s="60"/>
      <c r="AE67" s="60"/>
      <c r="AF67" s="60"/>
      <c r="AG67" s="60"/>
      <c r="AH67" s="60"/>
      <c r="AI67" s="60"/>
      <c r="AJ67" s="60"/>
      <c r="AK67" s="60"/>
      <c r="AL67" s="60"/>
      <c r="AM67" s="60"/>
      <c r="AN67" s="60"/>
      <c r="AO67" s="60"/>
      <c r="AP67" s="60"/>
      <c r="AQ67" s="60"/>
      <c r="AR67" s="60"/>
      <c r="AS67" s="60"/>
      <c r="AT67" s="60"/>
      <c r="AU67" s="60"/>
      <c r="AV67" s="60"/>
      <c r="AW67" s="60"/>
      <c r="AX67" s="60"/>
      <c r="AY67" s="60"/>
      <c r="AZ67" s="60"/>
      <c r="BA67" s="60"/>
      <c r="BB67" s="60"/>
      <c r="BC67" s="60"/>
      <c r="BD67" s="60"/>
      <c r="BE67" s="60"/>
      <c r="BF67" s="60"/>
      <c r="BG67" s="60"/>
      <c r="BH67" s="60"/>
      <c r="BI67" s="60"/>
      <c r="BJ67" s="60"/>
      <c r="BK67" s="60"/>
      <c r="BL67" s="60"/>
      <c r="BM67" s="60"/>
      <c r="BN67" s="60"/>
      <c r="BO67" s="60"/>
      <c r="BP67" s="60"/>
      <c r="BQ67" s="60"/>
      <c r="BR67" s="60"/>
      <c r="BS67" s="60"/>
      <c r="BT67" s="60"/>
      <c r="BU67" s="60"/>
      <c r="BV67" s="60"/>
      <c r="BW67" s="60"/>
      <c r="BX67" s="60"/>
      <c r="BY67" s="60"/>
      <c r="BZ67" s="60"/>
      <c r="CA67" s="60"/>
      <c r="CB67" s="60"/>
      <c r="CC67" s="60"/>
      <c r="CD67" s="60"/>
      <c r="CE67" s="60"/>
      <c r="CF67" s="60"/>
      <c r="CG67" s="60"/>
      <c r="CH67" s="60"/>
      <c r="CI67" s="60"/>
      <c r="CJ67" s="60"/>
      <c r="CK67" s="60"/>
      <c r="CL67" s="60"/>
      <c r="CM67" s="60"/>
      <c r="CN67" s="60"/>
      <c r="CO67" s="60"/>
      <c r="CP67" s="60"/>
      <c r="CQ67" s="60"/>
      <c r="CR67" s="60"/>
      <c r="CS67" s="60"/>
      <c r="CT67" s="60"/>
      <c r="CU67" s="60"/>
      <c r="CV67" s="60"/>
      <c r="CW67" s="60"/>
      <c r="CX67" s="60"/>
      <c r="CY67" s="60"/>
      <c r="CZ67" s="60"/>
      <c r="DA67" s="60"/>
      <c r="DB67" s="60"/>
      <c r="DC67" s="60"/>
      <c r="DD67" s="60"/>
      <c r="DE67" s="60"/>
      <c r="DF67" s="60"/>
      <c r="DG67" s="60"/>
      <c r="DH67" s="60"/>
      <c r="DI67" s="60"/>
      <c r="DJ67" s="60"/>
      <c r="DK67" s="60"/>
      <c r="DL67" s="60"/>
      <c r="DM67" s="60"/>
      <c r="DN67" s="60"/>
      <c r="DO67" s="60"/>
      <c r="DP67" s="60"/>
      <c r="DQ67" s="60"/>
      <c r="DR67" s="60"/>
      <c r="DS67" s="60"/>
      <c r="DT67" s="60"/>
      <c r="DU67" s="60"/>
      <c r="DV67" s="60"/>
      <c r="DW67" s="60"/>
      <c r="DX67" s="60"/>
      <c r="DY67" s="60"/>
      <c r="DZ67" s="60"/>
      <c r="EA67" s="60"/>
      <c r="EB67" s="60"/>
      <c r="EC67" s="60"/>
      <c r="ED67" s="60"/>
      <c r="EE67" s="60"/>
      <c r="EF67" s="60"/>
      <c r="EG67" s="60"/>
      <c r="EH67" s="60"/>
      <c r="EI67" s="60"/>
      <c r="EJ67" s="60"/>
      <c r="EK67" s="60"/>
      <c r="EL67" s="60"/>
      <c r="EM67" s="60"/>
      <c r="EN67" s="60"/>
      <c r="EO67" s="60"/>
      <c r="EP67" s="60"/>
      <c r="EQ67" s="60"/>
      <c r="ER67" s="60"/>
      <c r="ES67" s="60"/>
      <c r="ET67" s="60"/>
      <c r="EU67" s="60"/>
      <c r="EV67" s="60"/>
      <c r="EW67" s="60"/>
      <c r="EX67" s="60"/>
      <c r="EY67" s="60"/>
      <c r="EZ67" s="60"/>
      <c r="FA67" s="60"/>
      <c r="FB67" s="60"/>
      <c r="FC67" s="60"/>
      <c r="FD67" s="60"/>
      <c r="FE67" s="60"/>
      <c r="FF67" s="60"/>
      <c r="FG67" s="60"/>
      <c r="FH67" s="60"/>
      <c r="FI67" s="60"/>
      <c r="FJ67" s="60"/>
      <c r="FK67" s="60"/>
      <c r="FL67" s="60"/>
      <c r="FM67" s="60"/>
      <c r="FN67" s="60"/>
      <c r="FO67" s="60"/>
      <c r="FP67" s="60"/>
      <c r="FQ67" s="60"/>
      <c r="FR67" s="60"/>
      <c r="FS67" s="60"/>
      <c r="FT67" s="60"/>
      <c r="FU67" s="60"/>
      <c r="FV67" s="60"/>
      <c r="FW67" s="60"/>
      <c r="FX67" s="60"/>
      <c r="FY67" s="60"/>
      <c r="FZ67" s="60"/>
      <c r="GA67" s="60"/>
      <c r="GB67" s="60"/>
      <c r="GC67" s="60"/>
      <c r="GD67" s="60"/>
      <c r="GE67" s="60"/>
      <c r="GF67" s="60"/>
      <c r="GG67" s="60"/>
      <c r="GH67" s="60"/>
      <c r="GI67" s="60"/>
      <c r="GJ67" s="60"/>
      <c r="GK67" s="60"/>
      <c r="GL67" s="60"/>
      <c r="GM67" s="60"/>
      <c r="GN67" s="60"/>
      <c r="GO67" s="60"/>
      <c r="GP67" s="60"/>
      <c r="GQ67" s="60"/>
      <c r="GR67" s="60"/>
      <c r="GS67" s="60"/>
      <c r="GT67" s="60"/>
      <c r="GU67" s="60"/>
      <c r="GV67" s="60"/>
      <c r="GW67" s="60"/>
      <c r="GX67" s="60"/>
      <c r="GY67" s="60"/>
      <c r="GZ67" s="60"/>
      <c r="HA67" s="60"/>
      <c r="HB67" s="60"/>
      <c r="HC67" s="60"/>
      <c r="HD67" s="60"/>
      <c r="HE67" s="60"/>
      <c r="HF67" s="60"/>
      <c r="HG67" s="60"/>
      <c r="HH67" s="60"/>
      <c r="HI67" s="60"/>
      <c r="HJ67" s="60"/>
      <c r="HK67" s="60"/>
      <c r="HL67" s="60"/>
      <c r="HM67" s="60"/>
      <c r="HN67" s="60"/>
      <c r="HO67" s="60"/>
      <c r="HP67" s="60"/>
      <c r="HQ67" s="60"/>
      <c r="HR67" s="60"/>
      <c r="HS67" s="60"/>
      <c r="HT67" s="60"/>
      <c r="HU67" s="60"/>
      <c r="HV67" s="60"/>
      <c r="HW67" s="60"/>
      <c r="HX67" s="60"/>
      <c r="HY67" s="60"/>
      <c r="HZ67" s="60"/>
      <c r="IA67" s="60"/>
      <c r="IB67" s="60"/>
      <c r="IC67" s="60"/>
      <c r="ID67" s="60"/>
      <c r="IE67" s="60"/>
      <c r="IF67" s="60"/>
      <c r="IG67" s="60"/>
      <c r="IH67" s="60"/>
      <c r="II67" s="60"/>
      <c r="IJ67" s="60"/>
      <c r="IK67" s="60"/>
      <c r="IL67" s="60"/>
      <c r="IM67" s="60"/>
      <c r="IN67" s="60"/>
      <c r="IO67" s="60"/>
      <c r="IP67" s="60"/>
      <c r="IQ67" s="60"/>
      <c r="IR67" s="60"/>
      <c r="IS67" s="60"/>
      <c r="IT67" s="60"/>
      <c r="IU67" s="60"/>
      <c r="IV67" s="60"/>
      <c r="IW67" s="60"/>
      <c r="IX67" s="60"/>
      <c r="IY67" s="60"/>
      <c r="IZ67" s="60"/>
      <c r="JA67" s="60"/>
      <c r="JB67" s="60"/>
      <c r="JC67" s="60"/>
      <c r="JD67" s="60"/>
      <c r="JE67" s="60"/>
      <c r="JF67" s="60"/>
      <c r="JG67" s="60"/>
      <c r="JH67" s="60"/>
      <c r="JI67" s="60"/>
      <c r="JJ67" s="60"/>
      <c r="JK67" s="60"/>
      <c r="JL67" s="60"/>
      <c r="JM67" s="60"/>
      <c r="JN67" s="60"/>
      <c r="JO67" s="60"/>
      <c r="JP67" s="60"/>
      <c r="JQ67" s="60"/>
      <c r="JR67" s="60"/>
      <c r="JS67" s="60"/>
      <c r="JT67" s="60"/>
      <c r="JU67" s="60"/>
      <c r="JV67" s="60"/>
      <c r="JW67" s="60"/>
      <c r="JX67" s="60"/>
      <c r="JY67" s="60"/>
      <c r="JZ67" s="60"/>
      <c r="KA67" s="60"/>
      <c r="KB67" s="60"/>
      <c r="KC67" s="60"/>
      <c r="KD67" s="60"/>
      <c r="KE67" s="60"/>
      <c r="KF67" s="60"/>
      <c r="KG67" s="60"/>
      <c r="KH67" s="60"/>
      <c r="KI67" s="60"/>
      <c r="KJ67" s="60"/>
      <c r="KK67" s="60"/>
      <c r="KL67" s="60"/>
      <c r="KM67" s="60"/>
      <c r="KN67" s="60"/>
      <c r="KO67" s="60"/>
      <c r="KP67" s="60"/>
      <c r="KQ67" s="60"/>
      <c r="KR67" s="60"/>
      <c r="KS67" s="60"/>
      <c r="KT67" s="60"/>
      <c r="KU67" s="60"/>
      <c r="KV67" s="60"/>
      <c r="KW67" s="60"/>
      <c r="KX67" s="60"/>
      <c r="KY67" s="60"/>
      <c r="KZ67" s="60"/>
      <c r="LA67" s="60"/>
      <c r="LB67" s="60"/>
      <c r="LC67" s="60"/>
      <c r="LD67" s="60"/>
      <c r="LE67" s="60"/>
      <c r="LF67" s="60"/>
      <c r="LG67" s="60"/>
      <c r="LH67" s="60"/>
    </row>
    <row r="68" spans="1:320" s="17" customFormat="1" x14ac:dyDescent="0.25">
      <c r="A68" s="147"/>
      <c r="E68" s="156"/>
      <c r="F68" s="156"/>
      <c r="G68" s="156"/>
      <c r="H68" s="156"/>
      <c r="I68" s="156"/>
      <c r="J68" s="156"/>
      <c r="K68" s="156"/>
      <c r="L68" s="156"/>
      <c r="M68" s="156"/>
      <c r="N68" s="156"/>
      <c r="O68" s="156"/>
      <c r="P68" s="156"/>
      <c r="Q68" s="156"/>
      <c r="R68" s="156"/>
      <c r="S68" s="156"/>
      <c r="AC68" s="60"/>
      <c r="AD68" s="60"/>
      <c r="AE68" s="60"/>
      <c r="AF68" s="60"/>
      <c r="AG68" s="60"/>
      <c r="AH68" s="60"/>
      <c r="AI68" s="60"/>
      <c r="AJ68" s="60"/>
      <c r="AK68" s="60"/>
      <c r="AL68" s="60"/>
      <c r="AM68" s="60"/>
      <c r="AN68" s="60"/>
      <c r="AO68" s="60"/>
      <c r="AP68" s="60"/>
      <c r="AQ68" s="60"/>
      <c r="AR68" s="60"/>
      <c r="AS68" s="60"/>
      <c r="AT68" s="60"/>
      <c r="AU68" s="60"/>
      <c r="AV68" s="60"/>
      <c r="AW68" s="60"/>
      <c r="AX68" s="60"/>
      <c r="AY68" s="60"/>
      <c r="AZ68" s="60"/>
      <c r="BA68" s="60"/>
      <c r="BB68" s="60"/>
      <c r="BC68" s="60"/>
      <c r="BD68" s="60"/>
      <c r="BE68" s="60"/>
      <c r="BF68" s="60"/>
      <c r="BG68" s="60"/>
      <c r="BH68" s="60"/>
      <c r="BI68" s="60"/>
      <c r="BJ68" s="60"/>
      <c r="BK68" s="60"/>
      <c r="BL68" s="60"/>
      <c r="BM68" s="60"/>
      <c r="BN68" s="60"/>
      <c r="BO68" s="60"/>
      <c r="BP68" s="60"/>
      <c r="BQ68" s="60"/>
      <c r="BR68" s="60"/>
      <c r="BS68" s="60"/>
      <c r="BT68" s="60"/>
      <c r="BU68" s="60"/>
      <c r="BV68" s="60"/>
      <c r="BW68" s="60"/>
      <c r="BX68" s="60"/>
      <c r="BY68" s="60"/>
      <c r="BZ68" s="60"/>
      <c r="CA68" s="60"/>
      <c r="CB68" s="60"/>
      <c r="CC68" s="60"/>
      <c r="CD68" s="60"/>
      <c r="CE68" s="60"/>
      <c r="CF68" s="60"/>
      <c r="CG68" s="60"/>
      <c r="CH68" s="60"/>
      <c r="CI68" s="60"/>
      <c r="CJ68" s="60"/>
      <c r="CK68" s="60"/>
      <c r="CL68" s="60"/>
      <c r="CM68" s="60"/>
      <c r="CN68" s="60"/>
      <c r="CO68" s="60"/>
      <c r="CP68" s="60"/>
      <c r="CQ68" s="60"/>
      <c r="CR68" s="60"/>
      <c r="CS68" s="60"/>
      <c r="CT68" s="60"/>
      <c r="CU68" s="60"/>
      <c r="CV68" s="60"/>
      <c r="CW68" s="60"/>
      <c r="CX68" s="60"/>
      <c r="CY68" s="60"/>
      <c r="CZ68" s="60"/>
      <c r="DA68" s="60"/>
      <c r="DB68" s="60"/>
      <c r="DC68" s="60"/>
      <c r="DD68" s="60"/>
      <c r="DE68" s="60"/>
      <c r="DF68" s="60"/>
      <c r="DG68" s="60"/>
      <c r="DH68" s="60"/>
      <c r="DI68" s="60"/>
      <c r="DJ68" s="60"/>
      <c r="DK68" s="60"/>
      <c r="DL68" s="60"/>
      <c r="DM68" s="60"/>
      <c r="DN68" s="60"/>
      <c r="DO68" s="60"/>
      <c r="DP68" s="60"/>
      <c r="DQ68" s="60"/>
      <c r="DR68" s="60"/>
      <c r="DS68" s="60"/>
      <c r="DT68" s="60"/>
      <c r="DU68" s="60"/>
      <c r="DV68" s="60"/>
      <c r="DW68" s="60"/>
      <c r="DX68" s="60"/>
      <c r="DY68" s="60"/>
      <c r="DZ68" s="60"/>
      <c r="EA68" s="60"/>
      <c r="EB68" s="60"/>
      <c r="EC68" s="60"/>
      <c r="ED68" s="60"/>
      <c r="EE68" s="60"/>
      <c r="EF68" s="60"/>
      <c r="EG68" s="60"/>
      <c r="EH68" s="60"/>
      <c r="EI68" s="60"/>
      <c r="EJ68" s="60"/>
      <c r="EK68" s="60"/>
      <c r="EL68" s="60"/>
      <c r="EM68" s="60"/>
      <c r="EN68" s="60"/>
      <c r="EO68" s="60"/>
      <c r="EP68" s="60"/>
      <c r="EQ68" s="60"/>
      <c r="ER68" s="60"/>
      <c r="ES68" s="60"/>
      <c r="ET68" s="60"/>
      <c r="EU68" s="60"/>
      <c r="EV68" s="60"/>
      <c r="EW68" s="60"/>
      <c r="EX68" s="60"/>
      <c r="EY68" s="60"/>
      <c r="EZ68" s="60"/>
      <c r="FA68" s="60"/>
      <c r="FB68" s="60"/>
      <c r="FC68" s="60"/>
      <c r="FD68" s="60"/>
      <c r="FE68" s="60"/>
      <c r="FF68" s="60"/>
      <c r="FG68" s="60"/>
      <c r="FH68" s="60"/>
      <c r="FI68" s="60"/>
      <c r="FJ68" s="60"/>
      <c r="FK68" s="60"/>
      <c r="FL68" s="60"/>
      <c r="FM68" s="60"/>
      <c r="FN68" s="60"/>
      <c r="FO68" s="60"/>
      <c r="FP68" s="60"/>
      <c r="FQ68" s="60"/>
      <c r="FR68" s="60"/>
      <c r="FS68" s="60"/>
      <c r="FT68" s="60"/>
      <c r="FU68" s="60"/>
      <c r="FV68" s="60"/>
      <c r="FW68" s="60"/>
      <c r="FX68" s="60"/>
      <c r="FY68" s="60"/>
      <c r="FZ68" s="60"/>
      <c r="GA68" s="60"/>
      <c r="GB68" s="60"/>
      <c r="GC68" s="60"/>
      <c r="GD68" s="60"/>
      <c r="GE68" s="60"/>
      <c r="GF68" s="60"/>
      <c r="GG68" s="60"/>
      <c r="GH68" s="60"/>
      <c r="GI68" s="60"/>
      <c r="GJ68" s="60"/>
      <c r="GK68" s="60"/>
      <c r="GL68" s="60"/>
      <c r="GM68" s="60"/>
      <c r="GN68" s="60"/>
      <c r="GO68" s="60"/>
      <c r="GP68" s="60"/>
      <c r="GQ68" s="60"/>
      <c r="GR68" s="60"/>
      <c r="GS68" s="60"/>
      <c r="GT68" s="60"/>
      <c r="GU68" s="60"/>
      <c r="GV68" s="60"/>
      <c r="GW68" s="60"/>
      <c r="GX68" s="60"/>
      <c r="GY68" s="60"/>
      <c r="GZ68" s="60"/>
      <c r="HA68" s="60"/>
      <c r="HB68" s="60"/>
      <c r="HC68" s="60"/>
      <c r="HD68" s="60"/>
      <c r="HE68" s="60"/>
      <c r="HF68" s="60"/>
      <c r="HG68" s="60"/>
      <c r="HH68" s="60"/>
      <c r="HI68" s="60"/>
      <c r="HJ68" s="60"/>
      <c r="HK68" s="60"/>
      <c r="HL68" s="60"/>
      <c r="HM68" s="60"/>
      <c r="HN68" s="60"/>
      <c r="HO68" s="60"/>
      <c r="HP68" s="60"/>
      <c r="HQ68" s="60"/>
      <c r="HR68" s="60"/>
      <c r="HS68" s="60"/>
      <c r="HT68" s="60"/>
      <c r="HU68" s="60"/>
      <c r="HV68" s="60"/>
      <c r="HW68" s="60"/>
      <c r="HX68" s="60"/>
      <c r="HY68" s="60"/>
      <c r="HZ68" s="60"/>
      <c r="IA68" s="60"/>
      <c r="IB68" s="60"/>
      <c r="IC68" s="60"/>
      <c r="ID68" s="60"/>
      <c r="IE68" s="60"/>
      <c r="IF68" s="60"/>
      <c r="IG68" s="60"/>
      <c r="IH68" s="60"/>
      <c r="II68" s="60"/>
      <c r="IJ68" s="60"/>
      <c r="IK68" s="60"/>
      <c r="IL68" s="60"/>
      <c r="IM68" s="60"/>
      <c r="IN68" s="60"/>
      <c r="IO68" s="60"/>
      <c r="IP68" s="60"/>
      <c r="IQ68" s="60"/>
      <c r="IR68" s="60"/>
      <c r="IS68" s="60"/>
      <c r="IT68" s="60"/>
      <c r="IU68" s="60"/>
      <c r="IV68" s="60"/>
      <c r="IW68" s="60"/>
      <c r="IX68" s="60"/>
      <c r="IY68" s="60"/>
      <c r="IZ68" s="60"/>
      <c r="JA68" s="60"/>
      <c r="JB68" s="60"/>
      <c r="JC68" s="60"/>
      <c r="JD68" s="60"/>
      <c r="JE68" s="60"/>
      <c r="JF68" s="60"/>
      <c r="JG68" s="60"/>
      <c r="JH68" s="60"/>
      <c r="JI68" s="60"/>
      <c r="JJ68" s="60"/>
      <c r="JK68" s="60"/>
      <c r="JL68" s="60"/>
      <c r="JM68" s="60"/>
      <c r="JN68" s="60"/>
      <c r="JO68" s="60"/>
      <c r="JP68" s="60"/>
      <c r="JQ68" s="60"/>
      <c r="JR68" s="60"/>
      <c r="JS68" s="60"/>
      <c r="JT68" s="60"/>
      <c r="JU68" s="60"/>
      <c r="JV68" s="60"/>
      <c r="JW68" s="60"/>
      <c r="JX68" s="60"/>
      <c r="JY68" s="60"/>
      <c r="JZ68" s="60"/>
      <c r="KA68" s="60"/>
      <c r="KB68" s="60"/>
      <c r="KC68" s="60"/>
      <c r="KD68" s="60"/>
      <c r="KE68" s="60"/>
      <c r="KF68" s="60"/>
      <c r="KG68" s="60"/>
      <c r="KH68" s="60"/>
      <c r="KI68" s="60"/>
      <c r="KJ68" s="60"/>
      <c r="KK68" s="60"/>
      <c r="KL68" s="60"/>
      <c r="KM68" s="60"/>
      <c r="KN68" s="60"/>
      <c r="KO68" s="60"/>
      <c r="KP68" s="60"/>
      <c r="KQ68" s="60"/>
      <c r="KR68" s="60"/>
      <c r="KS68" s="60"/>
      <c r="KT68" s="60"/>
      <c r="KU68" s="60"/>
      <c r="KV68" s="60"/>
      <c r="KW68" s="60"/>
      <c r="KX68" s="60"/>
      <c r="KY68" s="60"/>
      <c r="KZ68" s="60"/>
      <c r="LA68" s="60"/>
      <c r="LB68" s="60"/>
      <c r="LC68" s="60"/>
      <c r="LD68" s="60"/>
      <c r="LE68" s="60"/>
      <c r="LF68" s="60"/>
      <c r="LG68" s="60"/>
      <c r="LH68" s="60"/>
    </row>
    <row r="69" spans="1:320" s="17" customFormat="1" x14ac:dyDescent="0.25">
      <c r="A69" s="147"/>
      <c r="E69" s="156"/>
      <c r="F69" s="156"/>
      <c r="G69" s="156"/>
      <c r="H69" s="156"/>
      <c r="I69" s="156"/>
      <c r="J69" s="156"/>
      <c r="K69" s="156"/>
      <c r="L69" s="156"/>
      <c r="M69" s="156"/>
      <c r="N69" s="156"/>
      <c r="O69" s="156"/>
      <c r="P69" s="156"/>
      <c r="Q69" s="156"/>
      <c r="R69" s="156"/>
      <c r="S69" s="156"/>
      <c r="AC69" s="60"/>
      <c r="AD69" s="60"/>
      <c r="AE69" s="60"/>
      <c r="AF69" s="60"/>
      <c r="AG69" s="60"/>
      <c r="AH69" s="60"/>
      <c r="AI69" s="60"/>
      <c r="AJ69" s="60"/>
      <c r="AK69" s="60"/>
      <c r="AL69" s="60"/>
      <c r="AM69" s="60"/>
      <c r="AN69" s="60"/>
      <c r="AO69" s="60"/>
      <c r="AP69" s="60"/>
      <c r="AQ69" s="60"/>
      <c r="AR69" s="60"/>
      <c r="AS69" s="60"/>
      <c r="AT69" s="60"/>
      <c r="AU69" s="60"/>
      <c r="AV69" s="60"/>
      <c r="AW69" s="60"/>
      <c r="AX69" s="60"/>
      <c r="AY69" s="60"/>
      <c r="AZ69" s="60"/>
      <c r="BA69" s="60"/>
      <c r="BB69" s="60"/>
      <c r="BC69" s="60"/>
      <c r="BD69" s="60"/>
      <c r="BE69" s="60"/>
      <c r="BF69" s="60"/>
      <c r="BG69" s="60"/>
      <c r="BH69" s="60"/>
      <c r="BI69" s="60"/>
      <c r="BJ69" s="60"/>
      <c r="BK69" s="60"/>
      <c r="BL69" s="60"/>
      <c r="BM69" s="60"/>
      <c r="BN69" s="60"/>
      <c r="BO69" s="60"/>
      <c r="BP69" s="60"/>
      <c r="BQ69" s="60"/>
      <c r="BR69" s="60"/>
      <c r="BS69" s="60"/>
      <c r="BT69" s="60"/>
      <c r="BU69" s="60"/>
      <c r="BV69" s="60"/>
      <c r="BW69" s="60"/>
      <c r="BX69" s="60"/>
      <c r="BY69" s="60"/>
      <c r="BZ69" s="60"/>
      <c r="CA69" s="60"/>
      <c r="CB69" s="60"/>
      <c r="CC69" s="60"/>
      <c r="CD69" s="60"/>
      <c r="CE69" s="60"/>
      <c r="CF69" s="60"/>
      <c r="CG69" s="60"/>
      <c r="CH69" s="60"/>
      <c r="CI69" s="60"/>
      <c r="CJ69" s="60"/>
      <c r="CK69" s="60"/>
      <c r="CL69" s="60"/>
      <c r="CM69" s="60"/>
      <c r="CN69" s="60"/>
      <c r="CO69" s="60"/>
      <c r="CP69" s="60"/>
      <c r="CQ69" s="60"/>
      <c r="CR69" s="60"/>
      <c r="CS69" s="60"/>
      <c r="CT69" s="60"/>
      <c r="CU69" s="60"/>
      <c r="CV69" s="60"/>
      <c r="CW69" s="60"/>
      <c r="CX69" s="60"/>
      <c r="CY69" s="60"/>
      <c r="CZ69" s="60"/>
      <c r="DA69" s="60"/>
      <c r="DB69" s="60"/>
      <c r="DC69" s="60"/>
      <c r="DD69" s="60"/>
      <c r="DE69" s="60"/>
      <c r="DF69" s="60"/>
      <c r="DG69" s="60"/>
      <c r="DH69" s="60"/>
      <c r="DI69" s="60"/>
      <c r="DJ69" s="60"/>
      <c r="DK69" s="60"/>
      <c r="DL69" s="60"/>
      <c r="DM69" s="60"/>
      <c r="DN69" s="60"/>
      <c r="DO69" s="60"/>
      <c r="DP69" s="60"/>
      <c r="DQ69" s="60"/>
      <c r="DR69" s="60"/>
      <c r="DS69" s="60"/>
      <c r="DT69" s="60"/>
      <c r="DU69" s="60"/>
      <c r="DV69" s="60"/>
      <c r="DW69" s="60"/>
      <c r="DX69" s="60"/>
      <c r="DY69" s="60"/>
      <c r="DZ69" s="60"/>
      <c r="EA69" s="60"/>
      <c r="EB69" s="60"/>
      <c r="EC69" s="60"/>
      <c r="ED69" s="60"/>
      <c r="EE69" s="60"/>
      <c r="EF69" s="60"/>
      <c r="EG69" s="60"/>
      <c r="EH69" s="60"/>
      <c r="EI69" s="60"/>
      <c r="EJ69" s="60"/>
      <c r="EK69" s="60"/>
      <c r="EL69" s="60"/>
      <c r="EM69" s="60"/>
      <c r="EN69" s="60"/>
      <c r="EO69" s="60"/>
      <c r="EP69" s="60"/>
      <c r="EQ69" s="60"/>
      <c r="ER69" s="60"/>
      <c r="ES69" s="60"/>
      <c r="ET69" s="60"/>
      <c r="EU69" s="60"/>
      <c r="EV69" s="60"/>
      <c r="EW69" s="60"/>
      <c r="EX69" s="60"/>
      <c r="EY69" s="60"/>
      <c r="EZ69" s="60"/>
      <c r="FA69" s="60"/>
      <c r="FB69" s="60"/>
      <c r="FC69" s="60"/>
      <c r="FD69" s="60"/>
      <c r="FE69" s="60"/>
      <c r="FF69" s="60"/>
      <c r="FG69" s="60"/>
      <c r="FH69" s="60"/>
      <c r="FI69" s="60"/>
      <c r="FJ69" s="60"/>
      <c r="FK69" s="60"/>
      <c r="FL69" s="60"/>
      <c r="FM69" s="60"/>
      <c r="FN69" s="60"/>
      <c r="FO69" s="60"/>
      <c r="FP69" s="60"/>
      <c r="FQ69" s="60"/>
      <c r="FR69" s="60"/>
      <c r="FS69" s="60"/>
      <c r="FT69" s="60"/>
      <c r="FU69" s="60"/>
      <c r="FV69" s="60"/>
      <c r="FW69" s="60"/>
      <c r="FX69" s="60"/>
      <c r="FY69" s="60"/>
      <c r="FZ69" s="60"/>
      <c r="GA69" s="60"/>
      <c r="GB69" s="60"/>
      <c r="GC69" s="60"/>
      <c r="GD69" s="60"/>
      <c r="GE69" s="60"/>
      <c r="GF69" s="60"/>
      <c r="GG69" s="60"/>
      <c r="GH69" s="60"/>
      <c r="GI69" s="60"/>
      <c r="GJ69" s="60"/>
      <c r="GK69" s="60"/>
      <c r="GL69" s="60"/>
      <c r="GM69" s="60"/>
      <c r="GN69" s="60"/>
      <c r="GO69" s="60"/>
      <c r="GP69" s="60"/>
      <c r="GQ69" s="60"/>
      <c r="GR69" s="60"/>
      <c r="GS69" s="60"/>
      <c r="GT69" s="60"/>
      <c r="GU69" s="60"/>
      <c r="GV69" s="60"/>
      <c r="GW69" s="60"/>
      <c r="GX69" s="60"/>
      <c r="GY69" s="60"/>
      <c r="GZ69" s="60"/>
      <c r="HA69" s="60"/>
      <c r="HB69" s="60"/>
      <c r="HC69" s="60"/>
      <c r="HD69" s="60"/>
      <c r="HE69" s="60"/>
      <c r="HF69" s="60"/>
      <c r="HG69" s="60"/>
      <c r="HH69" s="60"/>
      <c r="HI69" s="60"/>
      <c r="HJ69" s="60"/>
      <c r="HK69" s="60"/>
      <c r="HL69" s="60"/>
      <c r="HM69" s="60"/>
      <c r="HN69" s="60"/>
      <c r="HO69" s="60"/>
      <c r="HP69" s="60"/>
      <c r="HQ69" s="60"/>
      <c r="HR69" s="60"/>
      <c r="HS69" s="60"/>
      <c r="HT69" s="60"/>
      <c r="HU69" s="60"/>
      <c r="HV69" s="60"/>
      <c r="HW69" s="60"/>
      <c r="HX69" s="60"/>
      <c r="HY69" s="60"/>
      <c r="HZ69" s="60"/>
      <c r="IA69" s="60"/>
      <c r="IB69" s="60"/>
      <c r="IC69" s="60"/>
      <c r="ID69" s="60"/>
      <c r="IE69" s="60"/>
      <c r="IF69" s="60"/>
      <c r="IG69" s="60"/>
      <c r="IH69" s="60"/>
      <c r="II69" s="60"/>
      <c r="IJ69" s="60"/>
      <c r="IK69" s="60"/>
      <c r="IL69" s="60"/>
      <c r="IM69" s="60"/>
      <c r="IN69" s="60"/>
      <c r="IO69" s="60"/>
      <c r="IP69" s="60"/>
      <c r="IQ69" s="60"/>
      <c r="IR69" s="60"/>
      <c r="IS69" s="60"/>
      <c r="IT69" s="60"/>
      <c r="IU69" s="60"/>
      <c r="IV69" s="60"/>
      <c r="IW69" s="60"/>
      <c r="IX69" s="60"/>
      <c r="IY69" s="60"/>
      <c r="IZ69" s="60"/>
      <c r="JA69" s="60"/>
      <c r="JB69" s="60"/>
      <c r="JC69" s="60"/>
      <c r="JD69" s="60"/>
      <c r="JE69" s="60"/>
      <c r="JF69" s="60"/>
      <c r="JG69" s="60"/>
      <c r="JH69" s="60"/>
      <c r="JI69" s="60"/>
      <c r="JJ69" s="60"/>
      <c r="JK69" s="60"/>
      <c r="JL69" s="60"/>
      <c r="JM69" s="60"/>
      <c r="JN69" s="60"/>
      <c r="JO69" s="60"/>
      <c r="JP69" s="60"/>
      <c r="JQ69" s="60"/>
      <c r="JR69" s="60"/>
      <c r="JS69" s="60"/>
      <c r="JT69" s="60"/>
      <c r="JU69" s="60"/>
      <c r="JV69" s="60"/>
      <c r="JW69" s="60"/>
      <c r="JX69" s="60"/>
      <c r="JY69" s="60"/>
      <c r="JZ69" s="60"/>
      <c r="KA69" s="60"/>
      <c r="KB69" s="60"/>
      <c r="KC69" s="60"/>
      <c r="KD69" s="60"/>
      <c r="KE69" s="60"/>
      <c r="KF69" s="60"/>
      <c r="KG69" s="60"/>
      <c r="KH69" s="60"/>
      <c r="KI69" s="60"/>
      <c r="KJ69" s="60"/>
      <c r="KK69" s="60"/>
      <c r="KL69" s="60"/>
      <c r="KM69" s="60"/>
      <c r="KN69" s="60"/>
      <c r="KO69" s="60"/>
      <c r="KP69" s="60"/>
      <c r="KQ69" s="60"/>
      <c r="KR69" s="60"/>
      <c r="KS69" s="60"/>
      <c r="KT69" s="60"/>
      <c r="KU69" s="60"/>
      <c r="KV69" s="60"/>
      <c r="KW69" s="60"/>
      <c r="KX69" s="60"/>
      <c r="KY69" s="60"/>
      <c r="KZ69" s="60"/>
      <c r="LA69" s="60"/>
      <c r="LB69" s="60"/>
      <c r="LC69" s="60"/>
      <c r="LD69" s="60"/>
      <c r="LE69" s="60"/>
      <c r="LF69" s="60"/>
      <c r="LG69" s="60"/>
      <c r="LH69" s="60"/>
    </row>
    <row r="70" spans="1:320" s="17" customFormat="1" x14ac:dyDescent="0.25">
      <c r="A70" s="147"/>
      <c r="E70" s="156"/>
      <c r="F70" s="156"/>
      <c r="G70" s="156"/>
      <c r="H70" s="156"/>
      <c r="I70" s="156"/>
      <c r="J70" s="156"/>
      <c r="K70" s="156"/>
      <c r="L70" s="156"/>
      <c r="M70" s="156"/>
      <c r="N70" s="156"/>
      <c r="O70" s="156"/>
      <c r="P70" s="156"/>
      <c r="Q70" s="156"/>
      <c r="R70" s="156"/>
      <c r="S70" s="156"/>
      <c r="AC70" s="60"/>
      <c r="AD70" s="60"/>
      <c r="AE70" s="60"/>
      <c r="AF70" s="60"/>
      <c r="AG70" s="60"/>
      <c r="AH70" s="60"/>
      <c r="AI70" s="60"/>
      <c r="AJ70" s="60"/>
      <c r="AK70" s="60"/>
      <c r="AL70" s="60"/>
      <c r="AM70" s="60"/>
      <c r="AN70" s="60"/>
      <c r="AO70" s="60"/>
      <c r="AP70" s="60"/>
      <c r="AQ70" s="60"/>
      <c r="AR70" s="60"/>
      <c r="AS70" s="60"/>
      <c r="AT70" s="60"/>
      <c r="AU70" s="60"/>
      <c r="AV70" s="60"/>
      <c r="AW70" s="60"/>
      <c r="AX70" s="60"/>
      <c r="AY70" s="60"/>
      <c r="AZ70" s="60"/>
      <c r="BA70" s="60"/>
      <c r="BB70" s="60"/>
      <c r="BC70" s="60"/>
      <c r="BD70" s="60"/>
      <c r="BE70" s="60"/>
      <c r="BF70" s="60"/>
      <c r="BG70" s="60"/>
      <c r="BH70" s="60"/>
      <c r="BI70" s="60"/>
      <c r="BJ70" s="60"/>
      <c r="BK70" s="60"/>
      <c r="BL70" s="60"/>
      <c r="BM70" s="60"/>
      <c r="BN70" s="60"/>
      <c r="BO70" s="60"/>
      <c r="BP70" s="60"/>
      <c r="BQ70" s="60"/>
      <c r="BR70" s="60"/>
      <c r="BS70" s="60"/>
      <c r="BT70" s="60"/>
      <c r="BU70" s="60"/>
      <c r="BV70" s="60"/>
      <c r="BW70" s="60"/>
      <c r="BX70" s="60"/>
      <c r="BY70" s="60"/>
      <c r="BZ70" s="60"/>
      <c r="CA70" s="60"/>
      <c r="CB70" s="60"/>
      <c r="CC70" s="60"/>
      <c r="CD70" s="60"/>
      <c r="CE70" s="60"/>
      <c r="CF70" s="60"/>
      <c r="CG70" s="60"/>
      <c r="CH70" s="60"/>
      <c r="CI70" s="60"/>
      <c r="CJ70" s="60"/>
      <c r="CK70" s="60"/>
      <c r="CL70" s="60"/>
      <c r="CM70" s="60"/>
      <c r="CN70" s="60"/>
      <c r="CO70" s="60"/>
      <c r="CP70" s="60"/>
      <c r="CQ70" s="60"/>
      <c r="CR70" s="60"/>
      <c r="CS70" s="60"/>
      <c r="CT70" s="60"/>
      <c r="CU70" s="60"/>
      <c r="CV70" s="60"/>
      <c r="CW70" s="60"/>
      <c r="CX70" s="60"/>
      <c r="CY70" s="60"/>
      <c r="CZ70" s="60"/>
      <c r="DA70" s="60"/>
      <c r="DB70" s="60"/>
      <c r="DC70" s="60"/>
      <c r="DD70" s="60"/>
      <c r="DE70" s="60"/>
      <c r="DF70" s="60"/>
      <c r="DG70" s="60"/>
      <c r="DH70" s="60"/>
      <c r="DI70" s="60"/>
      <c r="DJ70" s="60"/>
      <c r="DK70" s="60"/>
      <c r="DL70" s="60"/>
      <c r="DM70" s="60"/>
      <c r="DN70" s="60"/>
      <c r="DO70" s="60"/>
      <c r="DP70" s="60"/>
      <c r="DQ70" s="60"/>
      <c r="DR70" s="60"/>
      <c r="DS70" s="60"/>
      <c r="DT70" s="60"/>
      <c r="DU70" s="60"/>
      <c r="DV70" s="60"/>
      <c r="DW70" s="60"/>
      <c r="DX70" s="60"/>
      <c r="DY70" s="60"/>
      <c r="DZ70" s="60"/>
      <c r="EA70" s="60"/>
      <c r="EB70" s="60"/>
      <c r="EC70" s="60"/>
      <c r="ED70" s="60"/>
      <c r="EE70" s="60"/>
      <c r="EF70" s="60"/>
      <c r="EG70" s="60"/>
      <c r="EH70" s="60"/>
      <c r="EI70" s="60"/>
      <c r="EJ70" s="60"/>
      <c r="EK70" s="60"/>
      <c r="EL70" s="60"/>
      <c r="EM70" s="60"/>
      <c r="EN70" s="60"/>
      <c r="EO70" s="60"/>
      <c r="EP70" s="60"/>
      <c r="EQ70" s="60"/>
      <c r="ER70" s="60"/>
      <c r="ES70" s="60"/>
      <c r="ET70" s="60"/>
      <c r="EU70" s="60"/>
      <c r="EV70" s="60"/>
      <c r="EW70" s="60"/>
      <c r="EX70" s="60"/>
      <c r="EY70" s="60"/>
      <c r="EZ70" s="60"/>
      <c r="FA70" s="60"/>
      <c r="FB70" s="60"/>
      <c r="FC70" s="60"/>
      <c r="FD70" s="60"/>
      <c r="FE70" s="60"/>
      <c r="FF70" s="60"/>
      <c r="FG70" s="60"/>
      <c r="FH70" s="60"/>
      <c r="FI70" s="60"/>
      <c r="FJ70" s="60"/>
      <c r="FK70" s="60"/>
      <c r="FL70" s="60"/>
      <c r="FM70" s="60"/>
      <c r="FN70" s="60"/>
      <c r="FO70" s="60"/>
      <c r="FP70" s="60"/>
      <c r="FQ70" s="60"/>
      <c r="FR70" s="60"/>
      <c r="FS70" s="60"/>
      <c r="FT70" s="60"/>
      <c r="FU70" s="60"/>
      <c r="FV70" s="60"/>
      <c r="FW70" s="60"/>
      <c r="FX70" s="60"/>
      <c r="FY70" s="60"/>
      <c r="FZ70" s="60"/>
      <c r="GA70" s="60"/>
      <c r="GB70" s="60"/>
      <c r="GC70" s="60"/>
      <c r="GD70" s="60"/>
      <c r="GE70" s="60"/>
      <c r="GF70" s="60"/>
      <c r="GG70" s="60"/>
      <c r="GH70" s="60"/>
      <c r="GI70" s="60"/>
      <c r="GJ70" s="60"/>
      <c r="GK70" s="60"/>
      <c r="GL70" s="60"/>
      <c r="GM70" s="60"/>
      <c r="GN70" s="60"/>
      <c r="GO70" s="60"/>
      <c r="GP70" s="60"/>
      <c r="GQ70" s="60"/>
      <c r="GR70" s="60"/>
      <c r="GS70" s="60"/>
      <c r="GT70" s="60"/>
      <c r="GU70" s="60"/>
      <c r="GV70" s="60"/>
      <c r="GW70" s="60"/>
      <c r="GX70" s="60"/>
      <c r="GY70" s="60"/>
      <c r="GZ70" s="60"/>
      <c r="HA70" s="60"/>
      <c r="HB70" s="60"/>
      <c r="HC70" s="60"/>
      <c r="HD70" s="60"/>
      <c r="HE70" s="60"/>
      <c r="HF70" s="60"/>
      <c r="HG70" s="60"/>
      <c r="HH70" s="60"/>
      <c r="HI70" s="60"/>
      <c r="HJ70" s="60"/>
      <c r="HK70" s="60"/>
      <c r="HL70" s="60"/>
      <c r="HM70" s="60"/>
      <c r="HN70" s="60"/>
      <c r="HO70" s="60"/>
      <c r="HP70" s="60"/>
      <c r="HQ70" s="60"/>
      <c r="HR70" s="60"/>
      <c r="HS70" s="60"/>
      <c r="HT70" s="60"/>
      <c r="HU70" s="60"/>
      <c r="HV70" s="60"/>
      <c r="HW70" s="60"/>
      <c r="HX70" s="60"/>
      <c r="HY70" s="60"/>
      <c r="HZ70" s="60"/>
      <c r="IA70" s="60"/>
      <c r="IB70" s="60"/>
      <c r="IC70" s="60"/>
      <c r="ID70" s="60"/>
      <c r="IE70" s="60"/>
      <c r="IF70" s="60"/>
      <c r="IG70" s="60"/>
      <c r="IH70" s="60"/>
      <c r="II70" s="60"/>
      <c r="IJ70" s="60"/>
      <c r="IK70" s="60"/>
      <c r="IL70" s="60"/>
      <c r="IM70" s="60"/>
      <c r="IN70" s="60"/>
      <c r="IO70" s="60"/>
      <c r="IP70" s="60"/>
      <c r="IQ70" s="60"/>
      <c r="IR70" s="60"/>
      <c r="IS70" s="60"/>
      <c r="IT70" s="60"/>
      <c r="IU70" s="60"/>
      <c r="IV70" s="60"/>
      <c r="IW70" s="60"/>
      <c r="IX70" s="60"/>
      <c r="IY70" s="60"/>
      <c r="IZ70" s="60"/>
      <c r="JA70" s="60"/>
      <c r="JB70" s="60"/>
      <c r="JC70" s="60"/>
      <c r="JD70" s="60"/>
      <c r="JE70" s="60"/>
      <c r="JF70" s="60"/>
      <c r="JG70" s="60"/>
      <c r="JH70" s="60"/>
      <c r="JI70" s="60"/>
      <c r="JJ70" s="60"/>
      <c r="JK70" s="60"/>
      <c r="JL70" s="60"/>
      <c r="JM70" s="60"/>
      <c r="JN70" s="60"/>
      <c r="JO70" s="60"/>
      <c r="JP70" s="60"/>
      <c r="JQ70" s="60"/>
      <c r="JR70" s="60"/>
      <c r="JS70" s="60"/>
      <c r="JT70" s="60"/>
      <c r="JU70" s="60"/>
      <c r="JV70" s="60"/>
      <c r="JW70" s="60"/>
      <c r="JX70" s="60"/>
      <c r="JY70" s="60"/>
      <c r="JZ70" s="60"/>
      <c r="KA70" s="60"/>
      <c r="KB70" s="60"/>
      <c r="KC70" s="60"/>
      <c r="KD70" s="60"/>
      <c r="KE70" s="60"/>
      <c r="KF70" s="60"/>
      <c r="KG70" s="60"/>
      <c r="KH70" s="60"/>
      <c r="KI70" s="60"/>
      <c r="KJ70" s="60"/>
      <c r="KK70" s="60"/>
      <c r="KL70" s="60"/>
      <c r="KM70" s="60"/>
      <c r="KN70" s="60"/>
      <c r="KO70" s="60"/>
      <c r="KP70" s="60"/>
      <c r="KQ70" s="60"/>
      <c r="KR70" s="60"/>
      <c r="KS70" s="60"/>
      <c r="KT70" s="60"/>
      <c r="KU70" s="60"/>
      <c r="KV70" s="60"/>
      <c r="KW70" s="60"/>
      <c r="KX70" s="60"/>
      <c r="KY70" s="60"/>
      <c r="KZ70" s="60"/>
      <c r="LA70" s="60"/>
      <c r="LB70" s="60"/>
      <c r="LC70" s="60"/>
      <c r="LD70" s="60"/>
      <c r="LE70" s="60"/>
      <c r="LF70" s="60"/>
      <c r="LG70" s="60"/>
      <c r="LH70" s="60"/>
    </row>
    <row r="71" spans="1:320" s="17" customFormat="1" x14ac:dyDescent="0.25">
      <c r="A71" s="147"/>
      <c r="E71" s="156"/>
      <c r="F71" s="156"/>
      <c r="G71" s="156"/>
      <c r="H71" s="156"/>
      <c r="I71" s="156"/>
      <c r="J71" s="156"/>
      <c r="K71" s="156"/>
      <c r="L71" s="156"/>
      <c r="M71" s="156"/>
      <c r="N71" s="156"/>
      <c r="O71" s="156"/>
      <c r="P71" s="156"/>
      <c r="Q71" s="156"/>
      <c r="R71" s="156"/>
      <c r="S71" s="156"/>
      <c r="AC71" s="60"/>
      <c r="AD71" s="60"/>
      <c r="AE71" s="60"/>
      <c r="AF71" s="60"/>
      <c r="AG71" s="60"/>
      <c r="AH71" s="60"/>
      <c r="AI71" s="60"/>
      <c r="AJ71" s="60"/>
      <c r="AK71" s="60"/>
      <c r="AL71" s="60"/>
      <c r="AM71" s="60"/>
      <c r="AN71" s="60"/>
      <c r="AO71" s="60"/>
      <c r="AP71" s="60"/>
      <c r="AQ71" s="60"/>
      <c r="AR71" s="60"/>
      <c r="AS71" s="60"/>
      <c r="AT71" s="60"/>
      <c r="AU71" s="60"/>
      <c r="AV71" s="60"/>
      <c r="AW71" s="60"/>
      <c r="AX71" s="60"/>
      <c r="AY71" s="60"/>
      <c r="AZ71" s="60"/>
      <c r="BA71" s="60"/>
      <c r="BB71" s="60"/>
      <c r="BC71" s="60"/>
      <c r="BD71" s="60"/>
      <c r="BE71" s="60"/>
      <c r="BF71" s="60"/>
      <c r="BG71" s="60"/>
      <c r="BH71" s="60"/>
      <c r="BI71" s="60"/>
      <c r="BJ71" s="60"/>
      <c r="BK71" s="60"/>
      <c r="BL71" s="60"/>
      <c r="BM71" s="60"/>
      <c r="BN71" s="60"/>
      <c r="BO71" s="60"/>
      <c r="BP71" s="60"/>
      <c r="BQ71" s="60"/>
      <c r="BR71" s="60"/>
      <c r="BS71" s="60"/>
      <c r="BT71" s="60"/>
      <c r="BU71" s="60"/>
      <c r="BV71" s="60"/>
      <c r="BW71" s="60"/>
      <c r="BX71" s="60"/>
      <c r="BY71" s="60"/>
      <c r="BZ71" s="60"/>
      <c r="CA71" s="60"/>
      <c r="CB71" s="60"/>
      <c r="CC71" s="60"/>
      <c r="CD71" s="60"/>
      <c r="CE71" s="60"/>
      <c r="CF71" s="60"/>
      <c r="CG71" s="60"/>
      <c r="CH71" s="60"/>
      <c r="CI71" s="60"/>
      <c r="CJ71" s="60"/>
      <c r="CK71" s="60"/>
      <c r="CL71" s="60"/>
      <c r="CM71" s="60"/>
      <c r="CN71" s="60"/>
      <c r="CO71" s="60"/>
      <c r="CP71" s="60"/>
      <c r="CQ71" s="60"/>
      <c r="CR71" s="60"/>
      <c r="CS71" s="60"/>
      <c r="CT71" s="60"/>
      <c r="CU71" s="60"/>
      <c r="CV71" s="60"/>
      <c r="CW71" s="60"/>
      <c r="CX71" s="60"/>
      <c r="CY71" s="60"/>
      <c r="CZ71" s="60"/>
      <c r="DA71" s="60"/>
      <c r="DB71" s="60"/>
      <c r="DC71" s="60"/>
      <c r="DD71" s="60"/>
      <c r="DE71" s="60"/>
      <c r="DF71" s="60"/>
      <c r="DG71" s="60"/>
      <c r="DH71" s="60"/>
      <c r="DI71" s="60"/>
      <c r="DJ71" s="60"/>
      <c r="DK71" s="60"/>
      <c r="DL71" s="60"/>
      <c r="DM71" s="60"/>
      <c r="DN71" s="60"/>
      <c r="DO71" s="60"/>
      <c r="DP71" s="60"/>
      <c r="DQ71" s="60"/>
      <c r="DR71" s="60"/>
      <c r="DS71" s="60"/>
      <c r="DT71" s="60"/>
      <c r="DU71" s="60"/>
      <c r="DV71" s="60"/>
      <c r="DW71" s="60"/>
      <c r="DX71" s="60"/>
      <c r="DY71" s="60"/>
      <c r="DZ71" s="60"/>
      <c r="EA71" s="60"/>
      <c r="EB71" s="60"/>
      <c r="EC71" s="60"/>
      <c r="ED71" s="60"/>
      <c r="EE71" s="60"/>
      <c r="EF71" s="60"/>
      <c r="EG71" s="60"/>
      <c r="EH71" s="60"/>
      <c r="EI71" s="60"/>
      <c r="EJ71" s="60"/>
      <c r="EK71" s="60"/>
      <c r="EL71" s="60"/>
      <c r="EM71" s="60"/>
      <c r="EN71" s="60"/>
      <c r="EO71" s="60"/>
      <c r="EP71" s="60"/>
      <c r="EQ71" s="60"/>
      <c r="ER71" s="60"/>
      <c r="ES71" s="60"/>
      <c r="ET71" s="60"/>
      <c r="EU71" s="60"/>
      <c r="EV71" s="60"/>
      <c r="EW71" s="60"/>
      <c r="EX71" s="60"/>
      <c r="EY71" s="60"/>
      <c r="EZ71" s="60"/>
      <c r="FA71" s="60"/>
      <c r="FB71" s="60"/>
      <c r="FC71" s="60"/>
      <c r="FD71" s="60"/>
      <c r="FE71" s="60"/>
      <c r="FF71" s="60"/>
      <c r="FG71" s="60"/>
      <c r="FH71" s="60"/>
      <c r="FI71" s="60"/>
      <c r="FJ71" s="60"/>
      <c r="FK71" s="60"/>
      <c r="FL71" s="60"/>
      <c r="FM71" s="60"/>
      <c r="FN71" s="60"/>
      <c r="FO71" s="60"/>
      <c r="FP71" s="60"/>
      <c r="FQ71" s="60"/>
      <c r="FR71" s="60"/>
      <c r="FS71" s="60"/>
      <c r="FT71" s="60"/>
      <c r="FU71" s="60"/>
      <c r="FV71" s="60"/>
      <c r="FW71" s="60"/>
      <c r="FX71" s="60"/>
      <c r="FY71" s="60"/>
      <c r="FZ71" s="60"/>
      <c r="GA71" s="60"/>
      <c r="GB71" s="60"/>
      <c r="GC71" s="60"/>
      <c r="GD71" s="60"/>
      <c r="GE71" s="60"/>
      <c r="GF71" s="60"/>
      <c r="GG71" s="60"/>
      <c r="GH71" s="60"/>
      <c r="GI71" s="60"/>
      <c r="GJ71" s="60"/>
      <c r="GK71" s="60"/>
      <c r="GL71" s="60"/>
      <c r="GM71" s="60"/>
      <c r="GN71" s="60"/>
      <c r="GO71" s="60"/>
      <c r="GP71" s="60"/>
      <c r="GQ71" s="60"/>
      <c r="GR71" s="60"/>
      <c r="GS71" s="60"/>
      <c r="GT71" s="60"/>
      <c r="GU71" s="60"/>
      <c r="GV71" s="60"/>
      <c r="GW71" s="60"/>
      <c r="GX71" s="60"/>
      <c r="GY71" s="60"/>
      <c r="GZ71" s="60"/>
      <c r="HA71" s="60"/>
      <c r="HB71" s="60"/>
      <c r="HC71" s="60"/>
      <c r="HD71" s="60"/>
      <c r="HE71" s="60"/>
      <c r="HF71" s="60"/>
      <c r="HG71" s="60"/>
      <c r="HH71" s="60"/>
      <c r="HI71" s="60"/>
      <c r="HJ71" s="60"/>
      <c r="HK71" s="60"/>
      <c r="HL71" s="60"/>
      <c r="HM71" s="60"/>
      <c r="HN71" s="60"/>
      <c r="HO71" s="60"/>
      <c r="HP71" s="60"/>
      <c r="HQ71" s="60"/>
      <c r="HR71" s="60"/>
      <c r="HS71" s="60"/>
      <c r="HT71" s="60"/>
      <c r="HU71" s="60"/>
      <c r="HV71" s="60"/>
      <c r="HW71" s="60"/>
      <c r="HX71" s="60"/>
      <c r="HY71" s="60"/>
      <c r="HZ71" s="60"/>
      <c r="IA71" s="60"/>
      <c r="IB71" s="60"/>
      <c r="IC71" s="60"/>
      <c r="ID71" s="60"/>
      <c r="IE71" s="60"/>
      <c r="IF71" s="60"/>
      <c r="IG71" s="60"/>
      <c r="IH71" s="60"/>
      <c r="II71" s="60"/>
      <c r="IJ71" s="60"/>
      <c r="IK71" s="60"/>
      <c r="IL71" s="60"/>
      <c r="IM71" s="60"/>
      <c r="IN71" s="60"/>
      <c r="IO71" s="60"/>
      <c r="IP71" s="60"/>
      <c r="IQ71" s="60"/>
      <c r="IR71" s="60"/>
      <c r="IS71" s="60"/>
      <c r="IT71" s="60"/>
      <c r="IU71" s="60"/>
      <c r="IV71" s="60"/>
      <c r="IW71" s="60"/>
      <c r="IX71" s="60"/>
      <c r="IY71" s="60"/>
      <c r="IZ71" s="60"/>
      <c r="JA71" s="60"/>
      <c r="JB71" s="60"/>
      <c r="JC71" s="60"/>
      <c r="JD71" s="60"/>
      <c r="JE71" s="60"/>
      <c r="JF71" s="60"/>
      <c r="JG71" s="60"/>
      <c r="JH71" s="60"/>
      <c r="JI71" s="60"/>
      <c r="JJ71" s="60"/>
      <c r="JK71" s="60"/>
      <c r="JL71" s="60"/>
      <c r="JM71" s="60"/>
      <c r="JN71" s="60"/>
      <c r="JO71" s="60"/>
      <c r="JP71" s="60"/>
      <c r="JQ71" s="60"/>
      <c r="JR71" s="60"/>
      <c r="JS71" s="60"/>
      <c r="JT71" s="60"/>
      <c r="JU71" s="60"/>
      <c r="JV71" s="60"/>
      <c r="JW71" s="60"/>
      <c r="JX71" s="60"/>
      <c r="JY71" s="60"/>
      <c r="JZ71" s="60"/>
      <c r="KA71" s="60"/>
      <c r="KB71" s="60"/>
      <c r="KC71" s="60"/>
      <c r="KD71" s="60"/>
      <c r="KE71" s="60"/>
      <c r="KF71" s="60"/>
      <c r="KG71" s="60"/>
      <c r="KH71" s="60"/>
      <c r="KI71" s="60"/>
      <c r="KJ71" s="60"/>
      <c r="KK71" s="60"/>
      <c r="KL71" s="60"/>
      <c r="KM71" s="60"/>
      <c r="KN71" s="60"/>
      <c r="KO71" s="60"/>
      <c r="KP71" s="60"/>
      <c r="KQ71" s="60"/>
      <c r="KR71" s="60"/>
      <c r="KS71" s="60"/>
      <c r="KT71" s="60"/>
      <c r="KU71" s="60"/>
      <c r="KV71" s="60"/>
      <c r="KW71" s="60"/>
      <c r="KX71" s="60"/>
      <c r="KY71" s="60"/>
      <c r="KZ71" s="60"/>
      <c r="LA71" s="60"/>
      <c r="LB71" s="60"/>
      <c r="LC71" s="60"/>
      <c r="LD71" s="60"/>
      <c r="LE71" s="60"/>
      <c r="LF71" s="60"/>
      <c r="LG71" s="60"/>
      <c r="LH71" s="60"/>
    </row>
    <row r="72" spans="1:320" s="17" customFormat="1" x14ac:dyDescent="0.25">
      <c r="A72" s="147"/>
      <c r="E72" s="156"/>
      <c r="F72" s="156"/>
      <c r="G72" s="156"/>
      <c r="H72" s="156"/>
      <c r="I72" s="156"/>
      <c r="J72" s="156"/>
      <c r="K72" s="156"/>
      <c r="L72" s="156"/>
      <c r="M72" s="156"/>
      <c r="N72" s="156"/>
      <c r="O72" s="156"/>
      <c r="P72" s="156"/>
      <c r="Q72" s="156"/>
      <c r="R72" s="156"/>
      <c r="S72" s="156"/>
      <c r="AC72" s="60"/>
      <c r="AD72" s="60"/>
      <c r="AE72" s="60"/>
      <c r="AF72" s="60"/>
      <c r="AG72" s="60"/>
      <c r="AH72" s="60"/>
      <c r="AI72" s="60"/>
      <c r="AJ72" s="60"/>
      <c r="AK72" s="60"/>
      <c r="AL72" s="60"/>
      <c r="AM72" s="60"/>
      <c r="AN72" s="60"/>
      <c r="AO72" s="60"/>
      <c r="AP72" s="60"/>
      <c r="AQ72" s="60"/>
      <c r="AR72" s="60"/>
      <c r="AS72" s="60"/>
      <c r="AT72" s="60"/>
      <c r="AU72" s="60"/>
      <c r="AV72" s="60"/>
      <c r="AW72" s="60"/>
      <c r="AX72" s="60"/>
      <c r="AY72" s="60"/>
      <c r="AZ72" s="60"/>
      <c r="BA72" s="60"/>
      <c r="BB72" s="60"/>
      <c r="BC72" s="60"/>
      <c r="BD72" s="60"/>
      <c r="BE72" s="60"/>
      <c r="BF72" s="60"/>
      <c r="BG72" s="60"/>
      <c r="BH72" s="60"/>
      <c r="BI72" s="60"/>
      <c r="BJ72" s="60"/>
      <c r="BK72" s="60"/>
      <c r="BL72" s="60"/>
      <c r="BM72" s="60"/>
      <c r="BN72" s="60"/>
      <c r="BO72" s="60"/>
      <c r="BP72" s="60"/>
      <c r="BQ72" s="60"/>
      <c r="BR72" s="60"/>
      <c r="BS72" s="60"/>
      <c r="BT72" s="60"/>
      <c r="BU72" s="60"/>
      <c r="BV72" s="60"/>
      <c r="BW72" s="60"/>
      <c r="BX72" s="60"/>
      <c r="BY72" s="60"/>
      <c r="BZ72" s="60"/>
      <c r="CA72" s="60"/>
      <c r="CB72" s="60"/>
      <c r="CC72" s="60"/>
      <c r="CD72" s="60"/>
      <c r="CE72" s="60"/>
      <c r="CF72" s="60"/>
      <c r="CG72" s="60"/>
      <c r="CH72" s="60"/>
      <c r="CI72" s="60"/>
      <c r="CJ72" s="60"/>
      <c r="CK72" s="60"/>
      <c r="CL72" s="60"/>
      <c r="CM72" s="60"/>
      <c r="CN72" s="60"/>
      <c r="CO72" s="60"/>
      <c r="CP72" s="60"/>
      <c r="CQ72" s="60"/>
      <c r="CR72" s="60"/>
      <c r="CS72" s="60"/>
      <c r="CT72" s="60"/>
      <c r="CU72" s="60"/>
      <c r="CV72" s="60"/>
      <c r="CW72" s="60"/>
      <c r="CX72" s="60"/>
      <c r="CY72" s="60"/>
      <c r="CZ72" s="60"/>
      <c r="DA72" s="60"/>
      <c r="DB72" s="60"/>
      <c r="DC72" s="60"/>
      <c r="DD72" s="60"/>
      <c r="DE72" s="60"/>
      <c r="DF72" s="60"/>
      <c r="DG72" s="60"/>
      <c r="DH72" s="60"/>
      <c r="DI72" s="60"/>
      <c r="DJ72" s="60"/>
      <c r="DK72" s="60"/>
      <c r="DL72" s="60"/>
      <c r="DM72" s="60"/>
      <c r="DN72" s="60"/>
      <c r="DO72" s="60"/>
      <c r="DP72" s="60"/>
      <c r="DQ72" s="60"/>
      <c r="DR72" s="60"/>
      <c r="DS72" s="60"/>
      <c r="DT72" s="60"/>
      <c r="DU72" s="60"/>
      <c r="DV72" s="60"/>
      <c r="DW72" s="60"/>
      <c r="DX72" s="60"/>
      <c r="DY72" s="60"/>
      <c r="DZ72" s="60"/>
      <c r="EA72" s="60"/>
      <c r="EB72" s="60"/>
      <c r="EC72" s="60"/>
      <c r="ED72" s="60"/>
      <c r="EE72" s="60"/>
      <c r="EF72" s="60"/>
      <c r="EG72" s="60"/>
      <c r="EH72" s="60"/>
      <c r="EI72" s="60"/>
      <c r="EJ72" s="60"/>
      <c r="EK72" s="60"/>
      <c r="EL72" s="60"/>
      <c r="EM72" s="60"/>
      <c r="EN72" s="60"/>
      <c r="EO72" s="60"/>
      <c r="EP72" s="60"/>
      <c r="EQ72" s="60"/>
      <c r="ER72" s="60"/>
      <c r="ES72" s="60"/>
      <c r="ET72" s="60"/>
      <c r="EU72" s="60"/>
      <c r="EV72" s="60"/>
      <c r="EW72" s="60"/>
      <c r="EX72" s="60"/>
      <c r="EY72" s="60"/>
      <c r="EZ72" s="60"/>
      <c r="FA72" s="60"/>
      <c r="FB72" s="60"/>
      <c r="FC72" s="60"/>
      <c r="FD72" s="60"/>
      <c r="FE72" s="60"/>
      <c r="FF72" s="60"/>
      <c r="FG72" s="60"/>
      <c r="FH72" s="60"/>
      <c r="FI72" s="60"/>
      <c r="FJ72" s="60"/>
      <c r="FK72" s="60"/>
      <c r="FL72" s="60"/>
      <c r="FM72" s="60"/>
      <c r="FN72" s="60"/>
      <c r="FO72" s="60"/>
      <c r="FP72" s="60"/>
      <c r="FQ72" s="60"/>
      <c r="FR72" s="60"/>
      <c r="FS72" s="60"/>
      <c r="FT72" s="60"/>
      <c r="FU72" s="60"/>
      <c r="FV72" s="60"/>
      <c r="FW72" s="60"/>
      <c r="FX72" s="60"/>
      <c r="FY72" s="60"/>
      <c r="FZ72" s="60"/>
      <c r="GA72" s="60"/>
      <c r="GB72" s="60"/>
      <c r="GC72" s="60"/>
      <c r="GD72" s="60"/>
      <c r="GE72" s="60"/>
      <c r="GF72" s="60"/>
      <c r="GG72" s="60"/>
      <c r="GH72" s="60"/>
      <c r="GI72" s="60"/>
      <c r="GJ72" s="60"/>
      <c r="GK72" s="60"/>
      <c r="GL72" s="60"/>
      <c r="GM72" s="60"/>
      <c r="GN72" s="60"/>
      <c r="GO72" s="60"/>
      <c r="GP72" s="60"/>
      <c r="GQ72" s="60"/>
      <c r="GR72" s="60"/>
      <c r="GS72" s="60"/>
      <c r="GT72" s="60"/>
      <c r="GU72" s="60"/>
      <c r="GV72" s="60"/>
      <c r="GW72" s="60"/>
      <c r="GX72" s="60"/>
      <c r="GY72" s="60"/>
      <c r="GZ72" s="60"/>
      <c r="HA72" s="60"/>
      <c r="HB72" s="60"/>
      <c r="HC72" s="60"/>
      <c r="HD72" s="60"/>
      <c r="HE72" s="60"/>
      <c r="HF72" s="60"/>
      <c r="HG72" s="60"/>
      <c r="HH72" s="60"/>
      <c r="HI72" s="60"/>
      <c r="HJ72" s="60"/>
      <c r="HK72" s="60"/>
      <c r="HL72" s="60"/>
      <c r="HM72" s="60"/>
      <c r="HN72" s="60"/>
      <c r="HO72" s="60"/>
      <c r="HP72" s="60"/>
      <c r="HQ72" s="60"/>
      <c r="HR72" s="60"/>
      <c r="HS72" s="60"/>
      <c r="HT72" s="60"/>
      <c r="HU72" s="60"/>
      <c r="HV72" s="60"/>
      <c r="HW72" s="60"/>
      <c r="HX72" s="60"/>
      <c r="HY72" s="60"/>
      <c r="HZ72" s="60"/>
      <c r="IA72" s="60"/>
      <c r="IB72" s="60"/>
      <c r="IC72" s="60"/>
      <c r="ID72" s="60"/>
      <c r="IE72" s="60"/>
      <c r="IF72" s="60"/>
      <c r="IG72" s="60"/>
      <c r="IH72" s="60"/>
      <c r="II72" s="60"/>
      <c r="IJ72" s="60"/>
      <c r="IK72" s="60"/>
      <c r="IL72" s="60"/>
      <c r="IM72" s="60"/>
      <c r="IN72" s="60"/>
      <c r="IO72" s="60"/>
      <c r="IP72" s="60"/>
      <c r="IQ72" s="60"/>
      <c r="IR72" s="60"/>
      <c r="IS72" s="60"/>
      <c r="IT72" s="60"/>
      <c r="IU72" s="60"/>
      <c r="IV72" s="60"/>
      <c r="IW72" s="60"/>
      <c r="IX72" s="60"/>
      <c r="IY72" s="60"/>
      <c r="IZ72" s="60"/>
      <c r="JA72" s="60"/>
      <c r="JB72" s="60"/>
      <c r="JC72" s="60"/>
      <c r="JD72" s="60"/>
      <c r="JE72" s="60"/>
      <c r="JF72" s="60"/>
      <c r="JG72" s="60"/>
      <c r="JH72" s="60"/>
      <c r="JI72" s="60"/>
      <c r="JJ72" s="60"/>
      <c r="JK72" s="60"/>
      <c r="JL72" s="60"/>
      <c r="JM72" s="60"/>
      <c r="JN72" s="60"/>
      <c r="JO72" s="60"/>
      <c r="JP72" s="60"/>
      <c r="JQ72" s="60"/>
      <c r="JR72" s="60"/>
      <c r="JS72" s="60"/>
      <c r="JT72" s="60"/>
      <c r="JU72" s="60"/>
      <c r="JV72" s="60"/>
      <c r="JW72" s="60"/>
      <c r="JX72" s="60"/>
      <c r="JY72" s="60"/>
      <c r="JZ72" s="60"/>
      <c r="KA72" s="60"/>
      <c r="KB72" s="60"/>
      <c r="KC72" s="60"/>
      <c r="KD72" s="60"/>
      <c r="KE72" s="60"/>
      <c r="KF72" s="60"/>
      <c r="KG72" s="60"/>
      <c r="KH72" s="60"/>
      <c r="KI72" s="60"/>
      <c r="KJ72" s="60"/>
      <c r="KK72" s="60"/>
      <c r="KL72" s="60"/>
      <c r="KM72" s="60"/>
      <c r="KN72" s="60"/>
      <c r="KO72" s="60"/>
      <c r="KP72" s="60"/>
      <c r="KQ72" s="60"/>
      <c r="KR72" s="60"/>
      <c r="KS72" s="60"/>
      <c r="KT72" s="60"/>
      <c r="KU72" s="60"/>
      <c r="KV72" s="60"/>
      <c r="KW72" s="60"/>
      <c r="KX72" s="60"/>
      <c r="KY72" s="60"/>
      <c r="KZ72" s="60"/>
      <c r="LA72" s="60"/>
      <c r="LB72" s="60"/>
      <c r="LC72" s="60"/>
      <c r="LD72" s="60"/>
      <c r="LE72" s="60"/>
      <c r="LF72" s="60"/>
      <c r="LG72" s="60"/>
      <c r="LH72" s="60"/>
    </row>
    <row r="73" spans="1:320" s="17" customFormat="1" x14ac:dyDescent="0.25">
      <c r="A73" s="147"/>
      <c r="E73" s="156"/>
      <c r="F73" s="156"/>
      <c r="G73" s="156"/>
      <c r="H73" s="156"/>
      <c r="I73" s="156"/>
      <c r="J73" s="156"/>
      <c r="K73" s="156"/>
      <c r="L73" s="156"/>
      <c r="M73" s="156"/>
      <c r="N73" s="156"/>
      <c r="O73" s="156"/>
      <c r="P73" s="156"/>
      <c r="Q73" s="156"/>
      <c r="R73" s="156"/>
      <c r="S73" s="156"/>
      <c r="AC73" s="60"/>
      <c r="AD73" s="60"/>
      <c r="AE73" s="60"/>
      <c r="AF73" s="60"/>
      <c r="AG73" s="60"/>
      <c r="AH73" s="60"/>
      <c r="AI73" s="60"/>
      <c r="AJ73" s="60"/>
      <c r="AK73" s="60"/>
      <c r="AL73" s="60"/>
      <c r="AM73" s="60"/>
      <c r="AN73" s="60"/>
      <c r="AO73" s="60"/>
      <c r="AP73" s="60"/>
      <c r="AQ73" s="60"/>
      <c r="AR73" s="60"/>
      <c r="AS73" s="60"/>
      <c r="AT73" s="60"/>
      <c r="AU73" s="60"/>
      <c r="AV73" s="60"/>
      <c r="AW73" s="60"/>
      <c r="AX73" s="60"/>
      <c r="AY73" s="60"/>
      <c r="AZ73" s="60"/>
      <c r="BA73" s="60"/>
      <c r="BB73" s="60"/>
      <c r="BC73" s="60"/>
      <c r="BD73" s="60"/>
      <c r="BE73" s="60"/>
      <c r="BF73" s="60"/>
      <c r="BG73" s="60"/>
      <c r="BH73" s="60"/>
      <c r="BI73" s="60"/>
      <c r="BJ73" s="60"/>
      <c r="BK73" s="60"/>
      <c r="BL73" s="60"/>
      <c r="BM73" s="60"/>
      <c r="BN73" s="60"/>
      <c r="BO73" s="60"/>
      <c r="BP73" s="60"/>
      <c r="BQ73" s="60"/>
      <c r="BR73" s="60"/>
      <c r="BS73" s="60"/>
      <c r="BT73" s="60"/>
      <c r="BU73" s="60"/>
      <c r="BV73" s="60"/>
      <c r="BW73" s="60"/>
      <c r="BX73" s="60"/>
      <c r="BY73" s="60"/>
      <c r="BZ73" s="60"/>
      <c r="CA73" s="60"/>
      <c r="CB73" s="60"/>
      <c r="CC73" s="60"/>
      <c r="CD73" s="60"/>
      <c r="CE73" s="60"/>
      <c r="CF73" s="60"/>
      <c r="CG73" s="60"/>
      <c r="CH73" s="60"/>
      <c r="CI73" s="60"/>
      <c r="CJ73" s="60"/>
      <c r="CK73" s="60"/>
      <c r="CL73" s="60"/>
      <c r="CM73" s="60"/>
      <c r="CN73" s="60"/>
      <c r="CO73" s="60"/>
      <c r="CP73" s="60"/>
      <c r="CQ73" s="60"/>
      <c r="CR73" s="60"/>
      <c r="CS73" s="60"/>
      <c r="CT73" s="60"/>
      <c r="CU73" s="60"/>
      <c r="CV73" s="60"/>
      <c r="CW73" s="60"/>
      <c r="CX73" s="60"/>
      <c r="CY73" s="60"/>
      <c r="CZ73" s="60"/>
      <c r="DA73" s="60"/>
      <c r="DB73" s="60"/>
      <c r="DC73" s="60"/>
      <c r="DD73" s="60"/>
      <c r="DE73" s="60"/>
      <c r="DF73" s="60"/>
      <c r="DG73" s="60"/>
      <c r="DH73" s="60"/>
      <c r="DI73" s="60"/>
      <c r="DJ73" s="60"/>
      <c r="DK73" s="60"/>
      <c r="DL73" s="60"/>
      <c r="DM73" s="60"/>
      <c r="DN73" s="60"/>
      <c r="DO73" s="60"/>
      <c r="DP73" s="60"/>
      <c r="DQ73" s="60"/>
      <c r="DR73" s="60"/>
      <c r="DS73" s="60"/>
      <c r="DT73" s="60"/>
      <c r="DU73" s="60"/>
      <c r="DV73" s="60"/>
      <c r="DW73" s="60"/>
      <c r="DX73" s="60"/>
      <c r="DY73" s="60"/>
      <c r="DZ73" s="60"/>
      <c r="EA73" s="60"/>
      <c r="EB73" s="60"/>
      <c r="EC73" s="60"/>
      <c r="ED73" s="60"/>
      <c r="EE73" s="60"/>
      <c r="EF73" s="60"/>
      <c r="EG73" s="60"/>
      <c r="EH73" s="60"/>
      <c r="EI73" s="60"/>
      <c r="EJ73" s="60"/>
      <c r="EK73" s="60"/>
      <c r="EL73" s="60"/>
      <c r="EM73" s="60"/>
      <c r="EN73" s="60"/>
      <c r="EO73" s="60"/>
      <c r="EP73" s="60"/>
      <c r="EQ73" s="60"/>
      <c r="ER73" s="60"/>
      <c r="ES73" s="60"/>
      <c r="ET73" s="60"/>
      <c r="EU73" s="60"/>
      <c r="EV73" s="60"/>
      <c r="EW73" s="60"/>
      <c r="EX73" s="60"/>
      <c r="EY73" s="60"/>
      <c r="EZ73" s="60"/>
      <c r="FA73" s="60"/>
      <c r="FB73" s="60"/>
      <c r="FC73" s="60"/>
      <c r="FD73" s="60"/>
      <c r="FE73" s="60"/>
      <c r="FF73" s="60"/>
      <c r="FG73" s="60"/>
      <c r="FH73" s="60"/>
      <c r="FI73" s="60"/>
      <c r="FJ73" s="60"/>
      <c r="FK73" s="60"/>
      <c r="FL73" s="60"/>
      <c r="FM73" s="60"/>
      <c r="FN73" s="60"/>
      <c r="FO73" s="60"/>
      <c r="FP73" s="60"/>
      <c r="FQ73" s="60"/>
      <c r="FR73" s="60"/>
      <c r="FS73" s="60"/>
      <c r="FT73" s="60"/>
      <c r="FU73" s="60"/>
      <c r="FV73" s="60"/>
      <c r="FW73" s="60"/>
      <c r="FX73" s="60"/>
      <c r="FY73" s="60"/>
      <c r="FZ73" s="60"/>
      <c r="GA73" s="60"/>
      <c r="GB73" s="60"/>
      <c r="GC73" s="60"/>
      <c r="GD73" s="60"/>
      <c r="GE73" s="60"/>
      <c r="GF73" s="60"/>
      <c r="GG73" s="60"/>
      <c r="GH73" s="60"/>
      <c r="GI73" s="60"/>
      <c r="GJ73" s="60"/>
      <c r="GK73" s="60"/>
      <c r="GL73" s="60"/>
      <c r="GM73" s="60"/>
      <c r="GN73" s="60"/>
      <c r="GO73" s="60"/>
      <c r="GP73" s="60"/>
      <c r="GQ73" s="60"/>
      <c r="GR73" s="60"/>
      <c r="GS73" s="60"/>
      <c r="GT73" s="60"/>
      <c r="GU73" s="60"/>
      <c r="GV73" s="60"/>
      <c r="GW73" s="60"/>
      <c r="GX73" s="60"/>
      <c r="GY73" s="60"/>
      <c r="GZ73" s="60"/>
      <c r="HA73" s="60"/>
      <c r="HB73" s="60"/>
      <c r="HC73" s="60"/>
      <c r="HD73" s="60"/>
      <c r="HE73" s="60"/>
      <c r="HF73" s="60"/>
      <c r="HG73" s="60"/>
      <c r="HH73" s="60"/>
      <c r="HI73" s="60"/>
      <c r="HJ73" s="60"/>
      <c r="HK73" s="60"/>
      <c r="HL73" s="60"/>
      <c r="HM73" s="60"/>
      <c r="HN73" s="60"/>
      <c r="HO73" s="60"/>
      <c r="HP73" s="60"/>
      <c r="HQ73" s="60"/>
      <c r="HR73" s="60"/>
      <c r="HS73" s="60"/>
      <c r="HT73" s="60"/>
      <c r="HU73" s="60"/>
      <c r="HV73" s="60"/>
      <c r="HW73" s="60"/>
      <c r="HX73" s="60"/>
      <c r="HY73" s="60"/>
      <c r="HZ73" s="60"/>
      <c r="IA73" s="60"/>
      <c r="IB73" s="60"/>
      <c r="IC73" s="60"/>
      <c r="ID73" s="60"/>
      <c r="IE73" s="60"/>
      <c r="IF73" s="60"/>
      <c r="IG73" s="60"/>
      <c r="IH73" s="60"/>
      <c r="II73" s="60"/>
      <c r="IJ73" s="60"/>
      <c r="IK73" s="60"/>
      <c r="IL73" s="60"/>
      <c r="IM73" s="60"/>
      <c r="IN73" s="60"/>
      <c r="IO73" s="60"/>
      <c r="IP73" s="60"/>
      <c r="IQ73" s="60"/>
      <c r="IR73" s="60"/>
      <c r="IS73" s="60"/>
      <c r="IT73" s="60"/>
      <c r="IU73" s="60"/>
      <c r="IV73" s="60"/>
      <c r="IW73" s="60"/>
      <c r="IX73" s="60"/>
      <c r="IY73" s="60"/>
      <c r="IZ73" s="60"/>
      <c r="JA73" s="60"/>
      <c r="JB73" s="60"/>
      <c r="JC73" s="60"/>
      <c r="JD73" s="60"/>
      <c r="JE73" s="60"/>
      <c r="JF73" s="60"/>
      <c r="JG73" s="60"/>
      <c r="JH73" s="60"/>
      <c r="JI73" s="60"/>
      <c r="JJ73" s="60"/>
      <c r="JK73" s="60"/>
      <c r="JL73" s="60"/>
      <c r="JM73" s="60"/>
      <c r="JN73" s="60"/>
      <c r="JO73" s="60"/>
      <c r="JP73" s="60"/>
      <c r="JQ73" s="60"/>
      <c r="JR73" s="60"/>
      <c r="JS73" s="60"/>
      <c r="JT73" s="60"/>
      <c r="JU73" s="60"/>
      <c r="JV73" s="60"/>
      <c r="JW73" s="60"/>
      <c r="JX73" s="60"/>
      <c r="JY73" s="60"/>
      <c r="JZ73" s="60"/>
      <c r="KA73" s="60"/>
      <c r="KB73" s="60"/>
      <c r="KC73" s="60"/>
      <c r="KD73" s="60"/>
      <c r="KE73" s="60"/>
      <c r="KF73" s="60"/>
      <c r="KG73" s="60"/>
      <c r="KH73" s="60"/>
      <c r="KI73" s="60"/>
      <c r="KJ73" s="60"/>
      <c r="KK73" s="60"/>
      <c r="KL73" s="60"/>
      <c r="KM73" s="60"/>
      <c r="KN73" s="60"/>
      <c r="KO73" s="60"/>
      <c r="KP73" s="60"/>
      <c r="KQ73" s="60"/>
      <c r="KR73" s="60"/>
      <c r="KS73" s="60"/>
      <c r="KT73" s="60"/>
      <c r="KU73" s="60"/>
      <c r="KV73" s="60"/>
      <c r="KW73" s="60"/>
      <c r="KX73" s="60"/>
      <c r="KY73" s="60"/>
      <c r="KZ73" s="60"/>
      <c r="LA73" s="60"/>
      <c r="LB73" s="60"/>
      <c r="LC73" s="60"/>
      <c r="LD73" s="60"/>
      <c r="LE73" s="60"/>
      <c r="LF73" s="60"/>
      <c r="LG73" s="60"/>
      <c r="LH73" s="60"/>
    </row>
    <row r="74" spans="1:320" s="17" customFormat="1" x14ac:dyDescent="0.25">
      <c r="A74" s="147"/>
      <c r="E74" s="156"/>
      <c r="F74" s="156"/>
      <c r="G74" s="156"/>
      <c r="H74" s="156"/>
      <c r="I74" s="156"/>
      <c r="J74" s="156"/>
      <c r="K74" s="156"/>
      <c r="L74" s="156"/>
      <c r="M74" s="156"/>
      <c r="N74" s="156"/>
      <c r="O74" s="156"/>
      <c r="P74" s="156"/>
      <c r="Q74" s="156"/>
      <c r="R74" s="156"/>
      <c r="S74" s="156"/>
      <c r="AC74" s="60"/>
      <c r="AD74" s="60"/>
      <c r="AE74" s="60"/>
      <c r="AF74" s="60"/>
      <c r="AG74" s="60"/>
      <c r="AH74" s="60"/>
      <c r="AI74" s="60"/>
      <c r="AJ74" s="60"/>
      <c r="AK74" s="60"/>
      <c r="AL74" s="60"/>
      <c r="AM74" s="60"/>
      <c r="AN74" s="60"/>
      <c r="AO74" s="60"/>
      <c r="AP74" s="60"/>
      <c r="AQ74" s="60"/>
      <c r="AR74" s="60"/>
      <c r="AS74" s="60"/>
      <c r="AT74" s="60"/>
      <c r="AU74" s="60"/>
      <c r="AV74" s="60"/>
      <c r="AW74" s="60"/>
      <c r="AX74" s="60"/>
      <c r="AY74" s="60"/>
      <c r="AZ74" s="60"/>
      <c r="BA74" s="60"/>
      <c r="BB74" s="60"/>
      <c r="BC74" s="60"/>
      <c r="BD74" s="60"/>
      <c r="BE74" s="60"/>
      <c r="BF74" s="60"/>
      <c r="BG74" s="60"/>
      <c r="BH74" s="60"/>
      <c r="BI74" s="60"/>
      <c r="BJ74" s="60"/>
      <c r="BK74" s="60"/>
      <c r="BL74" s="60"/>
      <c r="BM74" s="60"/>
      <c r="BN74" s="60"/>
      <c r="BO74" s="60"/>
      <c r="BP74" s="60"/>
      <c r="BQ74" s="60"/>
      <c r="BR74" s="60"/>
      <c r="BS74" s="60"/>
      <c r="BT74" s="60"/>
      <c r="BU74" s="60"/>
      <c r="BV74" s="60"/>
      <c r="BW74" s="60"/>
      <c r="BX74" s="60"/>
      <c r="BY74" s="60"/>
      <c r="BZ74" s="60"/>
      <c r="CA74" s="60"/>
      <c r="CB74" s="60"/>
      <c r="CC74" s="60"/>
      <c r="CD74" s="60"/>
      <c r="CE74" s="60"/>
      <c r="CF74" s="60"/>
      <c r="CG74" s="60"/>
      <c r="CH74" s="60"/>
      <c r="CI74" s="60"/>
      <c r="CJ74" s="60"/>
      <c r="CK74" s="60"/>
      <c r="CL74" s="60"/>
      <c r="CM74" s="60"/>
      <c r="CN74" s="60"/>
      <c r="CO74" s="60"/>
      <c r="CP74" s="60"/>
      <c r="CQ74" s="60"/>
      <c r="CR74" s="60"/>
      <c r="CS74" s="60"/>
      <c r="CT74" s="60"/>
      <c r="CU74" s="60"/>
      <c r="CV74" s="60"/>
      <c r="CW74" s="60"/>
      <c r="CX74" s="60"/>
      <c r="CY74" s="60"/>
      <c r="CZ74" s="60"/>
      <c r="DA74" s="60"/>
      <c r="DB74" s="60"/>
      <c r="DC74" s="60"/>
      <c r="DD74" s="60"/>
      <c r="DE74" s="60"/>
      <c r="DF74" s="60"/>
      <c r="DG74" s="60"/>
      <c r="DH74" s="60"/>
      <c r="DI74" s="60"/>
      <c r="DJ74" s="60"/>
      <c r="DK74" s="60"/>
      <c r="DL74" s="60"/>
      <c r="DM74" s="60"/>
      <c r="DN74" s="60"/>
      <c r="DO74" s="60"/>
      <c r="DP74" s="60"/>
      <c r="DQ74" s="60"/>
      <c r="DR74" s="60"/>
      <c r="DS74" s="60"/>
      <c r="DT74" s="60"/>
      <c r="DU74" s="60"/>
      <c r="DV74" s="60"/>
      <c r="DW74" s="60"/>
      <c r="DX74" s="60"/>
      <c r="DY74" s="60"/>
      <c r="DZ74" s="60"/>
      <c r="EA74" s="60"/>
      <c r="EB74" s="60"/>
      <c r="EC74" s="60"/>
      <c r="ED74" s="60"/>
      <c r="EE74" s="60"/>
      <c r="EF74" s="60"/>
      <c r="EG74" s="60"/>
      <c r="EH74" s="60"/>
      <c r="EI74" s="60"/>
      <c r="EJ74" s="60"/>
      <c r="EK74" s="60"/>
      <c r="EL74" s="60"/>
      <c r="EM74" s="60"/>
      <c r="EN74" s="60"/>
      <c r="EO74" s="60"/>
      <c r="EP74" s="60"/>
      <c r="EQ74" s="60"/>
      <c r="ER74" s="60"/>
      <c r="ES74" s="60"/>
      <c r="ET74" s="60"/>
      <c r="EU74" s="60"/>
      <c r="EV74" s="60"/>
      <c r="EW74" s="60"/>
      <c r="EX74" s="60"/>
      <c r="EY74" s="60"/>
      <c r="EZ74" s="60"/>
      <c r="FA74" s="60"/>
      <c r="FB74" s="60"/>
      <c r="FC74" s="60"/>
      <c r="FD74" s="60"/>
      <c r="FE74" s="60"/>
      <c r="FF74" s="60"/>
      <c r="FG74" s="60"/>
      <c r="FH74" s="60"/>
      <c r="FI74" s="60"/>
      <c r="FJ74" s="60"/>
      <c r="FK74" s="60"/>
      <c r="FL74" s="60"/>
      <c r="FM74" s="60"/>
      <c r="FN74" s="60"/>
      <c r="FO74" s="60"/>
      <c r="FP74" s="60"/>
      <c r="FQ74" s="60"/>
      <c r="FR74" s="60"/>
      <c r="FS74" s="60"/>
      <c r="FT74" s="60"/>
      <c r="FU74" s="60"/>
      <c r="FV74" s="60"/>
      <c r="FW74" s="60"/>
      <c r="FX74" s="60"/>
      <c r="FY74" s="60"/>
      <c r="FZ74" s="60"/>
      <c r="GA74" s="60"/>
      <c r="GB74" s="60"/>
      <c r="GC74" s="60"/>
      <c r="GD74" s="60"/>
      <c r="GE74" s="60"/>
      <c r="GF74" s="60"/>
      <c r="GG74" s="60"/>
      <c r="GH74" s="60"/>
      <c r="GI74" s="60"/>
      <c r="GJ74" s="60"/>
      <c r="GK74" s="60"/>
      <c r="GL74" s="60"/>
      <c r="GM74" s="60"/>
      <c r="GN74" s="60"/>
      <c r="GO74" s="60"/>
      <c r="GP74" s="60"/>
      <c r="GQ74" s="60"/>
      <c r="GR74" s="60"/>
      <c r="GS74" s="60"/>
      <c r="GT74" s="60"/>
      <c r="GU74" s="60"/>
      <c r="GV74" s="60"/>
      <c r="GW74" s="60"/>
      <c r="GX74" s="60"/>
      <c r="GY74" s="60"/>
      <c r="GZ74" s="60"/>
      <c r="HA74" s="60"/>
      <c r="HB74" s="60"/>
      <c r="HC74" s="60"/>
      <c r="HD74" s="60"/>
      <c r="HE74" s="60"/>
      <c r="HF74" s="60"/>
      <c r="HG74" s="60"/>
      <c r="HH74" s="60"/>
      <c r="HI74" s="60"/>
      <c r="HJ74" s="60"/>
      <c r="HK74" s="60"/>
      <c r="HL74" s="60"/>
      <c r="HM74" s="60"/>
      <c r="HN74" s="60"/>
      <c r="HO74" s="60"/>
      <c r="HP74" s="60"/>
      <c r="HQ74" s="60"/>
      <c r="HR74" s="60"/>
      <c r="HS74" s="60"/>
      <c r="HT74" s="60"/>
      <c r="HU74" s="60"/>
      <c r="HV74" s="60"/>
      <c r="HW74" s="60"/>
      <c r="HX74" s="60"/>
      <c r="HY74" s="60"/>
      <c r="HZ74" s="60"/>
      <c r="IA74" s="60"/>
      <c r="IB74" s="60"/>
      <c r="IC74" s="60"/>
      <c r="ID74" s="60"/>
      <c r="IE74" s="60"/>
      <c r="IF74" s="60"/>
      <c r="IG74" s="60"/>
      <c r="IH74" s="60"/>
      <c r="II74" s="60"/>
      <c r="IJ74" s="60"/>
      <c r="IK74" s="60"/>
      <c r="IL74" s="60"/>
      <c r="IM74" s="60"/>
      <c r="IN74" s="60"/>
      <c r="IO74" s="60"/>
      <c r="IP74" s="60"/>
      <c r="IQ74" s="60"/>
      <c r="IR74" s="60"/>
      <c r="IS74" s="60"/>
      <c r="IT74" s="60"/>
      <c r="IU74" s="60"/>
      <c r="IV74" s="60"/>
      <c r="IW74" s="60"/>
      <c r="IX74" s="60"/>
      <c r="IY74" s="60"/>
      <c r="IZ74" s="60"/>
      <c r="JA74" s="60"/>
      <c r="JB74" s="60"/>
      <c r="JC74" s="60"/>
      <c r="JD74" s="60"/>
      <c r="JE74" s="60"/>
      <c r="JF74" s="60"/>
      <c r="JG74" s="60"/>
      <c r="JH74" s="60"/>
      <c r="JI74" s="60"/>
      <c r="JJ74" s="60"/>
      <c r="JK74" s="60"/>
      <c r="JL74" s="60"/>
      <c r="JM74" s="60"/>
      <c r="JN74" s="60"/>
      <c r="JO74" s="60"/>
      <c r="JP74" s="60"/>
      <c r="JQ74" s="60"/>
      <c r="JR74" s="60"/>
      <c r="JS74" s="60"/>
      <c r="JT74" s="60"/>
      <c r="JU74" s="60"/>
      <c r="JV74" s="60"/>
      <c r="JW74" s="60"/>
      <c r="JX74" s="60"/>
      <c r="JY74" s="60"/>
      <c r="JZ74" s="60"/>
      <c r="KA74" s="60"/>
      <c r="KB74" s="60"/>
      <c r="KC74" s="60"/>
      <c r="KD74" s="60"/>
      <c r="KE74" s="60"/>
      <c r="KF74" s="60"/>
      <c r="KG74" s="60"/>
      <c r="KH74" s="60"/>
      <c r="KI74" s="60"/>
      <c r="KJ74" s="60"/>
      <c r="KK74" s="60"/>
      <c r="KL74" s="60"/>
      <c r="KM74" s="60"/>
      <c r="KN74" s="60"/>
      <c r="KO74" s="60"/>
      <c r="KP74" s="60"/>
      <c r="KQ74" s="60"/>
      <c r="KR74" s="60"/>
      <c r="KS74" s="60"/>
      <c r="KT74" s="60"/>
      <c r="KU74" s="60"/>
      <c r="KV74" s="60"/>
      <c r="KW74" s="60"/>
      <c r="KX74" s="60"/>
      <c r="KY74" s="60"/>
      <c r="KZ74" s="60"/>
      <c r="LA74" s="60"/>
      <c r="LB74" s="60"/>
      <c r="LC74" s="60"/>
      <c r="LD74" s="60"/>
      <c r="LE74" s="60"/>
      <c r="LF74" s="60"/>
      <c r="LG74" s="60"/>
      <c r="LH74" s="60"/>
    </row>
    <row r="75" spans="1:320" s="17" customFormat="1" x14ac:dyDescent="0.25">
      <c r="A75" s="147"/>
      <c r="E75" s="156"/>
      <c r="F75" s="156"/>
      <c r="G75" s="156"/>
      <c r="H75" s="156"/>
      <c r="I75" s="156"/>
      <c r="J75" s="156"/>
      <c r="K75" s="156"/>
      <c r="L75" s="156"/>
      <c r="M75" s="156"/>
      <c r="N75" s="156"/>
      <c r="O75" s="156"/>
      <c r="P75" s="156"/>
      <c r="Q75" s="156"/>
      <c r="R75" s="156"/>
      <c r="S75" s="156"/>
      <c r="AC75" s="60"/>
      <c r="AD75" s="60"/>
      <c r="AE75" s="60"/>
      <c r="AF75" s="60"/>
      <c r="AG75" s="60"/>
      <c r="AH75" s="60"/>
      <c r="AI75" s="60"/>
      <c r="AJ75" s="60"/>
      <c r="AK75" s="60"/>
      <c r="AL75" s="60"/>
      <c r="AM75" s="60"/>
      <c r="AN75" s="60"/>
      <c r="AO75" s="60"/>
      <c r="AP75" s="60"/>
      <c r="AQ75" s="60"/>
      <c r="AR75" s="60"/>
      <c r="AS75" s="60"/>
      <c r="AT75" s="60"/>
      <c r="AU75" s="60"/>
      <c r="AV75" s="60"/>
      <c r="AW75" s="60"/>
      <c r="AX75" s="60"/>
      <c r="AY75" s="60"/>
      <c r="AZ75" s="60"/>
      <c r="BA75" s="60"/>
      <c r="BB75" s="60"/>
      <c r="BC75" s="60"/>
      <c r="BD75" s="60"/>
      <c r="BE75" s="60"/>
      <c r="BF75" s="60"/>
      <c r="BG75" s="60"/>
      <c r="BH75" s="60"/>
      <c r="BI75" s="60"/>
      <c r="BJ75" s="60"/>
      <c r="BK75" s="60"/>
      <c r="BL75" s="60"/>
      <c r="BM75" s="60"/>
      <c r="BN75" s="60"/>
      <c r="BO75" s="60"/>
      <c r="BP75" s="60"/>
      <c r="BQ75" s="60"/>
      <c r="BR75" s="60"/>
      <c r="BS75" s="60"/>
      <c r="BT75" s="60"/>
      <c r="BU75" s="60"/>
      <c r="BV75" s="60"/>
      <c r="BW75" s="60"/>
      <c r="BX75" s="60"/>
      <c r="BY75" s="60"/>
      <c r="BZ75" s="60"/>
      <c r="CA75" s="60"/>
      <c r="CB75" s="60"/>
      <c r="CC75" s="60"/>
      <c r="CD75" s="60"/>
      <c r="CE75" s="60"/>
      <c r="CF75" s="60"/>
      <c r="CG75" s="60"/>
      <c r="CH75" s="60"/>
      <c r="CI75" s="60"/>
      <c r="CJ75" s="60"/>
      <c r="CK75" s="60"/>
      <c r="CL75" s="60"/>
      <c r="CM75" s="60"/>
      <c r="CN75" s="60"/>
      <c r="CO75" s="60"/>
      <c r="CP75" s="60"/>
      <c r="CQ75" s="60"/>
      <c r="CR75" s="60"/>
      <c r="CS75" s="60"/>
      <c r="CT75" s="60"/>
      <c r="CU75" s="60"/>
      <c r="CV75" s="60"/>
      <c r="CW75" s="60"/>
      <c r="CX75" s="60"/>
      <c r="CY75" s="60"/>
      <c r="CZ75" s="60"/>
      <c r="DA75" s="60"/>
      <c r="DB75" s="60"/>
      <c r="DC75" s="60"/>
      <c r="DD75" s="60"/>
      <c r="DE75" s="60"/>
      <c r="DF75" s="60"/>
      <c r="DG75" s="60"/>
      <c r="DH75" s="60"/>
      <c r="DI75" s="60"/>
      <c r="DJ75" s="60"/>
      <c r="DK75" s="60"/>
      <c r="DL75" s="60"/>
      <c r="DM75" s="60"/>
      <c r="DN75" s="60"/>
      <c r="DO75" s="60"/>
      <c r="DP75" s="60"/>
      <c r="DQ75" s="60"/>
      <c r="DR75" s="60"/>
      <c r="DS75" s="60"/>
      <c r="DT75" s="60"/>
      <c r="DU75" s="60"/>
      <c r="DV75" s="60"/>
      <c r="DW75" s="60"/>
      <c r="DX75" s="60"/>
      <c r="DY75" s="60"/>
      <c r="DZ75" s="60"/>
      <c r="EA75" s="60"/>
      <c r="EB75" s="60"/>
      <c r="EC75" s="60"/>
      <c r="ED75" s="60"/>
      <c r="EE75" s="60"/>
      <c r="EF75" s="60"/>
      <c r="EG75" s="60"/>
      <c r="EH75" s="60"/>
      <c r="EI75" s="60"/>
      <c r="EJ75" s="60"/>
      <c r="EK75" s="60"/>
      <c r="EL75" s="60"/>
      <c r="EM75" s="60"/>
      <c r="EN75" s="60"/>
      <c r="EO75" s="60"/>
      <c r="EP75" s="60"/>
      <c r="EQ75" s="60"/>
      <c r="ER75" s="60"/>
      <c r="ES75" s="60"/>
      <c r="ET75" s="60"/>
      <c r="EU75" s="60"/>
      <c r="EV75" s="60"/>
      <c r="EW75" s="60"/>
      <c r="EX75" s="60"/>
      <c r="EY75" s="60"/>
      <c r="EZ75" s="60"/>
      <c r="FA75" s="60"/>
      <c r="FB75" s="60"/>
      <c r="FC75" s="60"/>
      <c r="FD75" s="60"/>
      <c r="FE75" s="60"/>
      <c r="FF75" s="60"/>
      <c r="FG75" s="60"/>
      <c r="FH75" s="60"/>
      <c r="FI75" s="60"/>
      <c r="FJ75" s="60"/>
      <c r="FK75" s="60"/>
      <c r="FL75" s="60"/>
      <c r="FM75" s="60"/>
      <c r="FN75" s="60"/>
      <c r="FO75" s="60"/>
      <c r="FP75" s="60"/>
      <c r="FQ75" s="60"/>
      <c r="FR75" s="60"/>
      <c r="FS75" s="60"/>
      <c r="FT75" s="60"/>
      <c r="FU75" s="60"/>
      <c r="FV75" s="60"/>
      <c r="FW75" s="60"/>
      <c r="FX75" s="60"/>
      <c r="FY75" s="60"/>
      <c r="FZ75" s="60"/>
      <c r="GA75" s="60"/>
      <c r="GB75" s="60"/>
      <c r="GC75" s="60"/>
      <c r="GD75" s="60"/>
      <c r="GE75" s="60"/>
      <c r="GF75" s="60"/>
      <c r="GG75" s="60"/>
      <c r="GH75" s="60"/>
      <c r="GI75" s="60"/>
      <c r="GJ75" s="60"/>
      <c r="GK75" s="60"/>
      <c r="GL75" s="60"/>
      <c r="GM75" s="60"/>
      <c r="GN75" s="60"/>
      <c r="GO75" s="60"/>
      <c r="GP75" s="60"/>
      <c r="GQ75" s="60"/>
      <c r="GR75" s="60"/>
      <c r="GS75" s="60"/>
      <c r="GT75" s="60"/>
      <c r="GU75" s="60"/>
      <c r="GV75" s="60"/>
      <c r="GW75" s="60"/>
      <c r="GX75" s="60"/>
      <c r="GY75" s="60"/>
      <c r="GZ75" s="60"/>
      <c r="HA75" s="60"/>
      <c r="HB75" s="60"/>
      <c r="HC75" s="60"/>
      <c r="HD75" s="60"/>
      <c r="HE75" s="60"/>
      <c r="HF75" s="60"/>
      <c r="HG75" s="60"/>
      <c r="HH75" s="60"/>
      <c r="HI75" s="60"/>
      <c r="HJ75" s="60"/>
      <c r="HK75" s="60"/>
      <c r="HL75" s="60"/>
      <c r="HM75" s="60"/>
      <c r="HN75" s="60"/>
      <c r="HO75" s="60"/>
      <c r="HP75" s="60"/>
      <c r="HQ75" s="60"/>
      <c r="HR75" s="60"/>
      <c r="HS75" s="60"/>
      <c r="HT75" s="60"/>
      <c r="HU75" s="60"/>
      <c r="HV75" s="60"/>
      <c r="HW75" s="60"/>
      <c r="HX75" s="60"/>
      <c r="HY75" s="60"/>
      <c r="HZ75" s="60"/>
      <c r="IA75" s="60"/>
      <c r="IB75" s="60"/>
      <c r="IC75" s="60"/>
      <c r="ID75" s="60"/>
      <c r="IE75" s="60"/>
      <c r="IF75" s="60"/>
      <c r="IG75" s="60"/>
      <c r="IH75" s="60"/>
      <c r="II75" s="60"/>
      <c r="IJ75" s="60"/>
      <c r="IK75" s="60"/>
      <c r="IL75" s="60"/>
      <c r="IM75" s="60"/>
      <c r="IN75" s="60"/>
      <c r="IO75" s="60"/>
      <c r="IP75" s="60"/>
      <c r="IQ75" s="60"/>
      <c r="IR75" s="60"/>
      <c r="IS75" s="60"/>
      <c r="IT75" s="60"/>
      <c r="IU75" s="60"/>
      <c r="IV75" s="60"/>
      <c r="IW75" s="60"/>
      <c r="IX75" s="60"/>
      <c r="IY75" s="60"/>
      <c r="IZ75" s="60"/>
      <c r="JA75" s="60"/>
      <c r="JB75" s="60"/>
      <c r="JC75" s="60"/>
      <c r="JD75" s="60"/>
      <c r="JE75" s="60"/>
      <c r="JF75" s="60"/>
      <c r="JG75" s="60"/>
      <c r="JH75" s="60"/>
      <c r="JI75" s="60"/>
      <c r="JJ75" s="60"/>
      <c r="JK75" s="60"/>
      <c r="JL75" s="60"/>
      <c r="JM75" s="60"/>
      <c r="JN75" s="60"/>
      <c r="JO75" s="60"/>
      <c r="JP75" s="60"/>
      <c r="JQ75" s="60"/>
      <c r="JR75" s="60"/>
      <c r="JS75" s="60"/>
      <c r="JT75" s="60"/>
      <c r="JU75" s="60"/>
      <c r="JV75" s="60"/>
      <c r="JW75" s="60"/>
      <c r="JX75" s="60"/>
      <c r="JY75" s="60"/>
      <c r="JZ75" s="60"/>
      <c r="KA75" s="60"/>
      <c r="KB75" s="60"/>
      <c r="KC75" s="60"/>
      <c r="KD75" s="60"/>
      <c r="KE75" s="60"/>
      <c r="KF75" s="60"/>
      <c r="KG75" s="60"/>
      <c r="KH75" s="60"/>
      <c r="KI75" s="60"/>
      <c r="KJ75" s="60"/>
      <c r="KK75" s="60"/>
      <c r="KL75" s="60"/>
      <c r="KM75" s="60"/>
      <c r="KN75" s="60"/>
      <c r="KO75" s="60"/>
      <c r="KP75" s="60"/>
      <c r="KQ75" s="60"/>
      <c r="KR75" s="60"/>
      <c r="KS75" s="60"/>
      <c r="KT75" s="60"/>
      <c r="KU75" s="60"/>
      <c r="KV75" s="60"/>
      <c r="KW75" s="60"/>
      <c r="KX75" s="60"/>
      <c r="KY75" s="60"/>
      <c r="KZ75" s="60"/>
      <c r="LA75" s="60"/>
      <c r="LB75" s="60"/>
      <c r="LC75" s="60"/>
      <c r="LD75" s="60"/>
      <c r="LE75" s="60"/>
      <c r="LF75" s="60"/>
      <c r="LG75" s="60"/>
      <c r="LH75" s="60"/>
    </row>
    <row r="76" spans="1:320" s="17" customFormat="1" x14ac:dyDescent="0.25">
      <c r="A76" s="147"/>
      <c r="E76" s="156"/>
      <c r="F76" s="156"/>
      <c r="G76" s="156"/>
      <c r="H76" s="156"/>
      <c r="I76" s="156"/>
      <c r="J76" s="156"/>
      <c r="K76" s="156"/>
      <c r="L76" s="156"/>
      <c r="M76" s="156"/>
      <c r="N76" s="156"/>
      <c r="O76" s="156"/>
      <c r="P76" s="156"/>
      <c r="Q76" s="156"/>
      <c r="R76" s="156"/>
      <c r="S76" s="156"/>
      <c r="AC76" s="60"/>
      <c r="AD76" s="60"/>
      <c r="AE76" s="60"/>
      <c r="AF76" s="60"/>
      <c r="AG76" s="60"/>
      <c r="AH76" s="60"/>
      <c r="AI76" s="60"/>
      <c r="AJ76" s="60"/>
      <c r="AK76" s="60"/>
      <c r="AL76" s="60"/>
      <c r="AM76" s="60"/>
      <c r="AN76" s="60"/>
      <c r="AO76" s="60"/>
      <c r="AP76" s="60"/>
      <c r="AQ76" s="60"/>
      <c r="AR76" s="60"/>
      <c r="AS76" s="60"/>
      <c r="AT76" s="60"/>
      <c r="AU76" s="60"/>
      <c r="AV76" s="60"/>
      <c r="AW76" s="60"/>
      <c r="AX76" s="60"/>
      <c r="AY76" s="60"/>
      <c r="AZ76" s="60"/>
      <c r="BA76" s="60"/>
      <c r="BB76" s="60"/>
      <c r="BC76" s="60"/>
      <c r="BD76" s="60"/>
      <c r="BE76" s="60"/>
      <c r="BF76" s="60"/>
      <c r="BG76" s="60"/>
      <c r="BH76" s="60"/>
      <c r="BI76" s="60"/>
      <c r="BJ76" s="60"/>
      <c r="BK76" s="60"/>
      <c r="BL76" s="60"/>
      <c r="BM76" s="60"/>
      <c r="BN76" s="60"/>
      <c r="BO76" s="60"/>
      <c r="BP76" s="60"/>
      <c r="BQ76" s="60"/>
      <c r="BR76" s="60"/>
      <c r="BS76" s="60"/>
      <c r="BT76" s="60"/>
      <c r="BU76" s="60"/>
      <c r="BV76" s="60"/>
      <c r="BW76" s="60"/>
      <c r="BX76" s="60"/>
      <c r="BY76" s="60"/>
      <c r="BZ76" s="60"/>
      <c r="CA76" s="60"/>
      <c r="CB76" s="60"/>
      <c r="CC76" s="60"/>
      <c r="CD76" s="60"/>
      <c r="CE76" s="60"/>
      <c r="CF76" s="60"/>
      <c r="CG76" s="60"/>
      <c r="CH76" s="60"/>
      <c r="CI76" s="60"/>
      <c r="CJ76" s="60"/>
      <c r="CK76" s="60"/>
      <c r="CL76" s="60"/>
      <c r="CM76" s="60"/>
      <c r="CN76" s="60"/>
      <c r="CO76" s="60"/>
      <c r="CP76" s="60"/>
      <c r="CQ76" s="60"/>
      <c r="CR76" s="60"/>
      <c r="CS76" s="60"/>
      <c r="CT76" s="60"/>
      <c r="CU76" s="60"/>
      <c r="CV76" s="60"/>
      <c r="CW76" s="60"/>
      <c r="CX76" s="60"/>
      <c r="CY76" s="60"/>
      <c r="CZ76" s="60"/>
      <c r="DA76" s="60"/>
      <c r="DB76" s="60"/>
      <c r="DC76" s="60"/>
      <c r="DD76" s="60"/>
      <c r="DE76" s="60"/>
      <c r="DF76" s="60"/>
      <c r="DG76" s="60"/>
      <c r="DH76" s="60"/>
      <c r="DI76" s="60"/>
      <c r="DJ76" s="60"/>
      <c r="DK76" s="60"/>
      <c r="DL76" s="60"/>
      <c r="DM76" s="60"/>
      <c r="DN76" s="60"/>
      <c r="DO76" s="60"/>
      <c r="DP76" s="60"/>
      <c r="DQ76" s="60"/>
      <c r="DR76" s="60"/>
      <c r="DS76" s="60"/>
      <c r="DT76" s="60"/>
      <c r="DU76" s="60"/>
      <c r="DV76" s="60"/>
      <c r="DW76" s="60"/>
      <c r="DX76" s="60"/>
      <c r="DY76" s="60"/>
      <c r="DZ76" s="60"/>
      <c r="EA76" s="60"/>
      <c r="EB76" s="60"/>
      <c r="EC76" s="60"/>
      <c r="ED76" s="60"/>
      <c r="EE76" s="60"/>
      <c r="EF76" s="60"/>
      <c r="EG76" s="60"/>
      <c r="EH76" s="60"/>
      <c r="EI76" s="60"/>
      <c r="EJ76" s="60"/>
      <c r="EK76" s="60"/>
      <c r="EL76" s="60"/>
      <c r="EM76" s="60"/>
      <c r="EN76" s="60"/>
      <c r="EO76" s="60"/>
      <c r="EP76" s="60"/>
      <c r="EQ76" s="60"/>
      <c r="ER76" s="60"/>
      <c r="ES76" s="60"/>
      <c r="ET76" s="60"/>
      <c r="EU76" s="60"/>
      <c r="EV76" s="60"/>
      <c r="EW76" s="60"/>
      <c r="EX76" s="60"/>
      <c r="EY76" s="60"/>
      <c r="EZ76" s="60"/>
      <c r="FA76" s="60"/>
      <c r="FB76" s="60"/>
      <c r="FC76" s="60"/>
      <c r="FD76" s="60"/>
      <c r="FE76" s="60"/>
      <c r="FF76" s="60"/>
      <c r="FG76" s="60"/>
      <c r="FH76" s="60"/>
      <c r="FI76" s="60"/>
      <c r="FJ76" s="60"/>
      <c r="FK76" s="60"/>
      <c r="FL76" s="60"/>
      <c r="FM76" s="60"/>
      <c r="FN76" s="60"/>
      <c r="FO76" s="60"/>
      <c r="FP76" s="60"/>
      <c r="FQ76" s="60"/>
      <c r="FR76" s="60"/>
      <c r="FS76" s="60"/>
      <c r="FT76" s="60"/>
      <c r="FU76" s="60"/>
      <c r="FV76" s="60"/>
      <c r="FW76" s="60"/>
      <c r="FX76" s="60"/>
      <c r="FY76" s="60"/>
      <c r="FZ76" s="60"/>
      <c r="GA76" s="60"/>
      <c r="GB76" s="60"/>
      <c r="GC76" s="60"/>
      <c r="GD76" s="60"/>
      <c r="GE76" s="60"/>
      <c r="GF76" s="60"/>
      <c r="GG76" s="60"/>
      <c r="GH76" s="60"/>
      <c r="GI76" s="60"/>
      <c r="GJ76" s="60"/>
      <c r="GK76" s="60"/>
      <c r="GL76" s="60"/>
      <c r="GM76" s="60"/>
      <c r="GN76" s="60"/>
      <c r="GO76" s="60"/>
      <c r="GP76" s="60"/>
      <c r="GQ76" s="60"/>
      <c r="GR76" s="60"/>
      <c r="GS76" s="60"/>
      <c r="GT76" s="60"/>
      <c r="GU76" s="60"/>
      <c r="GV76" s="60"/>
      <c r="GW76" s="60"/>
      <c r="GX76" s="60"/>
      <c r="GY76" s="60"/>
      <c r="GZ76" s="60"/>
      <c r="HA76" s="60"/>
      <c r="HB76" s="60"/>
      <c r="HC76" s="60"/>
      <c r="HD76" s="60"/>
      <c r="HE76" s="60"/>
      <c r="HF76" s="60"/>
      <c r="HG76" s="60"/>
      <c r="HH76" s="60"/>
      <c r="HI76" s="60"/>
      <c r="HJ76" s="60"/>
      <c r="HK76" s="60"/>
      <c r="HL76" s="60"/>
      <c r="HM76" s="60"/>
      <c r="HN76" s="60"/>
      <c r="HO76" s="60"/>
      <c r="HP76" s="60"/>
      <c r="HQ76" s="60"/>
      <c r="HR76" s="60"/>
      <c r="HS76" s="60"/>
      <c r="HT76" s="60"/>
      <c r="HU76" s="60"/>
      <c r="HV76" s="60"/>
      <c r="HW76" s="60"/>
      <c r="HX76" s="60"/>
      <c r="HY76" s="60"/>
      <c r="HZ76" s="60"/>
      <c r="IA76" s="60"/>
      <c r="IB76" s="60"/>
      <c r="IC76" s="60"/>
      <c r="ID76" s="60"/>
      <c r="IE76" s="60"/>
      <c r="IF76" s="60"/>
      <c r="IG76" s="60"/>
      <c r="IH76" s="60"/>
      <c r="II76" s="60"/>
      <c r="IJ76" s="60"/>
      <c r="IK76" s="60"/>
      <c r="IL76" s="60"/>
      <c r="IM76" s="60"/>
      <c r="IN76" s="60"/>
      <c r="IO76" s="60"/>
      <c r="IP76" s="60"/>
      <c r="IQ76" s="60"/>
      <c r="IR76" s="60"/>
      <c r="IS76" s="60"/>
      <c r="IT76" s="60"/>
      <c r="IU76" s="60"/>
      <c r="IV76" s="60"/>
      <c r="IW76" s="60"/>
      <c r="IX76" s="60"/>
      <c r="IY76" s="60"/>
      <c r="IZ76" s="60"/>
      <c r="JA76" s="60"/>
      <c r="JB76" s="60"/>
      <c r="JC76" s="60"/>
      <c r="JD76" s="60"/>
      <c r="JE76" s="60"/>
      <c r="JF76" s="60"/>
      <c r="JG76" s="60"/>
      <c r="JH76" s="60"/>
      <c r="JI76" s="60"/>
      <c r="JJ76" s="60"/>
      <c r="JK76" s="60"/>
      <c r="JL76" s="60"/>
      <c r="JM76" s="60"/>
      <c r="JN76" s="60"/>
      <c r="JO76" s="60"/>
      <c r="JP76" s="60"/>
      <c r="JQ76" s="60"/>
      <c r="JR76" s="60"/>
      <c r="JS76" s="60"/>
      <c r="JT76" s="60"/>
      <c r="JU76" s="60"/>
      <c r="JV76" s="60"/>
      <c r="JW76" s="60"/>
      <c r="JX76" s="60"/>
      <c r="JY76" s="60"/>
      <c r="JZ76" s="60"/>
      <c r="KA76" s="60"/>
      <c r="KB76" s="60"/>
      <c r="KC76" s="60"/>
      <c r="KD76" s="60"/>
      <c r="KE76" s="60"/>
      <c r="KF76" s="60"/>
      <c r="KG76" s="60"/>
      <c r="KH76" s="60"/>
      <c r="KI76" s="60"/>
      <c r="KJ76" s="60"/>
      <c r="KK76" s="60"/>
      <c r="KL76" s="60"/>
      <c r="KM76" s="60"/>
      <c r="KN76" s="60"/>
      <c r="KO76" s="60"/>
      <c r="KP76" s="60"/>
      <c r="KQ76" s="60"/>
      <c r="KR76" s="60"/>
      <c r="KS76" s="60"/>
      <c r="KT76" s="60"/>
      <c r="KU76" s="60"/>
      <c r="KV76" s="60"/>
      <c r="KW76" s="60"/>
      <c r="KX76" s="60"/>
      <c r="KY76" s="60"/>
      <c r="KZ76" s="60"/>
      <c r="LA76" s="60"/>
      <c r="LB76" s="60"/>
      <c r="LC76" s="60"/>
      <c r="LD76" s="60"/>
      <c r="LE76" s="60"/>
      <c r="LF76" s="60"/>
      <c r="LG76" s="60"/>
      <c r="LH76" s="60"/>
    </row>
    <row r="77" spans="1:320" s="17" customFormat="1" x14ac:dyDescent="0.25">
      <c r="A77" s="147"/>
      <c r="E77" s="156"/>
      <c r="F77" s="156"/>
      <c r="G77" s="156"/>
      <c r="H77" s="156"/>
      <c r="I77" s="156"/>
      <c r="J77" s="156"/>
      <c r="K77" s="156"/>
      <c r="L77" s="156"/>
      <c r="M77" s="156"/>
      <c r="N77" s="156"/>
      <c r="O77" s="156"/>
      <c r="P77" s="156"/>
      <c r="Q77" s="156"/>
      <c r="R77" s="156"/>
      <c r="S77" s="156"/>
      <c r="AC77" s="60"/>
      <c r="AD77" s="60"/>
      <c r="AE77" s="60"/>
      <c r="AF77" s="60"/>
      <c r="AG77" s="60"/>
      <c r="AH77" s="60"/>
      <c r="AI77" s="60"/>
      <c r="AJ77" s="60"/>
      <c r="AK77" s="60"/>
      <c r="AL77" s="60"/>
      <c r="AM77" s="60"/>
      <c r="AN77" s="60"/>
      <c r="AO77" s="60"/>
      <c r="AP77" s="60"/>
      <c r="AQ77" s="60"/>
      <c r="AR77" s="60"/>
      <c r="AS77" s="60"/>
      <c r="AT77" s="60"/>
      <c r="AU77" s="60"/>
      <c r="AV77" s="60"/>
      <c r="AW77" s="60"/>
      <c r="AX77" s="60"/>
      <c r="AY77" s="60"/>
      <c r="AZ77" s="60"/>
      <c r="BA77" s="60"/>
      <c r="BB77" s="60"/>
      <c r="BC77" s="60"/>
      <c r="BD77" s="60"/>
      <c r="BE77" s="60"/>
      <c r="BF77" s="60"/>
      <c r="BG77" s="60"/>
      <c r="BH77" s="60"/>
      <c r="BI77" s="60"/>
      <c r="BJ77" s="60"/>
      <c r="BK77" s="60"/>
      <c r="BL77" s="60"/>
      <c r="BM77" s="60"/>
      <c r="BN77" s="60"/>
      <c r="BO77" s="60"/>
      <c r="BP77" s="60"/>
      <c r="BQ77" s="60"/>
      <c r="BR77" s="60"/>
      <c r="BS77" s="60"/>
      <c r="BT77" s="60"/>
      <c r="BU77" s="60"/>
      <c r="BV77" s="60"/>
      <c r="BW77" s="60"/>
      <c r="BX77" s="60"/>
      <c r="BY77" s="60"/>
      <c r="BZ77" s="60"/>
      <c r="CA77" s="60"/>
      <c r="CB77" s="60"/>
      <c r="CC77" s="60"/>
      <c r="CD77" s="60"/>
      <c r="CE77" s="60"/>
      <c r="CF77" s="60"/>
      <c r="CG77" s="60"/>
      <c r="CH77" s="60"/>
      <c r="CI77" s="60"/>
      <c r="CJ77" s="60"/>
      <c r="CK77" s="60"/>
      <c r="CL77" s="60"/>
      <c r="CM77" s="60"/>
      <c r="CN77" s="60"/>
      <c r="CO77" s="60"/>
      <c r="CP77" s="60"/>
      <c r="CQ77" s="60"/>
      <c r="CR77" s="60"/>
      <c r="CS77" s="60"/>
      <c r="CT77" s="60"/>
      <c r="CU77" s="60"/>
      <c r="CV77" s="60"/>
      <c r="CW77" s="60"/>
      <c r="CX77" s="60"/>
      <c r="CY77" s="60"/>
      <c r="CZ77" s="60"/>
      <c r="DA77" s="60"/>
      <c r="DB77" s="60"/>
      <c r="DC77" s="60"/>
      <c r="DD77" s="60"/>
      <c r="DE77" s="60"/>
      <c r="DF77" s="60"/>
      <c r="DG77" s="60"/>
      <c r="DH77" s="60"/>
      <c r="DI77" s="60"/>
      <c r="DJ77" s="60"/>
      <c r="DK77" s="60"/>
      <c r="DL77" s="60"/>
      <c r="DM77" s="60"/>
      <c r="DN77" s="60"/>
      <c r="DO77" s="60"/>
      <c r="DP77" s="60"/>
      <c r="DQ77" s="60"/>
      <c r="DR77" s="60"/>
      <c r="DS77" s="60"/>
      <c r="DT77" s="60"/>
      <c r="DU77" s="60"/>
      <c r="DV77" s="60"/>
      <c r="DW77" s="60"/>
      <c r="DX77" s="60"/>
      <c r="DY77" s="60"/>
      <c r="DZ77" s="60"/>
      <c r="EA77" s="60"/>
      <c r="EB77" s="60"/>
      <c r="EC77" s="60"/>
      <c r="ED77" s="60"/>
      <c r="EE77" s="60"/>
      <c r="EF77" s="60"/>
      <c r="EG77" s="60"/>
      <c r="EH77" s="60"/>
      <c r="EI77" s="60"/>
      <c r="EJ77" s="60"/>
      <c r="EK77" s="60"/>
      <c r="EL77" s="60"/>
      <c r="EM77" s="60"/>
      <c r="EN77" s="60"/>
      <c r="EO77" s="60"/>
      <c r="EP77" s="60"/>
      <c r="EQ77" s="60"/>
      <c r="ER77" s="60"/>
      <c r="ES77" s="60"/>
      <c r="ET77" s="60"/>
      <c r="EU77" s="60"/>
      <c r="EV77" s="60"/>
      <c r="EW77" s="60"/>
      <c r="EX77" s="60"/>
      <c r="EY77" s="60"/>
      <c r="EZ77" s="60"/>
      <c r="FA77" s="60"/>
      <c r="FB77" s="60"/>
      <c r="FC77" s="60"/>
      <c r="FD77" s="60"/>
      <c r="FE77" s="60"/>
      <c r="FF77" s="60"/>
      <c r="FG77" s="60"/>
      <c r="FH77" s="60"/>
      <c r="FI77" s="60"/>
      <c r="FJ77" s="60"/>
      <c r="FK77" s="60"/>
      <c r="FL77" s="60"/>
      <c r="FM77" s="60"/>
      <c r="FN77" s="60"/>
      <c r="FO77" s="60"/>
      <c r="FP77" s="60"/>
      <c r="FQ77" s="60"/>
      <c r="FR77" s="60"/>
      <c r="FS77" s="60"/>
      <c r="FT77" s="60"/>
      <c r="FU77" s="60"/>
      <c r="FV77" s="60"/>
      <c r="FW77" s="60"/>
      <c r="FX77" s="60"/>
      <c r="FY77" s="60"/>
      <c r="FZ77" s="60"/>
      <c r="GA77" s="60"/>
      <c r="GB77" s="60"/>
      <c r="GC77" s="60"/>
      <c r="GD77" s="60"/>
      <c r="GE77" s="60"/>
      <c r="GF77" s="60"/>
      <c r="GG77" s="60"/>
      <c r="GH77" s="60"/>
      <c r="GI77" s="60"/>
      <c r="GJ77" s="60"/>
      <c r="GK77" s="60"/>
      <c r="GL77" s="60"/>
      <c r="GM77" s="60"/>
      <c r="GN77" s="60"/>
      <c r="GO77" s="60"/>
      <c r="GP77" s="60"/>
      <c r="GQ77" s="60"/>
      <c r="GR77" s="60"/>
      <c r="GS77" s="60"/>
      <c r="GT77" s="60"/>
      <c r="GU77" s="60"/>
      <c r="GV77" s="60"/>
      <c r="GW77" s="60"/>
      <c r="GX77" s="60"/>
      <c r="GY77" s="60"/>
      <c r="GZ77" s="60"/>
      <c r="HA77" s="60"/>
      <c r="HB77" s="60"/>
      <c r="HC77" s="60"/>
      <c r="HD77" s="60"/>
      <c r="HE77" s="60"/>
      <c r="HF77" s="60"/>
      <c r="HG77" s="60"/>
      <c r="HH77" s="60"/>
      <c r="HI77" s="60"/>
      <c r="HJ77" s="60"/>
      <c r="HK77" s="60"/>
      <c r="HL77" s="60"/>
      <c r="HM77" s="60"/>
      <c r="HN77" s="60"/>
      <c r="HO77" s="60"/>
      <c r="HP77" s="60"/>
      <c r="HQ77" s="60"/>
      <c r="HR77" s="60"/>
      <c r="HS77" s="60"/>
      <c r="HT77" s="60"/>
      <c r="HU77" s="60"/>
      <c r="HV77" s="60"/>
      <c r="HW77" s="60"/>
      <c r="HX77" s="60"/>
      <c r="HY77" s="60"/>
      <c r="HZ77" s="60"/>
      <c r="IA77" s="60"/>
      <c r="IB77" s="60"/>
      <c r="IC77" s="60"/>
      <c r="ID77" s="60"/>
      <c r="IE77" s="60"/>
      <c r="IF77" s="60"/>
      <c r="IG77" s="60"/>
      <c r="IH77" s="60"/>
      <c r="II77" s="60"/>
      <c r="IJ77" s="60"/>
      <c r="IK77" s="60"/>
      <c r="IL77" s="60"/>
      <c r="IM77" s="60"/>
      <c r="IN77" s="60"/>
      <c r="IO77" s="60"/>
      <c r="IP77" s="60"/>
      <c r="IQ77" s="60"/>
      <c r="IR77" s="60"/>
      <c r="IS77" s="60"/>
      <c r="IT77" s="60"/>
      <c r="IU77" s="60"/>
      <c r="IV77" s="60"/>
      <c r="IW77" s="60"/>
      <c r="IX77" s="60"/>
      <c r="IY77" s="60"/>
      <c r="IZ77" s="60"/>
      <c r="JA77" s="60"/>
      <c r="JB77" s="60"/>
      <c r="JC77" s="60"/>
      <c r="JD77" s="60"/>
      <c r="JE77" s="60"/>
      <c r="JF77" s="60"/>
      <c r="JG77" s="60"/>
      <c r="JH77" s="60"/>
      <c r="JI77" s="60"/>
      <c r="JJ77" s="60"/>
      <c r="JK77" s="60"/>
      <c r="JL77" s="60"/>
      <c r="JM77" s="60"/>
      <c r="JN77" s="60"/>
      <c r="JO77" s="60"/>
      <c r="JP77" s="60"/>
      <c r="JQ77" s="60"/>
      <c r="JR77" s="60"/>
      <c r="JS77" s="60"/>
      <c r="JT77" s="60"/>
      <c r="JU77" s="60"/>
      <c r="JV77" s="60"/>
      <c r="JW77" s="60"/>
      <c r="JX77" s="60"/>
      <c r="JY77" s="60"/>
      <c r="JZ77" s="60"/>
      <c r="KA77" s="60"/>
      <c r="KB77" s="60"/>
      <c r="KC77" s="60"/>
      <c r="KD77" s="60"/>
      <c r="KE77" s="60"/>
      <c r="KF77" s="60"/>
      <c r="KG77" s="60"/>
      <c r="KH77" s="60"/>
      <c r="KI77" s="60"/>
      <c r="KJ77" s="60"/>
      <c r="KK77" s="60"/>
      <c r="KL77" s="60"/>
      <c r="KM77" s="60"/>
      <c r="KN77" s="60"/>
      <c r="KO77" s="60"/>
      <c r="KP77" s="60"/>
      <c r="KQ77" s="60"/>
      <c r="KR77" s="60"/>
      <c r="KS77" s="60"/>
      <c r="KT77" s="60"/>
      <c r="KU77" s="60"/>
      <c r="KV77" s="60"/>
      <c r="KW77" s="60"/>
      <c r="KX77" s="60"/>
      <c r="KY77" s="60"/>
      <c r="KZ77" s="60"/>
      <c r="LA77" s="60"/>
      <c r="LB77" s="60"/>
      <c r="LC77" s="60"/>
      <c r="LD77" s="60"/>
      <c r="LE77" s="60"/>
      <c r="LF77" s="60"/>
      <c r="LG77" s="60"/>
      <c r="LH77" s="60"/>
    </row>
    <row r="78" spans="1:320" s="17" customFormat="1" x14ac:dyDescent="0.25">
      <c r="A78" s="147"/>
      <c r="E78" s="156"/>
      <c r="F78" s="156"/>
      <c r="G78" s="156"/>
      <c r="H78" s="156"/>
      <c r="I78" s="156"/>
      <c r="J78" s="156"/>
      <c r="K78" s="156"/>
      <c r="L78" s="156"/>
      <c r="M78" s="156"/>
      <c r="N78" s="156"/>
      <c r="O78" s="156"/>
      <c r="P78" s="156"/>
      <c r="Q78" s="156"/>
      <c r="R78" s="156"/>
      <c r="S78" s="156"/>
      <c r="AC78" s="60"/>
      <c r="AD78" s="60"/>
      <c r="AE78" s="60"/>
      <c r="AF78" s="60"/>
      <c r="AG78" s="60"/>
      <c r="AH78" s="60"/>
      <c r="AI78" s="60"/>
      <c r="AJ78" s="60"/>
      <c r="AK78" s="60"/>
      <c r="AL78" s="60"/>
      <c r="AM78" s="60"/>
      <c r="AN78" s="60"/>
      <c r="AO78" s="60"/>
      <c r="AP78" s="60"/>
      <c r="AQ78" s="60"/>
      <c r="AR78" s="60"/>
      <c r="AS78" s="60"/>
      <c r="AT78" s="60"/>
      <c r="AU78" s="60"/>
      <c r="AV78" s="60"/>
      <c r="AW78" s="60"/>
      <c r="AX78" s="60"/>
      <c r="AY78" s="60"/>
      <c r="AZ78" s="60"/>
      <c r="BA78" s="60"/>
      <c r="BB78" s="60"/>
      <c r="BC78" s="60"/>
      <c r="BD78" s="60"/>
      <c r="BE78" s="60"/>
      <c r="BF78" s="60"/>
      <c r="BG78" s="60"/>
      <c r="BH78" s="60"/>
      <c r="BI78" s="60"/>
      <c r="BJ78" s="60"/>
      <c r="BK78" s="60"/>
      <c r="BL78" s="60"/>
      <c r="BM78" s="60"/>
      <c r="BN78" s="60"/>
      <c r="BO78" s="60"/>
      <c r="BP78" s="60"/>
      <c r="BQ78" s="60"/>
      <c r="BR78" s="60"/>
      <c r="BS78" s="60"/>
      <c r="BT78" s="60"/>
      <c r="BU78" s="60"/>
      <c r="BV78" s="60"/>
      <c r="BW78" s="60"/>
      <c r="BX78" s="60"/>
      <c r="BY78" s="60"/>
      <c r="BZ78" s="60"/>
      <c r="CA78" s="60"/>
      <c r="CB78" s="60"/>
      <c r="CC78" s="60"/>
      <c r="CD78" s="60"/>
      <c r="CE78" s="60"/>
      <c r="CF78" s="60"/>
      <c r="CG78" s="60"/>
      <c r="CH78" s="60"/>
      <c r="CI78" s="60"/>
      <c r="CJ78" s="60"/>
      <c r="CK78" s="60"/>
      <c r="CL78" s="60"/>
      <c r="CM78" s="60"/>
      <c r="CN78" s="60"/>
      <c r="CO78" s="60"/>
      <c r="CP78" s="60"/>
      <c r="CQ78" s="60"/>
      <c r="CR78" s="60"/>
      <c r="CS78" s="60"/>
      <c r="CT78" s="60"/>
      <c r="CU78" s="60"/>
      <c r="CV78" s="60"/>
      <c r="CW78" s="60"/>
      <c r="CX78" s="60"/>
      <c r="CY78" s="60"/>
      <c r="CZ78" s="60"/>
      <c r="DA78" s="60"/>
      <c r="DB78" s="60"/>
      <c r="DC78" s="60"/>
      <c r="DD78" s="60"/>
      <c r="DE78" s="60"/>
      <c r="DF78" s="60"/>
      <c r="DG78" s="60"/>
      <c r="DH78" s="60"/>
      <c r="DI78" s="60"/>
      <c r="DJ78" s="60"/>
      <c r="DK78" s="60"/>
      <c r="DL78" s="60"/>
      <c r="DM78" s="60"/>
      <c r="DN78" s="60"/>
      <c r="DO78" s="60"/>
      <c r="DP78" s="60"/>
      <c r="DQ78" s="60"/>
      <c r="DR78" s="60"/>
      <c r="DS78" s="60"/>
      <c r="DT78" s="60"/>
      <c r="DU78" s="60"/>
      <c r="DV78" s="60"/>
      <c r="DW78" s="60"/>
      <c r="DX78" s="60"/>
      <c r="DY78" s="60"/>
      <c r="DZ78" s="60"/>
      <c r="EA78" s="60"/>
      <c r="EB78" s="60"/>
      <c r="EC78" s="60"/>
      <c r="ED78" s="60"/>
      <c r="EE78" s="60"/>
      <c r="EF78" s="60"/>
      <c r="EG78" s="60"/>
      <c r="EH78" s="60"/>
      <c r="EI78" s="60"/>
      <c r="EJ78" s="60"/>
      <c r="EK78" s="60"/>
      <c r="EL78" s="60"/>
      <c r="EM78" s="60"/>
      <c r="EN78" s="60"/>
      <c r="EO78" s="60"/>
      <c r="EP78" s="60"/>
      <c r="EQ78" s="60"/>
      <c r="ER78" s="60"/>
      <c r="ES78" s="60"/>
      <c r="ET78" s="60"/>
      <c r="EU78" s="60"/>
      <c r="EV78" s="60"/>
      <c r="EW78" s="60"/>
      <c r="EX78" s="60"/>
      <c r="EY78" s="60"/>
      <c r="EZ78" s="60"/>
      <c r="FA78" s="60"/>
      <c r="FB78" s="60"/>
      <c r="FC78" s="60"/>
      <c r="FD78" s="60"/>
      <c r="FE78" s="60"/>
      <c r="FF78" s="60"/>
      <c r="FG78" s="60"/>
      <c r="FH78" s="60"/>
      <c r="FI78" s="60"/>
      <c r="FJ78" s="60"/>
      <c r="FK78" s="60"/>
      <c r="FL78" s="60"/>
      <c r="FM78" s="60"/>
      <c r="FN78" s="60"/>
      <c r="FO78" s="60"/>
      <c r="FP78" s="60"/>
      <c r="FQ78" s="60"/>
      <c r="FR78" s="60"/>
      <c r="FS78" s="60"/>
      <c r="FT78" s="60"/>
      <c r="FU78" s="60"/>
      <c r="FV78" s="60"/>
      <c r="FW78" s="60"/>
      <c r="FX78" s="60"/>
      <c r="FY78" s="60"/>
      <c r="FZ78" s="60"/>
      <c r="GA78" s="60"/>
      <c r="GB78" s="60"/>
      <c r="GC78" s="60"/>
      <c r="GD78" s="60"/>
      <c r="GE78" s="60"/>
      <c r="GF78" s="60"/>
      <c r="GG78" s="60"/>
      <c r="GH78" s="60"/>
      <c r="GI78" s="60"/>
      <c r="GJ78" s="60"/>
      <c r="GK78" s="60"/>
      <c r="GL78" s="60"/>
      <c r="GM78" s="60"/>
      <c r="GN78" s="60"/>
      <c r="GO78" s="60"/>
      <c r="GP78" s="60"/>
      <c r="GQ78" s="60"/>
      <c r="GR78" s="60"/>
      <c r="GS78" s="60"/>
      <c r="GT78" s="60"/>
      <c r="GU78" s="60"/>
      <c r="GV78" s="60"/>
      <c r="GW78" s="60"/>
      <c r="GX78" s="60"/>
      <c r="GY78" s="60"/>
      <c r="GZ78" s="60"/>
      <c r="HA78" s="60"/>
      <c r="HB78" s="60"/>
      <c r="HC78" s="60"/>
      <c r="HD78" s="60"/>
      <c r="HE78" s="60"/>
      <c r="HF78" s="60"/>
      <c r="HG78" s="60"/>
      <c r="HH78" s="60"/>
      <c r="HI78" s="60"/>
      <c r="HJ78" s="60"/>
      <c r="HK78" s="60"/>
      <c r="HL78" s="60"/>
      <c r="HM78" s="60"/>
      <c r="HN78" s="60"/>
      <c r="HO78" s="60"/>
      <c r="HP78" s="60"/>
      <c r="HQ78" s="60"/>
      <c r="HR78" s="60"/>
      <c r="HS78" s="60"/>
      <c r="HT78" s="60"/>
      <c r="HU78" s="60"/>
      <c r="HV78" s="60"/>
      <c r="HW78" s="60"/>
      <c r="HX78" s="60"/>
      <c r="HY78" s="60"/>
      <c r="HZ78" s="60"/>
      <c r="IA78" s="60"/>
      <c r="IB78" s="60"/>
      <c r="IC78" s="60"/>
      <c r="ID78" s="60"/>
      <c r="IE78" s="60"/>
      <c r="IF78" s="60"/>
      <c r="IG78" s="60"/>
      <c r="IH78" s="60"/>
      <c r="II78" s="60"/>
      <c r="IJ78" s="60"/>
      <c r="IK78" s="60"/>
      <c r="IL78" s="60"/>
      <c r="IM78" s="60"/>
      <c r="IN78" s="60"/>
      <c r="IO78" s="60"/>
      <c r="IP78" s="60"/>
      <c r="IQ78" s="60"/>
      <c r="IR78" s="60"/>
      <c r="IS78" s="60"/>
      <c r="IT78" s="60"/>
      <c r="IU78" s="60"/>
      <c r="IV78" s="60"/>
      <c r="IW78" s="60"/>
      <c r="IX78" s="60"/>
      <c r="IY78" s="60"/>
      <c r="IZ78" s="60"/>
      <c r="JA78" s="60"/>
      <c r="JB78" s="60"/>
      <c r="JC78" s="60"/>
      <c r="JD78" s="60"/>
      <c r="JE78" s="60"/>
      <c r="JF78" s="60"/>
      <c r="JG78" s="60"/>
      <c r="JH78" s="60"/>
      <c r="JI78" s="60"/>
      <c r="JJ78" s="60"/>
      <c r="JK78" s="60"/>
      <c r="JL78" s="60"/>
      <c r="JM78" s="60"/>
      <c r="JN78" s="60"/>
      <c r="JO78" s="60"/>
      <c r="JP78" s="60"/>
      <c r="JQ78" s="60"/>
      <c r="JR78" s="60"/>
      <c r="JS78" s="60"/>
      <c r="JT78" s="60"/>
      <c r="JU78" s="60"/>
      <c r="JV78" s="60"/>
      <c r="JW78" s="60"/>
      <c r="JX78" s="60"/>
      <c r="JY78" s="60"/>
      <c r="JZ78" s="60"/>
      <c r="KA78" s="60"/>
      <c r="KB78" s="60"/>
      <c r="KC78" s="60"/>
      <c r="KD78" s="60"/>
      <c r="KE78" s="60"/>
      <c r="KF78" s="60"/>
      <c r="KG78" s="60"/>
      <c r="KH78" s="60"/>
      <c r="KI78" s="60"/>
      <c r="KJ78" s="60"/>
      <c r="KK78" s="60"/>
      <c r="KL78" s="60"/>
      <c r="KM78" s="60"/>
      <c r="KN78" s="60"/>
      <c r="KO78" s="60"/>
      <c r="KP78" s="60"/>
      <c r="KQ78" s="60"/>
      <c r="KR78" s="60"/>
      <c r="KS78" s="60"/>
      <c r="KT78" s="60"/>
      <c r="KU78" s="60"/>
      <c r="KV78" s="60"/>
      <c r="KW78" s="60"/>
      <c r="KX78" s="60"/>
      <c r="KY78" s="60"/>
      <c r="KZ78" s="60"/>
      <c r="LA78" s="60"/>
      <c r="LB78" s="60"/>
      <c r="LC78" s="60"/>
      <c r="LD78" s="60"/>
      <c r="LE78" s="60"/>
      <c r="LF78" s="60"/>
      <c r="LG78" s="60"/>
      <c r="LH78" s="60"/>
    </row>
    <row r="79" spans="1:320" s="17" customFormat="1" x14ac:dyDescent="0.25">
      <c r="A79" s="147"/>
      <c r="E79" s="156"/>
      <c r="F79" s="156"/>
      <c r="G79" s="156"/>
      <c r="H79" s="156"/>
      <c r="I79" s="156"/>
      <c r="J79" s="156"/>
      <c r="K79" s="156"/>
      <c r="L79" s="156"/>
      <c r="M79" s="156"/>
      <c r="N79" s="156"/>
      <c r="O79" s="156"/>
      <c r="P79" s="156"/>
      <c r="Q79" s="156"/>
      <c r="R79" s="156"/>
      <c r="S79" s="156"/>
      <c r="AC79" s="60"/>
      <c r="AD79" s="60"/>
      <c r="AE79" s="60"/>
      <c r="AF79" s="60"/>
      <c r="AG79" s="60"/>
      <c r="AH79" s="60"/>
      <c r="AI79" s="60"/>
      <c r="AJ79" s="60"/>
      <c r="AK79" s="60"/>
      <c r="AL79" s="60"/>
      <c r="AM79" s="60"/>
      <c r="AN79" s="60"/>
      <c r="AO79" s="60"/>
      <c r="AP79" s="60"/>
      <c r="AQ79" s="60"/>
      <c r="AR79" s="60"/>
      <c r="AS79" s="60"/>
      <c r="AT79" s="60"/>
      <c r="AU79" s="60"/>
      <c r="AV79" s="60"/>
      <c r="AW79" s="60"/>
      <c r="AX79" s="60"/>
      <c r="AY79" s="60"/>
      <c r="AZ79" s="60"/>
      <c r="BA79" s="60"/>
      <c r="BB79" s="60"/>
      <c r="BC79" s="60"/>
      <c r="BD79" s="60"/>
      <c r="BE79" s="60"/>
      <c r="BF79" s="60"/>
      <c r="BG79" s="60"/>
      <c r="BH79" s="60"/>
      <c r="BI79" s="60"/>
      <c r="BJ79" s="60"/>
      <c r="BK79" s="60"/>
      <c r="BL79" s="60"/>
      <c r="BM79" s="60"/>
      <c r="BN79" s="60"/>
      <c r="BO79" s="60"/>
      <c r="BP79" s="60"/>
      <c r="BQ79" s="60"/>
      <c r="BR79" s="60"/>
      <c r="BS79" s="60"/>
      <c r="BT79" s="60"/>
      <c r="BU79" s="60"/>
      <c r="BV79" s="60"/>
      <c r="BW79" s="60"/>
      <c r="BX79" s="60"/>
      <c r="BY79" s="60"/>
      <c r="BZ79" s="60"/>
      <c r="CA79" s="60"/>
      <c r="CB79" s="60"/>
      <c r="CC79" s="60"/>
      <c r="CD79" s="60"/>
      <c r="CE79" s="60"/>
      <c r="CF79" s="60"/>
      <c r="CG79" s="60"/>
      <c r="CH79" s="60"/>
      <c r="CI79" s="60"/>
      <c r="CJ79" s="60"/>
      <c r="CK79" s="60"/>
      <c r="CL79" s="60"/>
      <c r="CM79" s="60"/>
      <c r="CN79" s="60"/>
      <c r="CO79" s="60"/>
      <c r="CP79" s="60"/>
      <c r="CQ79" s="60"/>
      <c r="CR79" s="60"/>
      <c r="CS79" s="60"/>
      <c r="CT79" s="60"/>
      <c r="CU79" s="60"/>
      <c r="CV79" s="60"/>
      <c r="CW79" s="60"/>
      <c r="CX79" s="60"/>
      <c r="CY79" s="60"/>
      <c r="CZ79" s="60"/>
      <c r="DA79" s="60"/>
      <c r="DB79" s="60"/>
      <c r="DC79" s="60"/>
      <c r="DD79" s="60"/>
      <c r="DE79" s="60"/>
      <c r="DF79" s="60"/>
      <c r="DG79" s="60"/>
      <c r="DH79" s="60"/>
      <c r="DI79" s="60"/>
      <c r="DJ79" s="60"/>
      <c r="DK79" s="60"/>
      <c r="DL79" s="60"/>
      <c r="DM79" s="60"/>
      <c r="DN79" s="60"/>
      <c r="DO79" s="60"/>
      <c r="DP79" s="60"/>
      <c r="DQ79" s="60"/>
      <c r="DR79" s="60"/>
      <c r="DS79" s="60"/>
      <c r="DT79" s="60"/>
      <c r="DU79" s="60"/>
      <c r="DV79" s="60"/>
      <c r="DW79" s="60"/>
      <c r="DX79" s="60"/>
      <c r="DY79" s="60"/>
      <c r="DZ79" s="60"/>
      <c r="EA79" s="60"/>
      <c r="EB79" s="60"/>
      <c r="EC79" s="60"/>
      <c r="ED79" s="60"/>
      <c r="EE79" s="60"/>
      <c r="EF79" s="60"/>
      <c r="EG79" s="60"/>
      <c r="EH79" s="60"/>
      <c r="EI79" s="60"/>
      <c r="EJ79" s="60"/>
      <c r="EK79" s="60"/>
      <c r="EL79" s="60"/>
      <c r="EM79" s="60"/>
      <c r="EN79" s="60"/>
      <c r="EO79" s="60"/>
      <c r="EP79" s="60"/>
      <c r="EQ79" s="60"/>
      <c r="ER79" s="60"/>
      <c r="ES79" s="60"/>
      <c r="ET79" s="60"/>
      <c r="EU79" s="60"/>
      <c r="EV79" s="60"/>
      <c r="EW79" s="60"/>
      <c r="EX79" s="60"/>
      <c r="EY79" s="60"/>
      <c r="EZ79" s="60"/>
      <c r="FA79" s="60"/>
      <c r="FB79" s="60"/>
      <c r="FC79" s="60"/>
      <c r="FD79" s="60"/>
      <c r="FE79" s="60"/>
      <c r="FF79" s="60"/>
      <c r="FG79" s="60"/>
      <c r="FH79" s="60"/>
      <c r="FI79" s="60"/>
      <c r="FJ79" s="60"/>
      <c r="FK79" s="60"/>
      <c r="FL79" s="60"/>
      <c r="FM79" s="60"/>
      <c r="FN79" s="60"/>
      <c r="FO79" s="60"/>
      <c r="FP79" s="60"/>
      <c r="FQ79" s="60"/>
      <c r="FR79" s="60"/>
      <c r="FS79" s="60"/>
      <c r="FT79" s="60"/>
      <c r="FU79" s="60"/>
      <c r="FV79" s="60"/>
      <c r="FW79" s="60"/>
      <c r="FX79" s="60"/>
      <c r="FY79" s="60"/>
      <c r="FZ79" s="60"/>
      <c r="GA79" s="60"/>
      <c r="GB79" s="60"/>
      <c r="GC79" s="60"/>
      <c r="GD79" s="60"/>
      <c r="GE79" s="60"/>
      <c r="GF79" s="60"/>
      <c r="GG79" s="60"/>
      <c r="GH79" s="60"/>
      <c r="GI79" s="60"/>
      <c r="GJ79" s="60"/>
      <c r="GK79" s="60"/>
      <c r="GL79" s="60"/>
      <c r="GM79" s="60"/>
      <c r="GN79" s="60"/>
      <c r="GO79" s="60"/>
      <c r="GP79" s="60"/>
      <c r="GQ79" s="60"/>
      <c r="GR79" s="60"/>
      <c r="GS79" s="60"/>
      <c r="GT79" s="60"/>
      <c r="GU79" s="60"/>
      <c r="GV79" s="60"/>
      <c r="GW79" s="60"/>
      <c r="GX79" s="60"/>
      <c r="GY79" s="60"/>
      <c r="GZ79" s="60"/>
      <c r="HA79" s="60"/>
      <c r="HB79" s="60"/>
      <c r="HC79" s="60"/>
      <c r="HD79" s="60"/>
      <c r="HE79" s="60"/>
      <c r="HF79" s="60"/>
      <c r="HG79" s="60"/>
      <c r="HH79" s="60"/>
      <c r="HI79" s="60"/>
      <c r="HJ79" s="60"/>
      <c r="HK79" s="60"/>
      <c r="HL79" s="60"/>
      <c r="HM79" s="60"/>
      <c r="HN79" s="60"/>
      <c r="HO79" s="60"/>
      <c r="HP79" s="60"/>
      <c r="HQ79" s="60"/>
      <c r="HR79" s="60"/>
      <c r="HS79" s="60"/>
      <c r="HT79" s="60"/>
      <c r="HU79" s="60"/>
      <c r="HV79" s="60"/>
      <c r="HW79" s="60"/>
      <c r="HX79" s="60"/>
      <c r="HY79" s="60"/>
      <c r="HZ79" s="60"/>
      <c r="IA79" s="60"/>
      <c r="IB79" s="60"/>
      <c r="IC79" s="60"/>
      <c r="ID79" s="60"/>
      <c r="IE79" s="60"/>
      <c r="IF79" s="60"/>
      <c r="IG79" s="60"/>
      <c r="IH79" s="60"/>
      <c r="II79" s="60"/>
      <c r="IJ79" s="60"/>
      <c r="IK79" s="60"/>
      <c r="IL79" s="60"/>
      <c r="IM79" s="60"/>
      <c r="IN79" s="60"/>
      <c r="IO79" s="60"/>
      <c r="IP79" s="60"/>
      <c r="IQ79" s="60"/>
      <c r="IR79" s="60"/>
      <c r="IS79" s="60"/>
      <c r="IT79" s="60"/>
      <c r="IU79" s="60"/>
      <c r="IV79" s="60"/>
      <c r="IW79" s="60"/>
      <c r="IX79" s="60"/>
      <c r="IY79" s="60"/>
      <c r="IZ79" s="60"/>
      <c r="JA79" s="60"/>
      <c r="JB79" s="60"/>
      <c r="JC79" s="60"/>
      <c r="JD79" s="60"/>
      <c r="JE79" s="60"/>
      <c r="JF79" s="60"/>
      <c r="JG79" s="60"/>
      <c r="JH79" s="60"/>
      <c r="JI79" s="60"/>
      <c r="JJ79" s="60"/>
      <c r="JK79" s="60"/>
      <c r="JL79" s="60"/>
      <c r="JM79" s="60"/>
      <c r="JN79" s="60"/>
      <c r="JO79" s="60"/>
      <c r="JP79" s="60"/>
      <c r="JQ79" s="60"/>
      <c r="JR79" s="60"/>
      <c r="JS79" s="60"/>
      <c r="JT79" s="60"/>
      <c r="JU79" s="60"/>
      <c r="JV79" s="60"/>
      <c r="JW79" s="60"/>
      <c r="JX79" s="60"/>
      <c r="JY79" s="60"/>
      <c r="JZ79" s="60"/>
      <c r="KA79" s="60"/>
      <c r="KB79" s="60"/>
      <c r="KC79" s="60"/>
      <c r="KD79" s="60"/>
      <c r="KE79" s="60"/>
      <c r="KF79" s="60"/>
      <c r="KG79" s="60"/>
      <c r="KH79" s="60"/>
      <c r="KI79" s="60"/>
      <c r="KJ79" s="60"/>
      <c r="KK79" s="60"/>
      <c r="KL79" s="60"/>
      <c r="KM79" s="60"/>
      <c r="KN79" s="60"/>
      <c r="KO79" s="60"/>
      <c r="KP79" s="60"/>
      <c r="KQ79" s="60"/>
      <c r="KR79" s="60"/>
      <c r="KS79" s="60"/>
      <c r="KT79" s="60"/>
      <c r="KU79" s="60"/>
      <c r="KV79" s="60"/>
      <c r="KW79" s="60"/>
      <c r="KX79" s="60"/>
      <c r="KY79" s="60"/>
      <c r="KZ79" s="60"/>
      <c r="LA79" s="60"/>
      <c r="LB79" s="60"/>
      <c r="LC79" s="60"/>
      <c r="LD79" s="60"/>
      <c r="LE79" s="60"/>
      <c r="LF79" s="60"/>
      <c r="LG79" s="60"/>
      <c r="LH79" s="60"/>
    </row>
    <row r="80" spans="1:320" s="17" customFormat="1" x14ac:dyDescent="0.25">
      <c r="A80" s="147"/>
      <c r="E80" s="156"/>
      <c r="F80" s="156"/>
      <c r="G80" s="156"/>
      <c r="H80" s="156"/>
      <c r="I80" s="156"/>
      <c r="J80" s="156"/>
      <c r="K80" s="156"/>
      <c r="L80" s="156"/>
      <c r="M80" s="156"/>
      <c r="N80" s="156"/>
      <c r="O80" s="156"/>
      <c r="P80" s="156"/>
      <c r="Q80" s="156"/>
      <c r="R80" s="156"/>
      <c r="S80" s="156"/>
      <c r="AC80" s="60"/>
      <c r="AD80" s="60"/>
      <c r="AE80" s="60"/>
      <c r="AF80" s="60"/>
      <c r="AG80" s="60"/>
      <c r="AH80" s="60"/>
      <c r="AI80" s="60"/>
      <c r="AJ80" s="60"/>
      <c r="AK80" s="60"/>
      <c r="AL80" s="60"/>
      <c r="AM80" s="60"/>
      <c r="AN80" s="60"/>
      <c r="AO80" s="60"/>
      <c r="AP80" s="60"/>
      <c r="AQ80" s="60"/>
      <c r="AR80" s="60"/>
      <c r="AS80" s="60"/>
      <c r="AT80" s="60"/>
      <c r="AU80" s="60"/>
      <c r="AV80" s="60"/>
      <c r="AW80" s="60"/>
      <c r="AX80" s="60"/>
      <c r="AY80" s="60"/>
      <c r="AZ80" s="60"/>
      <c r="BA80" s="60"/>
      <c r="BB80" s="60"/>
      <c r="BC80" s="60"/>
      <c r="BD80" s="60"/>
      <c r="BE80" s="60"/>
      <c r="BF80" s="60"/>
      <c r="BG80" s="60"/>
      <c r="BH80" s="60"/>
      <c r="BI80" s="60"/>
      <c r="BJ80" s="60"/>
      <c r="BK80" s="60"/>
      <c r="BL80" s="60"/>
      <c r="BM80" s="60"/>
      <c r="BN80" s="60"/>
      <c r="BO80" s="60"/>
      <c r="BP80" s="60"/>
      <c r="BQ80" s="60"/>
      <c r="BR80" s="60"/>
      <c r="BS80" s="60"/>
      <c r="BT80" s="60"/>
      <c r="BU80" s="60"/>
      <c r="BV80" s="60"/>
      <c r="BW80" s="60"/>
      <c r="BX80" s="60"/>
      <c r="BY80" s="60"/>
      <c r="BZ80" s="60"/>
      <c r="CA80" s="60"/>
      <c r="CB80" s="60"/>
      <c r="CC80" s="60"/>
      <c r="CD80" s="60"/>
      <c r="CE80" s="60"/>
      <c r="CF80" s="60"/>
      <c r="CG80" s="60"/>
      <c r="CH80" s="60"/>
      <c r="CI80" s="60"/>
      <c r="CJ80" s="60"/>
      <c r="CK80" s="60"/>
      <c r="CL80" s="60"/>
      <c r="CM80" s="60"/>
      <c r="CN80" s="60"/>
      <c r="CO80" s="60"/>
      <c r="CP80" s="60"/>
      <c r="CQ80" s="60"/>
      <c r="CR80" s="60"/>
      <c r="CS80" s="60"/>
      <c r="CT80" s="60"/>
      <c r="CU80" s="60"/>
      <c r="CV80" s="60"/>
      <c r="CW80" s="60"/>
      <c r="CX80" s="60"/>
      <c r="CY80" s="60"/>
      <c r="CZ80" s="60"/>
      <c r="DA80" s="60"/>
      <c r="DB80" s="60"/>
      <c r="DC80" s="60"/>
      <c r="DD80" s="60"/>
      <c r="DE80" s="60"/>
      <c r="DF80" s="60"/>
      <c r="DG80" s="60"/>
      <c r="DH80" s="60"/>
      <c r="DI80" s="60"/>
      <c r="DJ80" s="60"/>
      <c r="DK80" s="60"/>
      <c r="DL80" s="60"/>
      <c r="DM80" s="60"/>
      <c r="DN80" s="60"/>
      <c r="DO80" s="60"/>
      <c r="DP80" s="60"/>
      <c r="DQ80" s="60"/>
      <c r="DR80" s="60"/>
      <c r="DS80" s="60"/>
      <c r="DT80" s="60"/>
      <c r="DU80" s="60"/>
      <c r="DV80" s="60"/>
      <c r="DW80" s="60"/>
      <c r="DX80" s="60"/>
      <c r="DY80" s="60"/>
      <c r="DZ80" s="60"/>
      <c r="EA80" s="60"/>
      <c r="EB80" s="60"/>
      <c r="EC80" s="60"/>
      <c r="ED80" s="60"/>
      <c r="EE80" s="60"/>
      <c r="EF80" s="60"/>
      <c r="EG80" s="60"/>
      <c r="EH80" s="60"/>
      <c r="EI80" s="60"/>
      <c r="EJ80" s="60"/>
      <c r="EK80" s="60"/>
      <c r="EL80" s="60"/>
      <c r="EM80" s="60"/>
      <c r="EN80" s="60"/>
      <c r="EO80" s="60"/>
      <c r="EP80" s="60"/>
      <c r="EQ80" s="60"/>
      <c r="ER80" s="60"/>
      <c r="ES80" s="60"/>
      <c r="ET80" s="60"/>
      <c r="EU80" s="60"/>
      <c r="EV80" s="60"/>
      <c r="EW80" s="60"/>
      <c r="EX80" s="60"/>
      <c r="EY80" s="60"/>
      <c r="EZ80" s="60"/>
      <c r="FA80" s="60"/>
      <c r="FB80" s="60"/>
      <c r="FC80" s="60"/>
      <c r="FD80" s="60"/>
      <c r="FE80" s="60"/>
      <c r="FF80" s="60"/>
      <c r="FG80" s="60"/>
      <c r="FH80" s="60"/>
      <c r="FI80" s="60"/>
      <c r="FJ80" s="60"/>
      <c r="FK80" s="60"/>
      <c r="FL80" s="60"/>
      <c r="FM80" s="60"/>
      <c r="FN80" s="60"/>
      <c r="FO80" s="60"/>
      <c r="FP80" s="60"/>
      <c r="FQ80" s="60"/>
      <c r="FR80" s="60"/>
      <c r="FS80" s="60"/>
      <c r="FT80" s="60"/>
      <c r="FU80" s="60"/>
      <c r="FV80" s="60"/>
      <c r="FW80" s="60"/>
      <c r="FX80" s="60"/>
      <c r="FY80" s="60"/>
      <c r="FZ80" s="60"/>
      <c r="GA80" s="60"/>
      <c r="GB80" s="60"/>
      <c r="GC80" s="60"/>
      <c r="GD80" s="60"/>
      <c r="GE80" s="60"/>
      <c r="GF80" s="60"/>
      <c r="GG80" s="60"/>
      <c r="GH80" s="60"/>
      <c r="GI80" s="60"/>
      <c r="GJ80" s="60"/>
      <c r="GK80" s="60"/>
      <c r="GL80" s="60"/>
      <c r="GM80" s="60"/>
      <c r="GN80" s="60"/>
      <c r="GO80" s="60"/>
      <c r="GP80" s="60"/>
      <c r="GQ80" s="60"/>
      <c r="GR80" s="60"/>
      <c r="GS80" s="60"/>
      <c r="GT80" s="60"/>
      <c r="GU80" s="60"/>
      <c r="GV80" s="60"/>
      <c r="GW80" s="60"/>
      <c r="GX80" s="60"/>
      <c r="GY80" s="60"/>
      <c r="GZ80" s="60"/>
      <c r="HA80" s="60"/>
      <c r="HB80" s="60"/>
      <c r="HC80" s="60"/>
      <c r="HD80" s="60"/>
      <c r="HE80" s="60"/>
      <c r="HF80" s="60"/>
      <c r="HG80" s="60"/>
      <c r="HH80" s="60"/>
      <c r="HI80" s="60"/>
      <c r="HJ80" s="60"/>
      <c r="HK80" s="60"/>
      <c r="HL80" s="60"/>
      <c r="HM80" s="60"/>
      <c r="HN80" s="60"/>
      <c r="HO80" s="60"/>
      <c r="HP80" s="60"/>
      <c r="HQ80" s="60"/>
      <c r="HR80" s="60"/>
      <c r="HS80" s="60"/>
      <c r="HT80" s="60"/>
      <c r="HU80" s="60"/>
      <c r="HV80" s="60"/>
      <c r="HW80" s="60"/>
      <c r="HX80" s="60"/>
      <c r="HY80" s="60"/>
      <c r="HZ80" s="60"/>
      <c r="IA80" s="60"/>
      <c r="IB80" s="60"/>
      <c r="IC80" s="60"/>
      <c r="ID80" s="60"/>
      <c r="IE80" s="60"/>
      <c r="IF80" s="60"/>
      <c r="IG80" s="60"/>
      <c r="IH80" s="60"/>
      <c r="II80" s="60"/>
      <c r="IJ80" s="60"/>
      <c r="IK80" s="60"/>
      <c r="IL80" s="60"/>
      <c r="IM80" s="60"/>
      <c r="IN80" s="60"/>
      <c r="IO80" s="60"/>
      <c r="IP80" s="60"/>
      <c r="IQ80" s="60"/>
      <c r="IR80" s="60"/>
      <c r="IS80" s="60"/>
      <c r="IT80" s="60"/>
      <c r="IU80" s="60"/>
      <c r="IV80" s="60"/>
      <c r="IW80" s="60"/>
      <c r="IX80" s="60"/>
      <c r="IY80" s="60"/>
      <c r="IZ80" s="60"/>
      <c r="JA80" s="60"/>
      <c r="JB80" s="60"/>
      <c r="JC80" s="60"/>
      <c r="JD80" s="60"/>
      <c r="JE80" s="60"/>
      <c r="JF80" s="60"/>
      <c r="JG80" s="60"/>
      <c r="JH80" s="60"/>
      <c r="JI80" s="60"/>
      <c r="JJ80" s="60"/>
      <c r="JK80" s="60"/>
      <c r="JL80" s="60"/>
      <c r="JM80" s="60"/>
      <c r="JN80" s="60"/>
      <c r="JO80" s="60"/>
      <c r="JP80" s="60"/>
      <c r="JQ80" s="60"/>
      <c r="JR80" s="60"/>
      <c r="JS80" s="60"/>
      <c r="JT80" s="60"/>
      <c r="JU80" s="60"/>
      <c r="JV80" s="60"/>
      <c r="JW80" s="60"/>
      <c r="JX80" s="60"/>
      <c r="JY80" s="60"/>
      <c r="JZ80" s="60"/>
      <c r="KA80" s="60"/>
      <c r="KB80" s="60"/>
      <c r="KC80" s="60"/>
      <c r="KD80" s="60"/>
      <c r="KE80" s="60"/>
      <c r="KF80" s="60"/>
      <c r="KG80" s="60"/>
      <c r="KH80" s="60"/>
      <c r="KI80" s="60"/>
      <c r="KJ80" s="60"/>
      <c r="KK80" s="60"/>
      <c r="KL80" s="60"/>
      <c r="KM80" s="60"/>
      <c r="KN80" s="60"/>
      <c r="KO80" s="60"/>
      <c r="KP80" s="60"/>
      <c r="KQ80" s="60"/>
      <c r="KR80" s="60"/>
      <c r="KS80" s="60"/>
      <c r="KT80" s="60"/>
      <c r="KU80" s="60"/>
      <c r="KV80" s="60"/>
      <c r="KW80" s="60"/>
      <c r="KX80" s="60"/>
      <c r="KY80" s="60"/>
      <c r="KZ80" s="60"/>
      <c r="LA80" s="60"/>
      <c r="LB80" s="60"/>
      <c r="LC80" s="60"/>
      <c r="LD80" s="60"/>
      <c r="LE80" s="60"/>
      <c r="LF80" s="60"/>
      <c r="LG80" s="60"/>
      <c r="LH80" s="60"/>
    </row>
    <row r="81" spans="1:320" s="17" customFormat="1" x14ac:dyDescent="0.25">
      <c r="A81" s="147"/>
      <c r="E81" s="156"/>
      <c r="F81" s="156"/>
      <c r="G81" s="156"/>
      <c r="H81" s="156"/>
      <c r="I81" s="156"/>
      <c r="J81" s="156"/>
      <c r="K81" s="156"/>
      <c r="L81" s="156"/>
      <c r="M81" s="156"/>
      <c r="N81" s="156"/>
      <c r="O81" s="156"/>
      <c r="P81" s="156"/>
      <c r="Q81" s="156"/>
      <c r="R81" s="156"/>
      <c r="S81" s="156"/>
      <c r="AC81" s="60"/>
      <c r="AD81" s="60"/>
      <c r="AE81" s="60"/>
      <c r="AF81" s="60"/>
      <c r="AG81" s="60"/>
      <c r="AH81" s="60"/>
      <c r="AI81" s="60"/>
      <c r="AJ81" s="60"/>
      <c r="AK81" s="60"/>
      <c r="AL81" s="60"/>
      <c r="AM81" s="60"/>
      <c r="AN81" s="60"/>
      <c r="AO81" s="60"/>
      <c r="AP81" s="60"/>
      <c r="AQ81" s="60"/>
      <c r="AR81" s="60"/>
      <c r="AS81" s="60"/>
      <c r="AT81" s="60"/>
      <c r="AU81" s="60"/>
      <c r="AV81" s="60"/>
      <c r="AW81" s="60"/>
      <c r="AX81" s="60"/>
      <c r="AY81" s="60"/>
      <c r="AZ81" s="60"/>
      <c r="BA81" s="60"/>
      <c r="BB81" s="60"/>
      <c r="BC81" s="60"/>
      <c r="BD81" s="60"/>
      <c r="BE81" s="60"/>
      <c r="BF81" s="60"/>
      <c r="BG81" s="60"/>
      <c r="BH81" s="60"/>
      <c r="BI81" s="60"/>
      <c r="BJ81" s="60"/>
      <c r="BK81" s="60"/>
      <c r="BL81" s="60"/>
      <c r="BM81" s="60"/>
      <c r="BN81" s="60"/>
      <c r="BO81" s="60"/>
      <c r="BP81" s="60"/>
      <c r="BQ81" s="60"/>
      <c r="BR81" s="60"/>
      <c r="BS81" s="60"/>
      <c r="BT81" s="60"/>
      <c r="BU81" s="60"/>
      <c r="BV81" s="60"/>
      <c r="BW81" s="60"/>
      <c r="BX81" s="60"/>
      <c r="BY81" s="60"/>
      <c r="BZ81" s="60"/>
      <c r="CA81" s="60"/>
      <c r="CB81" s="60"/>
      <c r="CC81" s="60"/>
      <c r="CD81" s="60"/>
      <c r="CE81" s="60"/>
      <c r="CF81" s="60"/>
      <c r="CG81" s="60"/>
      <c r="CH81" s="60"/>
      <c r="CI81" s="60"/>
      <c r="CJ81" s="60"/>
      <c r="CK81" s="60"/>
      <c r="CL81" s="60"/>
      <c r="CM81" s="60"/>
      <c r="CN81" s="60"/>
      <c r="CO81" s="60"/>
      <c r="CP81" s="60"/>
      <c r="CQ81" s="60"/>
      <c r="CR81" s="60"/>
      <c r="CS81" s="60"/>
      <c r="CT81" s="60"/>
      <c r="CU81" s="60"/>
      <c r="CV81" s="60"/>
      <c r="CW81" s="60"/>
      <c r="CX81" s="60"/>
      <c r="CY81" s="60"/>
      <c r="CZ81" s="60"/>
      <c r="DA81" s="60"/>
      <c r="DB81" s="60"/>
      <c r="DC81" s="60"/>
      <c r="DD81" s="60"/>
      <c r="DE81" s="60"/>
      <c r="DF81" s="60"/>
      <c r="DG81" s="60"/>
      <c r="DH81" s="60"/>
      <c r="DI81" s="60"/>
      <c r="DJ81" s="60"/>
      <c r="DK81" s="60"/>
      <c r="DL81" s="60"/>
      <c r="DM81" s="60"/>
      <c r="DN81" s="60"/>
      <c r="DO81" s="60"/>
      <c r="DP81" s="60"/>
      <c r="DQ81" s="60"/>
      <c r="DR81" s="60"/>
      <c r="DS81" s="60"/>
      <c r="DT81" s="60"/>
      <c r="DU81" s="60"/>
      <c r="DV81" s="60"/>
      <c r="DW81" s="60"/>
      <c r="DX81" s="60"/>
      <c r="DY81" s="60"/>
      <c r="DZ81" s="60"/>
      <c r="EA81" s="60"/>
      <c r="EB81" s="60"/>
      <c r="EC81" s="60"/>
      <c r="ED81" s="60"/>
      <c r="EE81" s="60"/>
      <c r="EF81" s="60"/>
      <c r="EG81" s="60"/>
      <c r="EH81" s="60"/>
      <c r="EI81" s="60"/>
      <c r="EJ81" s="60"/>
      <c r="EK81" s="60"/>
      <c r="EL81" s="60"/>
      <c r="EM81" s="60"/>
      <c r="EN81" s="60"/>
      <c r="EO81" s="60"/>
      <c r="EP81" s="60"/>
      <c r="EQ81" s="60"/>
      <c r="ER81" s="60"/>
      <c r="ES81" s="60"/>
      <c r="ET81" s="60"/>
      <c r="EU81" s="60"/>
      <c r="EV81" s="60"/>
      <c r="EW81" s="60"/>
      <c r="EX81" s="60"/>
      <c r="EY81" s="60"/>
      <c r="EZ81" s="60"/>
      <c r="FA81" s="60"/>
      <c r="FB81" s="60"/>
      <c r="FC81" s="60"/>
      <c r="FD81" s="60"/>
      <c r="FE81" s="60"/>
      <c r="FF81" s="60"/>
      <c r="FG81" s="60"/>
      <c r="FH81" s="60"/>
      <c r="FI81" s="60"/>
      <c r="FJ81" s="60"/>
      <c r="FK81" s="60"/>
      <c r="FL81" s="60"/>
      <c r="FM81" s="60"/>
      <c r="FN81" s="60"/>
      <c r="FO81" s="60"/>
      <c r="FP81" s="60"/>
      <c r="FQ81" s="60"/>
      <c r="FR81" s="60"/>
      <c r="FS81" s="60"/>
      <c r="FT81" s="60"/>
      <c r="FU81" s="60"/>
      <c r="FV81" s="60"/>
      <c r="FW81" s="60"/>
      <c r="FX81" s="60"/>
      <c r="FY81" s="60"/>
      <c r="FZ81" s="60"/>
      <c r="GA81" s="60"/>
      <c r="GB81" s="60"/>
      <c r="GC81" s="60"/>
      <c r="GD81" s="60"/>
      <c r="GE81" s="60"/>
      <c r="GF81" s="60"/>
      <c r="GG81" s="60"/>
      <c r="GH81" s="60"/>
      <c r="GI81" s="60"/>
      <c r="GJ81" s="60"/>
      <c r="GK81" s="60"/>
      <c r="GL81" s="60"/>
      <c r="GM81" s="60"/>
      <c r="GN81" s="60"/>
      <c r="GO81" s="60"/>
      <c r="GP81" s="60"/>
      <c r="GQ81" s="60"/>
      <c r="GR81" s="60"/>
      <c r="GS81" s="60"/>
      <c r="GT81" s="60"/>
      <c r="GU81" s="60"/>
      <c r="GV81" s="60"/>
      <c r="GW81" s="60"/>
      <c r="GX81" s="60"/>
      <c r="GY81" s="60"/>
      <c r="GZ81" s="60"/>
      <c r="HA81" s="60"/>
      <c r="HB81" s="60"/>
      <c r="HC81" s="60"/>
      <c r="HD81" s="60"/>
      <c r="HE81" s="60"/>
      <c r="HF81" s="60"/>
      <c r="HG81" s="60"/>
      <c r="HH81" s="60"/>
      <c r="HI81" s="60"/>
      <c r="HJ81" s="60"/>
      <c r="HK81" s="60"/>
      <c r="HL81" s="60"/>
      <c r="HM81" s="60"/>
      <c r="HN81" s="60"/>
      <c r="HO81" s="60"/>
      <c r="HP81" s="60"/>
      <c r="HQ81" s="60"/>
      <c r="HR81" s="60"/>
      <c r="HS81" s="60"/>
      <c r="HT81" s="60"/>
      <c r="HU81" s="60"/>
      <c r="HV81" s="60"/>
      <c r="HW81" s="60"/>
      <c r="HX81" s="60"/>
      <c r="HY81" s="60"/>
      <c r="HZ81" s="60"/>
      <c r="IA81" s="60"/>
      <c r="IB81" s="60"/>
      <c r="IC81" s="60"/>
      <c r="ID81" s="60"/>
      <c r="IE81" s="60"/>
      <c r="IF81" s="60"/>
      <c r="IG81" s="60"/>
      <c r="IH81" s="60"/>
      <c r="II81" s="60"/>
      <c r="IJ81" s="60"/>
      <c r="IK81" s="60"/>
      <c r="IL81" s="60"/>
      <c r="IM81" s="60"/>
      <c r="IN81" s="60"/>
      <c r="IO81" s="60"/>
      <c r="IP81" s="60"/>
      <c r="IQ81" s="60"/>
      <c r="IR81" s="60"/>
      <c r="IS81" s="60"/>
      <c r="IT81" s="60"/>
      <c r="IU81" s="60"/>
      <c r="IV81" s="60"/>
      <c r="IW81" s="60"/>
      <c r="IX81" s="60"/>
      <c r="IY81" s="60"/>
      <c r="IZ81" s="60"/>
      <c r="JA81" s="60"/>
      <c r="JB81" s="60"/>
      <c r="JC81" s="60"/>
      <c r="JD81" s="60"/>
      <c r="JE81" s="60"/>
      <c r="JF81" s="60"/>
      <c r="JG81" s="60"/>
      <c r="JH81" s="60"/>
      <c r="JI81" s="60"/>
      <c r="JJ81" s="60"/>
      <c r="JK81" s="60"/>
      <c r="JL81" s="60"/>
      <c r="JM81" s="60"/>
      <c r="JN81" s="60"/>
      <c r="JO81" s="60"/>
      <c r="JP81" s="60"/>
      <c r="JQ81" s="60"/>
      <c r="JR81" s="60"/>
      <c r="JS81" s="60"/>
      <c r="JT81" s="60"/>
      <c r="JU81" s="60"/>
      <c r="JV81" s="60"/>
      <c r="JW81" s="60"/>
      <c r="JX81" s="60"/>
      <c r="JY81" s="60"/>
      <c r="JZ81" s="60"/>
      <c r="KA81" s="60"/>
      <c r="KB81" s="60"/>
      <c r="KC81" s="60"/>
      <c r="KD81" s="60"/>
      <c r="KE81" s="60"/>
      <c r="KF81" s="60"/>
      <c r="KG81" s="60"/>
      <c r="KH81" s="60"/>
      <c r="KI81" s="60"/>
      <c r="KJ81" s="60"/>
      <c r="KK81" s="60"/>
      <c r="KL81" s="60"/>
      <c r="KM81" s="60"/>
      <c r="KN81" s="60"/>
      <c r="KO81" s="60"/>
      <c r="KP81" s="60"/>
      <c r="KQ81" s="60"/>
      <c r="KR81" s="60"/>
      <c r="KS81" s="60"/>
      <c r="KT81" s="60"/>
      <c r="KU81" s="60"/>
      <c r="KV81" s="60"/>
      <c r="KW81" s="60"/>
      <c r="KX81" s="60"/>
      <c r="KY81" s="60"/>
      <c r="KZ81" s="60"/>
      <c r="LA81" s="60"/>
      <c r="LB81" s="60"/>
      <c r="LC81" s="60"/>
      <c r="LD81" s="60"/>
      <c r="LE81" s="60"/>
      <c r="LF81" s="60"/>
      <c r="LG81" s="60"/>
      <c r="LH81" s="60"/>
    </row>
    <row r="82" spans="1:320" s="17" customFormat="1" x14ac:dyDescent="0.25">
      <c r="A82" s="147"/>
      <c r="E82" s="156"/>
      <c r="F82" s="156"/>
      <c r="G82" s="156"/>
      <c r="H82" s="156"/>
      <c r="I82" s="156"/>
      <c r="J82" s="156"/>
      <c r="K82" s="156"/>
      <c r="L82" s="156"/>
      <c r="M82" s="156"/>
      <c r="N82" s="156"/>
      <c r="O82" s="156"/>
      <c r="P82" s="156"/>
      <c r="Q82" s="156"/>
      <c r="R82" s="156"/>
      <c r="S82" s="156"/>
      <c r="AC82" s="60"/>
      <c r="AD82" s="60"/>
      <c r="AE82" s="60"/>
      <c r="AF82" s="60"/>
      <c r="AG82" s="60"/>
      <c r="AH82" s="60"/>
      <c r="AI82" s="60"/>
      <c r="AJ82" s="60"/>
      <c r="AK82" s="60"/>
      <c r="AL82" s="60"/>
      <c r="AM82" s="60"/>
      <c r="AN82" s="60"/>
      <c r="AO82" s="60"/>
      <c r="AP82" s="60"/>
      <c r="AQ82" s="60"/>
      <c r="AR82" s="60"/>
      <c r="AS82" s="60"/>
      <c r="AT82" s="60"/>
      <c r="AU82" s="60"/>
      <c r="AV82" s="60"/>
      <c r="AW82" s="60"/>
      <c r="AX82" s="60"/>
      <c r="AY82" s="60"/>
      <c r="AZ82" s="60"/>
      <c r="BA82" s="60"/>
      <c r="BB82" s="60"/>
      <c r="BC82" s="60"/>
      <c r="BD82" s="60"/>
      <c r="BE82" s="60"/>
      <c r="BF82" s="60"/>
      <c r="BG82" s="60"/>
      <c r="BH82" s="60"/>
      <c r="BI82" s="60"/>
      <c r="BJ82" s="60"/>
      <c r="BK82" s="60"/>
      <c r="BL82" s="60"/>
      <c r="BM82" s="60"/>
      <c r="BN82" s="60"/>
      <c r="BO82" s="60"/>
      <c r="BP82" s="60"/>
      <c r="BQ82" s="60"/>
      <c r="BR82" s="60"/>
      <c r="BS82" s="60"/>
      <c r="BT82" s="60"/>
      <c r="BU82" s="60"/>
      <c r="BV82" s="60"/>
      <c r="BW82" s="60"/>
      <c r="BX82" s="60"/>
      <c r="BY82" s="60"/>
      <c r="BZ82" s="60"/>
      <c r="CA82" s="60"/>
      <c r="CB82" s="60"/>
      <c r="CC82" s="60"/>
      <c r="CD82" s="60"/>
      <c r="CE82" s="60"/>
      <c r="CF82" s="60"/>
      <c r="CG82" s="60"/>
      <c r="CH82" s="60"/>
      <c r="CI82" s="60"/>
      <c r="CJ82" s="60"/>
      <c r="CK82" s="60"/>
      <c r="CL82" s="60"/>
      <c r="CM82" s="60"/>
      <c r="CN82" s="60"/>
      <c r="CO82" s="60"/>
      <c r="CP82" s="60"/>
      <c r="CQ82" s="60"/>
      <c r="CR82" s="60"/>
      <c r="CS82" s="60"/>
      <c r="CT82" s="60"/>
      <c r="CU82" s="60"/>
      <c r="CV82" s="60"/>
      <c r="CW82" s="60"/>
      <c r="CX82" s="60"/>
      <c r="CY82" s="60"/>
      <c r="CZ82" s="60"/>
      <c r="DA82" s="60"/>
      <c r="DB82" s="60"/>
      <c r="DC82" s="60"/>
      <c r="DD82" s="60"/>
      <c r="DE82" s="60"/>
      <c r="DF82" s="60"/>
      <c r="DG82" s="60"/>
      <c r="DH82" s="60"/>
      <c r="DI82" s="60"/>
      <c r="DJ82" s="60"/>
      <c r="DK82" s="60"/>
      <c r="DL82" s="60"/>
      <c r="DM82" s="60"/>
      <c r="DN82" s="60"/>
      <c r="DO82" s="60"/>
      <c r="DP82" s="60"/>
      <c r="DQ82" s="60"/>
      <c r="DR82" s="60"/>
      <c r="DS82" s="60"/>
      <c r="DT82" s="60"/>
      <c r="DU82" s="60"/>
      <c r="DV82" s="60"/>
      <c r="DW82" s="60"/>
      <c r="DX82" s="60"/>
      <c r="DY82" s="60"/>
      <c r="DZ82" s="60"/>
      <c r="EA82" s="60"/>
      <c r="EB82" s="60"/>
      <c r="EC82" s="60"/>
      <c r="ED82" s="60"/>
      <c r="EE82" s="60"/>
      <c r="EF82" s="60"/>
      <c r="EG82" s="60"/>
      <c r="EH82" s="60"/>
      <c r="EI82" s="60"/>
      <c r="EJ82" s="60"/>
      <c r="EK82" s="60"/>
      <c r="EL82" s="60"/>
      <c r="EM82" s="60"/>
      <c r="EN82" s="60"/>
      <c r="EO82" s="60"/>
      <c r="EP82" s="60"/>
      <c r="EQ82" s="60"/>
      <c r="ER82" s="60"/>
      <c r="ES82" s="60"/>
      <c r="ET82" s="60"/>
      <c r="EU82" s="60"/>
      <c r="EV82" s="60"/>
      <c r="EW82" s="60"/>
      <c r="EX82" s="60"/>
      <c r="EY82" s="60"/>
      <c r="EZ82" s="60"/>
      <c r="FA82" s="60"/>
      <c r="FB82" s="60"/>
      <c r="FC82" s="60"/>
      <c r="FD82" s="60"/>
      <c r="FE82" s="60"/>
      <c r="FF82" s="60"/>
      <c r="FG82" s="60"/>
      <c r="FH82" s="60"/>
      <c r="FI82" s="60"/>
      <c r="FJ82" s="60"/>
      <c r="FK82" s="60"/>
      <c r="FL82" s="60"/>
      <c r="FM82" s="60"/>
      <c r="FN82" s="60"/>
      <c r="FO82" s="60"/>
      <c r="FP82" s="60"/>
      <c r="FQ82" s="60"/>
      <c r="FR82" s="60"/>
      <c r="FS82" s="60"/>
      <c r="FT82" s="60"/>
      <c r="FU82" s="60"/>
      <c r="FV82" s="60"/>
      <c r="FW82" s="60"/>
      <c r="FX82" s="60"/>
      <c r="FY82" s="60"/>
      <c r="FZ82" s="60"/>
      <c r="GA82" s="60"/>
      <c r="GB82" s="60"/>
      <c r="GC82" s="60"/>
      <c r="GD82" s="60"/>
      <c r="GE82" s="60"/>
      <c r="GF82" s="60"/>
      <c r="GG82" s="60"/>
      <c r="GH82" s="60"/>
      <c r="GI82" s="60"/>
      <c r="GJ82" s="60"/>
      <c r="GK82" s="60"/>
      <c r="GL82" s="60"/>
      <c r="GM82" s="60"/>
      <c r="GN82" s="60"/>
      <c r="GO82" s="60"/>
      <c r="GP82" s="60"/>
      <c r="GQ82" s="60"/>
      <c r="GR82" s="60"/>
      <c r="GS82" s="60"/>
      <c r="GT82" s="60"/>
      <c r="GU82" s="60"/>
      <c r="GV82" s="60"/>
      <c r="GW82" s="60"/>
      <c r="GX82" s="60"/>
      <c r="GY82" s="60"/>
      <c r="GZ82" s="60"/>
      <c r="HA82" s="60"/>
      <c r="HB82" s="60"/>
      <c r="HC82" s="60"/>
      <c r="HD82" s="60"/>
      <c r="HE82" s="60"/>
      <c r="HF82" s="60"/>
      <c r="HG82" s="60"/>
      <c r="HH82" s="60"/>
      <c r="HI82" s="60"/>
      <c r="HJ82" s="60"/>
      <c r="HK82" s="60"/>
      <c r="HL82" s="60"/>
      <c r="HM82" s="60"/>
      <c r="HN82" s="60"/>
      <c r="HO82" s="60"/>
      <c r="HP82" s="60"/>
      <c r="HQ82" s="60"/>
      <c r="HR82" s="60"/>
      <c r="HS82" s="60"/>
      <c r="HT82" s="60"/>
      <c r="HU82" s="60"/>
      <c r="HV82" s="60"/>
      <c r="HW82" s="60"/>
      <c r="HX82" s="60"/>
      <c r="HY82" s="60"/>
      <c r="HZ82" s="60"/>
      <c r="IA82" s="60"/>
      <c r="IB82" s="60"/>
      <c r="IC82" s="60"/>
      <c r="ID82" s="60"/>
      <c r="IE82" s="60"/>
      <c r="IF82" s="60"/>
      <c r="IG82" s="60"/>
      <c r="IH82" s="60"/>
      <c r="II82" s="60"/>
      <c r="IJ82" s="60"/>
      <c r="IK82" s="60"/>
      <c r="IL82" s="60"/>
      <c r="IM82" s="60"/>
      <c r="IN82" s="60"/>
      <c r="IO82" s="60"/>
      <c r="IP82" s="60"/>
      <c r="IQ82" s="60"/>
      <c r="IR82" s="60"/>
      <c r="IS82" s="60"/>
      <c r="IT82" s="60"/>
      <c r="IU82" s="60"/>
      <c r="IV82" s="60"/>
      <c r="IW82" s="60"/>
      <c r="IX82" s="60"/>
      <c r="IY82" s="60"/>
      <c r="IZ82" s="60"/>
      <c r="JA82" s="60"/>
      <c r="JB82" s="60"/>
      <c r="JC82" s="60"/>
      <c r="JD82" s="60"/>
      <c r="JE82" s="60"/>
      <c r="JF82" s="60"/>
      <c r="JG82" s="60"/>
      <c r="JH82" s="60"/>
      <c r="JI82" s="60"/>
      <c r="JJ82" s="60"/>
      <c r="JK82" s="60"/>
      <c r="JL82" s="60"/>
      <c r="JM82" s="60"/>
      <c r="JN82" s="60"/>
      <c r="JO82" s="60"/>
      <c r="JP82" s="60"/>
      <c r="JQ82" s="60"/>
      <c r="JR82" s="60"/>
      <c r="JS82" s="60"/>
      <c r="JT82" s="60"/>
      <c r="JU82" s="60"/>
      <c r="JV82" s="60"/>
      <c r="JW82" s="60"/>
      <c r="JX82" s="60"/>
      <c r="JY82" s="60"/>
      <c r="JZ82" s="60"/>
      <c r="KA82" s="60"/>
      <c r="KB82" s="60"/>
      <c r="KC82" s="60"/>
      <c r="KD82" s="60"/>
      <c r="KE82" s="60"/>
      <c r="KF82" s="60"/>
      <c r="KG82" s="60"/>
      <c r="KH82" s="60"/>
      <c r="KI82" s="60"/>
      <c r="KJ82" s="60"/>
      <c r="KK82" s="60"/>
      <c r="KL82" s="60"/>
      <c r="KM82" s="60"/>
      <c r="KN82" s="60"/>
      <c r="KO82" s="60"/>
      <c r="KP82" s="60"/>
      <c r="KQ82" s="60"/>
      <c r="KR82" s="60"/>
      <c r="KS82" s="60"/>
      <c r="KT82" s="60"/>
      <c r="KU82" s="60"/>
      <c r="KV82" s="60"/>
      <c r="KW82" s="60"/>
      <c r="KX82" s="60"/>
      <c r="KY82" s="60"/>
      <c r="KZ82" s="60"/>
      <c r="LA82" s="60"/>
      <c r="LB82" s="60"/>
      <c r="LC82" s="60"/>
      <c r="LD82" s="60"/>
      <c r="LE82" s="60"/>
      <c r="LF82" s="60"/>
      <c r="LG82" s="60"/>
      <c r="LH82" s="60"/>
    </row>
    <row r="83" spans="1:320" s="17" customFormat="1" x14ac:dyDescent="0.25">
      <c r="A83" s="147"/>
      <c r="E83" s="156"/>
      <c r="F83" s="156"/>
      <c r="G83" s="156"/>
      <c r="H83" s="156"/>
      <c r="I83" s="156"/>
      <c r="J83" s="156"/>
      <c r="K83" s="156"/>
      <c r="L83" s="156"/>
      <c r="M83" s="156"/>
      <c r="N83" s="156"/>
      <c r="O83" s="156"/>
      <c r="P83" s="156"/>
      <c r="Q83" s="156"/>
      <c r="R83" s="156"/>
      <c r="S83" s="156"/>
      <c r="AC83" s="60"/>
      <c r="AD83" s="60"/>
      <c r="AE83" s="60"/>
      <c r="AF83" s="60"/>
      <c r="AG83" s="60"/>
      <c r="AH83" s="60"/>
      <c r="AI83" s="60"/>
      <c r="AJ83" s="60"/>
      <c r="AK83" s="60"/>
      <c r="AL83" s="60"/>
      <c r="AM83" s="60"/>
      <c r="AN83" s="60"/>
      <c r="AO83" s="60"/>
      <c r="AP83" s="60"/>
      <c r="AQ83" s="60"/>
      <c r="AR83" s="60"/>
      <c r="AS83" s="60"/>
      <c r="AT83" s="60"/>
      <c r="AU83" s="60"/>
      <c r="AV83" s="60"/>
      <c r="AW83" s="60"/>
      <c r="AX83" s="60"/>
      <c r="AY83" s="60"/>
      <c r="AZ83" s="60"/>
      <c r="BA83" s="60"/>
      <c r="BB83" s="60"/>
      <c r="BC83" s="60"/>
      <c r="BD83" s="60"/>
      <c r="BE83" s="60"/>
      <c r="BF83" s="60"/>
      <c r="BG83" s="60"/>
      <c r="BH83" s="60"/>
      <c r="BI83" s="60"/>
      <c r="BJ83" s="60"/>
      <c r="BK83" s="60"/>
      <c r="BL83" s="60"/>
      <c r="BM83" s="60"/>
      <c r="BN83" s="60"/>
      <c r="BO83" s="60"/>
      <c r="BP83" s="60"/>
      <c r="BQ83" s="60"/>
      <c r="BR83" s="60"/>
      <c r="BS83" s="60"/>
      <c r="BT83" s="60"/>
      <c r="BU83" s="60"/>
      <c r="BV83" s="60"/>
      <c r="BW83" s="60"/>
      <c r="BX83" s="60"/>
      <c r="BY83" s="60"/>
      <c r="BZ83" s="60"/>
      <c r="CA83" s="60"/>
      <c r="CB83" s="60"/>
      <c r="CC83" s="60"/>
      <c r="CD83" s="60"/>
      <c r="CE83" s="60"/>
      <c r="CF83" s="60"/>
      <c r="CG83" s="60"/>
      <c r="CH83" s="60"/>
      <c r="CI83" s="60"/>
      <c r="CJ83" s="60"/>
      <c r="CK83" s="60"/>
      <c r="CL83" s="60"/>
      <c r="CM83" s="60"/>
      <c r="CN83" s="60"/>
      <c r="CO83" s="60"/>
      <c r="CP83" s="60"/>
      <c r="CQ83" s="60"/>
      <c r="CR83" s="60"/>
      <c r="CS83" s="60"/>
      <c r="CT83" s="60"/>
      <c r="CU83" s="60"/>
      <c r="CV83" s="60"/>
      <c r="CW83" s="60"/>
      <c r="CX83" s="60"/>
      <c r="CY83" s="60"/>
      <c r="CZ83" s="60"/>
      <c r="DA83" s="60"/>
      <c r="DB83" s="60"/>
      <c r="DC83" s="60"/>
      <c r="DD83" s="60"/>
      <c r="DE83" s="60"/>
      <c r="DF83" s="60"/>
      <c r="DG83" s="60"/>
      <c r="DH83" s="60"/>
      <c r="DI83" s="60"/>
      <c r="DJ83" s="60"/>
      <c r="DK83" s="60"/>
      <c r="DL83" s="60"/>
      <c r="DM83" s="60"/>
      <c r="DN83" s="60"/>
      <c r="DO83" s="60"/>
      <c r="DP83" s="60"/>
      <c r="DQ83" s="60"/>
      <c r="DR83" s="60"/>
      <c r="DS83" s="60"/>
      <c r="DT83" s="60"/>
      <c r="DU83" s="60"/>
      <c r="DV83" s="60"/>
      <c r="DW83" s="60"/>
      <c r="DX83" s="60"/>
      <c r="DY83" s="60"/>
      <c r="DZ83" s="60"/>
      <c r="EA83" s="60"/>
      <c r="EB83" s="60"/>
      <c r="EC83" s="60"/>
      <c r="ED83" s="60"/>
      <c r="EE83" s="60"/>
      <c r="EF83" s="60"/>
      <c r="EG83" s="60"/>
      <c r="EH83" s="60"/>
      <c r="EI83" s="60"/>
      <c r="EJ83" s="60"/>
      <c r="EK83" s="60"/>
      <c r="EL83" s="60"/>
      <c r="EM83" s="60"/>
      <c r="EN83" s="60"/>
      <c r="EO83" s="60"/>
      <c r="EP83" s="60"/>
      <c r="EQ83" s="60"/>
      <c r="ER83" s="60"/>
      <c r="ES83" s="60"/>
      <c r="ET83" s="60"/>
      <c r="EU83" s="60"/>
      <c r="EV83" s="60"/>
      <c r="EW83" s="60"/>
      <c r="EX83" s="60"/>
      <c r="EY83" s="60"/>
      <c r="EZ83" s="60"/>
      <c r="FA83" s="60"/>
      <c r="FB83" s="60"/>
      <c r="FC83" s="60"/>
      <c r="FD83" s="60"/>
      <c r="FE83" s="60"/>
      <c r="FF83" s="60"/>
      <c r="FG83" s="60"/>
      <c r="FH83" s="60"/>
      <c r="FI83" s="60"/>
      <c r="FJ83" s="60"/>
      <c r="FK83" s="60"/>
      <c r="FL83" s="60"/>
      <c r="FM83" s="60"/>
      <c r="FN83" s="60"/>
      <c r="FO83" s="60"/>
      <c r="FP83" s="60"/>
      <c r="FQ83" s="60"/>
      <c r="FR83" s="60"/>
      <c r="FS83" s="60"/>
      <c r="FT83" s="60"/>
      <c r="FU83" s="60"/>
      <c r="FV83" s="60"/>
      <c r="FW83" s="60"/>
      <c r="FX83" s="60"/>
      <c r="FY83" s="60"/>
      <c r="FZ83" s="60"/>
      <c r="GA83" s="60"/>
      <c r="GB83" s="60"/>
      <c r="GC83" s="60"/>
      <c r="GD83" s="60"/>
      <c r="GE83" s="60"/>
      <c r="GF83" s="60"/>
      <c r="GG83" s="60"/>
      <c r="GH83" s="60"/>
      <c r="GI83" s="60"/>
      <c r="GJ83" s="60"/>
      <c r="GK83" s="60"/>
      <c r="GL83" s="60"/>
      <c r="GM83" s="60"/>
      <c r="GN83" s="60"/>
      <c r="GO83" s="60"/>
      <c r="GP83" s="60"/>
      <c r="GQ83" s="60"/>
      <c r="GR83" s="60"/>
      <c r="GS83" s="60"/>
      <c r="GT83" s="60"/>
      <c r="GU83" s="60"/>
      <c r="GV83" s="60"/>
      <c r="GW83" s="60"/>
      <c r="GX83" s="60"/>
      <c r="GY83" s="60"/>
      <c r="GZ83" s="60"/>
      <c r="HA83" s="60"/>
      <c r="HB83" s="60"/>
      <c r="HC83" s="60"/>
      <c r="HD83" s="60"/>
      <c r="HE83" s="60"/>
      <c r="HF83" s="60"/>
      <c r="HG83" s="60"/>
      <c r="HH83" s="60"/>
      <c r="HI83" s="60"/>
      <c r="HJ83" s="60"/>
      <c r="HK83" s="60"/>
      <c r="HL83" s="60"/>
      <c r="HM83" s="60"/>
      <c r="HN83" s="60"/>
      <c r="HO83" s="60"/>
      <c r="HP83" s="60"/>
      <c r="HQ83" s="60"/>
      <c r="HR83" s="60"/>
      <c r="HS83" s="60"/>
      <c r="HT83" s="60"/>
      <c r="HU83" s="60"/>
      <c r="HV83" s="60"/>
      <c r="HW83" s="60"/>
      <c r="HX83" s="60"/>
      <c r="HY83" s="60"/>
      <c r="HZ83" s="60"/>
      <c r="IA83" s="60"/>
      <c r="IB83" s="60"/>
      <c r="IC83" s="60"/>
      <c r="ID83" s="60"/>
      <c r="IE83" s="60"/>
      <c r="IF83" s="60"/>
      <c r="IG83" s="60"/>
      <c r="IH83" s="60"/>
      <c r="II83" s="60"/>
      <c r="IJ83" s="60"/>
      <c r="IK83" s="60"/>
      <c r="IL83" s="60"/>
      <c r="IM83" s="60"/>
      <c r="IN83" s="60"/>
      <c r="IO83" s="60"/>
      <c r="IP83" s="60"/>
      <c r="IQ83" s="60"/>
      <c r="IR83" s="60"/>
      <c r="IS83" s="60"/>
      <c r="IT83" s="60"/>
      <c r="IU83" s="60"/>
      <c r="IV83" s="60"/>
      <c r="IW83" s="60"/>
      <c r="IX83" s="60"/>
      <c r="IY83" s="60"/>
      <c r="IZ83" s="60"/>
      <c r="JA83" s="60"/>
      <c r="JB83" s="60"/>
      <c r="JC83" s="60"/>
      <c r="JD83" s="60"/>
      <c r="JE83" s="60"/>
      <c r="JF83" s="60"/>
      <c r="JG83" s="60"/>
      <c r="JH83" s="60"/>
      <c r="JI83" s="60"/>
      <c r="JJ83" s="60"/>
      <c r="JK83" s="60"/>
      <c r="JL83" s="60"/>
      <c r="JM83" s="60"/>
      <c r="JN83" s="60"/>
      <c r="JO83" s="60"/>
      <c r="JP83" s="60"/>
      <c r="JQ83" s="60"/>
      <c r="JR83" s="60"/>
      <c r="JS83" s="60"/>
      <c r="JT83" s="60"/>
      <c r="JU83" s="60"/>
      <c r="JV83" s="60"/>
      <c r="JW83" s="60"/>
      <c r="JX83" s="60"/>
      <c r="JY83" s="60"/>
      <c r="JZ83" s="60"/>
      <c r="KA83" s="60"/>
      <c r="KB83" s="60"/>
      <c r="KC83" s="60"/>
      <c r="KD83" s="60"/>
      <c r="KE83" s="60"/>
      <c r="KF83" s="60"/>
      <c r="KG83" s="60"/>
      <c r="KH83" s="60"/>
      <c r="KI83" s="60"/>
      <c r="KJ83" s="60"/>
      <c r="KK83" s="60"/>
      <c r="KL83" s="60"/>
      <c r="KM83" s="60"/>
      <c r="KN83" s="60"/>
      <c r="KO83" s="60"/>
      <c r="KP83" s="60"/>
      <c r="KQ83" s="60"/>
      <c r="KR83" s="60"/>
      <c r="KS83" s="60"/>
      <c r="KT83" s="60"/>
      <c r="KU83" s="60"/>
      <c r="KV83" s="60"/>
      <c r="KW83" s="60"/>
      <c r="KX83" s="60"/>
      <c r="KY83" s="60"/>
      <c r="KZ83" s="60"/>
      <c r="LA83" s="60"/>
      <c r="LB83" s="60"/>
      <c r="LC83" s="60"/>
      <c r="LD83" s="60"/>
      <c r="LE83" s="60"/>
      <c r="LF83" s="60"/>
      <c r="LG83" s="60"/>
      <c r="LH83" s="60"/>
    </row>
    <row r="84" spans="1:320" s="17" customFormat="1" x14ac:dyDescent="0.25">
      <c r="A84" s="147"/>
      <c r="E84" s="156"/>
      <c r="F84" s="156"/>
      <c r="G84" s="156"/>
      <c r="H84" s="156"/>
      <c r="I84" s="156"/>
      <c r="J84" s="156"/>
      <c r="K84" s="156"/>
      <c r="L84" s="156"/>
      <c r="M84" s="156"/>
      <c r="N84" s="156"/>
      <c r="O84" s="156"/>
      <c r="P84" s="156"/>
      <c r="Q84" s="156"/>
      <c r="R84" s="156"/>
      <c r="S84" s="156"/>
      <c r="AC84" s="60"/>
      <c r="AD84" s="60"/>
      <c r="AE84" s="60"/>
      <c r="AF84" s="60"/>
      <c r="AG84" s="60"/>
      <c r="AH84" s="60"/>
      <c r="AI84" s="60"/>
      <c r="AJ84" s="60"/>
      <c r="AK84" s="60"/>
      <c r="AL84" s="60"/>
      <c r="AM84" s="60"/>
      <c r="AN84" s="60"/>
      <c r="AO84" s="60"/>
      <c r="AP84" s="60"/>
      <c r="AQ84" s="60"/>
      <c r="AR84" s="60"/>
      <c r="AS84" s="60"/>
      <c r="AT84" s="60"/>
      <c r="AU84" s="60"/>
      <c r="AV84" s="60"/>
      <c r="AW84" s="60"/>
      <c r="AX84" s="60"/>
      <c r="AY84" s="60"/>
      <c r="AZ84" s="60"/>
      <c r="BA84" s="60"/>
      <c r="BB84" s="60"/>
      <c r="BC84" s="60"/>
      <c r="BD84" s="60"/>
      <c r="BE84" s="60"/>
      <c r="BF84" s="60"/>
      <c r="BG84" s="60"/>
      <c r="BH84" s="60"/>
      <c r="BI84" s="60"/>
      <c r="BJ84" s="60"/>
      <c r="BK84" s="60"/>
      <c r="BL84" s="60"/>
      <c r="BM84" s="60"/>
      <c r="BN84" s="60"/>
      <c r="BO84" s="60"/>
      <c r="BP84" s="60"/>
      <c r="BQ84" s="60"/>
      <c r="BR84" s="60"/>
      <c r="BS84" s="60"/>
      <c r="BT84" s="60"/>
      <c r="BU84" s="60"/>
      <c r="BV84" s="60"/>
      <c r="BW84" s="60"/>
      <c r="BX84" s="60"/>
      <c r="BY84" s="60"/>
      <c r="BZ84" s="60"/>
      <c r="CA84" s="60"/>
      <c r="CB84" s="60"/>
      <c r="CC84" s="60"/>
      <c r="CD84" s="60"/>
      <c r="CE84" s="60"/>
      <c r="CF84" s="60"/>
      <c r="CG84" s="60"/>
      <c r="CH84" s="60"/>
      <c r="CI84" s="60"/>
      <c r="CJ84" s="60"/>
      <c r="CK84" s="60"/>
      <c r="CL84" s="60"/>
      <c r="CM84" s="60"/>
      <c r="CN84" s="60"/>
      <c r="CO84" s="60"/>
      <c r="CP84" s="60"/>
      <c r="CQ84" s="60"/>
      <c r="CR84" s="60"/>
      <c r="CS84" s="60"/>
      <c r="CT84" s="60"/>
      <c r="CU84" s="60"/>
      <c r="CV84" s="60"/>
      <c r="CW84" s="60"/>
      <c r="CX84" s="60"/>
      <c r="CY84" s="60"/>
      <c r="CZ84" s="60"/>
      <c r="DA84" s="60"/>
      <c r="DB84" s="60"/>
      <c r="DC84" s="60"/>
      <c r="DD84" s="60"/>
      <c r="DE84" s="60"/>
      <c r="DF84" s="60"/>
      <c r="DG84" s="60"/>
      <c r="DH84" s="60"/>
      <c r="DI84" s="60"/>
      <c r="DJ84" s="60"/>
      <c r="DK84" s="60"/>
      <c r="DL84" s="60"/>
      <c r="DM84" s="60"/>
      <c r="DN84" s="60"/>
      <c r="DO84" s="60"/>
      <c r="DP84" s="60"/>
      <c r="DQ84" s="60"/>
      <c r="DR84" s="60"/>
      <c r="DS84" s="60"/>
      <c r="DT84" s="60"/>
      <c r="DU84" s="60"/>
      <c r="DV84" s="60"/>
      <c r="DW84" s="60"/>
      <c r="DX84" s="60"/>
      <c r="DY84" s="60"/>
      <c r="DZ84" s="60"/>
      <c r="EA84" s="60"/>
      <c r="EB84" s="60"/>
      <c r="EC84" s="60"/>
      <c r="ED84" s="60"/>
      <c r="EE84" s="60"/>
      <c r="EF84" s="60"/>
      <c r="EG84" s="60"/>
      <c r="EH84" s="60"/>
      <c r="EI84" s="60"/>
      <c r="EJ84" s="60"/>
      <c r="EK84" s="60"/>
      <c r="EL84" s="60"/>
      <c r="EM84" s="60"/>
      <c r="EN84" s="60"/>
      <c r="EO84" s="60"/>
      <c r="EP84" s="60"/>
      <c r="EQ84" s="60"/>
      <c r="ER84" s="60"/>
      <c r="ES84" s="60"/>
      <c r="ET84" s="60"/>
      <c r="EU84" s="60"/>
      <c r="EV84" s="60"/>
      <c r="EW84" s="60"/>
      <c r="EX84" s="60"/>
      <c r="EY84" s="60"/>
      <c r="EZ84" s="60"/>
      <c r="FA84" s="60"/>
      <c r="FB84" s="60"/>
      <c r="FC84" s="60"/>
      <c r="FD84" s="60"/>
      <c r="FE84" s="60"/>
      <c r="FF84" s="60"/>
      <c r="FG84" s="60"/>
      <c r="FH84" s="60"/>
      <c r="FI84" s="60"/>
      <c r="FJ84" s="60"/>
      <c r="FK84" s="60"/>
      <c r="FL84" s="60"/>
      <c r="FM84" s="60"/>
      <c r="FN84" s="60"/>
      <c r="FO84" s="60"/>
      <c r="FP84" s="60"/>
      <c r="FQ84" s="60"/>
      <c r="FR84" s="60"/>
      <c r="FS84" s="60"/>
      <c r="FT84" s="60"/>
      <c r="FU84" s="60"/>
      <c r="FV84" s="60"/>
      <c r="FW84" s="60"/>
      <c r="FX84" s="60"/>
      <c r="FY84" s="60"/>
      <c r="FZ84" s="60"/>
      <c r="GA84" s="60"/>
      <c r="GB84" s="60"/>
      <c r="GC84" s="60"/>
      <c r="GD84" s="60"/>
      <c r="GE84" s="60"/>
      <c r="GF84" s="60"/>
      <c r="GG84" s="60"/>
      <c r="GH84" s="60"/>
      <c r="GI84" s="60"/>
      <c r="GJ84" s="60"/>
      <c r="GK84" s="60"/>
      <c r="GL84" s="60"/>
      <c r="GM84" s="60"/>
      <c r="GN84" s="60"/>
      <c r="GO84" s="60"/>
      <c r="GP84" s="60"/>
      <c r="GQ84" s="60"/>
      <c r="GR84" s="60"/>
      <c r="GS84" s="60"/>
      <c r="GT84" s="60"/>
      <c r="GU84" s="60"/>
      <c r="GV84" s="60"/>
      <c r="GW84" s="60"/>
      <c r="GX84" s="60"/>
      <c r="GY84" s="60"/>
      <c r="GZ84" s="60"/>
      <c r="HA84" s="60"/>
      <c r="HB84" s="60"/>
      <c r="HC84" s="60"/>
      <c r="HD84" s="60"/>
      <c r="HE84" s="60"/>
      <c r="HF84" s="60"/>
      <c r="HG84" s="60"/>
      <c r="HH84" s="60"/>
      <c r="HI84" s="60"/>
      <c r="HJ84" s="60"/>
      <c r="HK84" s="60"/>
      <c r="HL84" s="60"/>
      <c r="HM84" s="60"/>
      <c r="HN84" s="60"/>
      <c r="HO84" s="60"/>
      <c r="HP84" s="60"/>
      <c r="HQ84" s="60"/>
      <c r="HR84" s="60"/>
      <c r="HS84" s="60"/>
      <c r="HT84" s="60"/>
      <c r="HU84" s="60"/>
      <c r="HV84" s="60"/>
      <c r="HW84" s="60"/>
      <c r="HX84" s="60"/>
      <c r="HY84" s="60"/>
      <c r="HZ84" s="60"/>
      <c r="IA84" s="60"/>
      <c r="IB84" s="60"/>
      <c r="IC84" s="60"/>
      <c r="ID84" s="60"/>
      <c r="IE84" s="60"/>
      <c r="IF84" s="60"/>
      <c r="IG84" s="60"/>
      <c r="IH84" s="60"/>
      <c r="II84" s="60"/>
      <c r="IJ84" s="60"/>
      <c r="IK84" s="60"/>
      <c r="IL84" s="60"/>
      <c r="IM84" s="60"/>
      <c r="IN84" s="60"/>
      <c r="IO84" s="60"/>
      <c r="IP84" s="60"/>
      <c r="IQ84" s="60"/>
      <c r="IR84" s="60"/>
      <c r="IS84" s="60"/>
      <c r="IT84" s="60"/>
      <c r="IU84" s="60"/>
      <c r="IV84" s="60"/>
      <c r="IW84" s="60"/>
      <c r="IX84" s="60"/>
      <c r="IY84" s="60"/>
      <c r="IZ84" s="60"/>
      <c r="JA84" s="60"/>
      <c r="JB84" s="60"/>
      <c r="JC84" s="60"/>
      <c r="JD84" s="60"/>
      <c r="JE84" s="60"/>
      <c r="JF84" s="60"/>
      <c r="JG84" s="60"/>
      <c r="JH84" s="60"/>
      <c r="JI84" s="60"/>
      <c r="JJ84" s="60"/>
      <c r="JK84" s="60"/>
      <c r="JL84" s="60"/>
      <c r="JM84" s="60"/>
      <c r="JN84" s="60"/>
      <c r="JO84" s="60"/>
      <c r="JP84" s="60"/>
      <c r="JQ84" s="60"/>
      <c r="JR84" s="60"/>
      <c r="JS84" s="60"/>
      <c r="JT84" s="60"/>
      <c r="JU84" s="60"/>
      <c r="JV84" s="60"/>
      <c r="JW84" s="60"/>
      <c r="JX84" s="60"/>
      <c r="JY84" s="60"/>
      <c r="JZ84" s="60"/>
      <c r="KA84" s="60"/>
      <c r="KB84" s="60"/>
      <c r="KC84" s="60"/>
      <c r="KD84" s="60"/>
      <c r="KE84" s="60"/>
      <c r="KF84" s="60"/>
      <c r="KG84" s="60"/>
      <c r="KH84" s="60"/>
      <c r="KI84" s="60"/>
      <c r="KJ84" s="60"/>
      <c r="KK84" s="60"/>
      <c r="KL84" s="60"/>
      <c r="KM84" s="60"/>
      <c r="KN84" s="60"/>
      <c r="KO84" s="60"/>
      <c r="KP84" s="60"/>
      <c r="KQ84" s="60"/>
      <c r="KR84" s="60"/>
      <c r="KS84" s="60"/>
      <c r="KT84" s="60"/>
      <c r="KU84" s="60"/>
      <c r="KV84" s="60"/>
      <c r="KW84" s="60"/>
      <c r="KX84" s="60"/>
      <c r="KY84" s="60"/>
      <c r="KZ84" s="60"/>
      <c r="LA84" s="60"/>
      <c r="LB84" s="60"/>
      <c r="LC84" s="60"/>
      <c r="LD84" s="60"/>
      <c r="LE84" s="60"/>
      <c r="LF84" s="60"/>
      <c r="LG84" s="60"/>
      <c r="LH84" s="60"/>
    </row>
    <row r="85" spans="1:320" s="17" customFormat="1" x14ac:dyDescent="0.25">
      <c r="A85" s="147"/>
      <c r="E85" s="156"/>
      <c r="F85" s="156"/>
      <c r="G85" s="156"/>
      <c r="H85" s="156"/>
      <c r="I85" s="156"/>
      <c r="J85" s="156"/>
      <c r="K85" s="156"/>
      <c r="L85" s="156"/>
      <c r="M85" s="156"/>
      <c r="N85" s="156"/>
      <c r="O85" s="156"/>
      <c r="P85" s="156"/>
      <c r="Q85" s="156"/>
      <c r="R85" s="156"/>
      <c r="S85" s="156"/>
      <c r="AC85" s="60"/>
      <c r="AD85" s="60"/>
      <c r="AE85" s="60"/>
      <c r="AF85" s="60"/>
      <c r="AG85" s="60"/>
      <c r="AH85" s="60"/>
      <c r="AI85" s="60"/>
      <c r="AJ85" s="60"/>
      <c r="AK85" s="60"/>
      <c r="AL85" s="60"/>
      <c r="AM85" s="60"/>
      <c r="AN85" s="60"/>
      <c r="AO85" s="60"/>
      <c r="AP85" s="60"/>
      <c r="AQ85" s="60"/>
      <c r="AR85" s="60"/>
      <c r="AS85" s="60"/>
      <c r="AT85" s="60"/>
      <c r="AU85" s="60"/>
      <c r="AV85" s="60"/>
      <c r="AW85" s="60"/>
      <c r="AX85" s="60"/>
      <c r="AY85" s="60"/>
      <c r="AZ85" s="60"/>
      <c r="BA85" s="60"/>
      <c r="BB85" s="60"/>
      <c r="BC85" s="60"/>
      <c r="BD85" s="60"/>
      <c r="BE85" s="60"/>
      <c r="BF85" s="60"/>
      <c r="BG85" s="60"/>
      <c r="BH85" s="60"/>
      <c r="BI85" s="60"/>
      <c r="BJ85" s="60"/>
      <c r="BK85" s="60"/>
      <c r="BL85" s="60"/>
      <c r="BM85" s="60"/>
      <c r="BN85" s="60"/>
      <c r="BO85" s="60"/>
      <c r="BP85" s="60"/>
      <c r="BQ85" s="60"/>
      <c r="BR85" s="60"/>
      <c r="BS85" s="60"/>
      <c r="BT85" s="60"/>
      <c r="BU85" s="60"/>
      <c r="BV85" s="60"/>
      <c r="BW85" s="60"/>
      <c r="BX85" s="60"/>
      <c r="BY85" s="60"/>
      <c r="BZ85" s="60"/>
      <c r="CA85" s="60"/>
      <c r="CB85" s="60"/>
      <c r="CC85" s="60"/>
      <c r="CD85" s="60"/>
      <c r="CE85" s="60"/>
      <c r="CF85" s="60"/>
      <c r="CG85" s="60"/>
      <c r="CH85" s="60"/>
      <c r="CI85" s="60"/>
      <c r="CJ85" s="60"/>
      <c r="CK85" s="60"/>
      <c r="CL85" s="60"/>
      <c r="CM85" s="60"/>
      <c r="CN85" s="60"/>
      <c r="CO85" s="60"/>
      <c r="CP85" s="60"/>
      <c r="CQ85" s="60"/>
      <c r="CR85" s="60"/>
      <c r="CS85" s="60"/>
      <c r="CT85" s="60"/>
      <c r="CU85" s="60"/>
      <c r="CV85" s="60"/>
      <c r="CW85" s="60"/>
      <c r="CX85" s="60"/>
      <c r="CY85" s="60"/>
      <c r="CZ85" s="60"/>
      <c r="DA85" s="60"/>
      <c r="DB85" s="60"/>
      <c r="DC85" s="60"/>
      <c r="DD85" s="60"/>
      <c r="DE85" s="60"/>
      <c r="DF85" s="60"/>
      <c r="DG85" s="60"/>
      <c r="DH85" s="60"/>
      <c r="DI85" s="60"/>
      <c r="DJ85" s="60"/>
      <c r="DK85" s="60"/>
      <c r="DL85" s="60"/>
      <c r="DM85" s="60"/>
      <c r="DN85" s="60"/>
      <c r="DO85" s="60"/>
      <c r="DP85" s="60"/>
      <c r="DQ85" s="60"/>
      <c r="DR85" s="60"/>
      <c r="DS85" s="60"/>
      <c r="DT85" s="60"/>
      <c r="DU85" s="60"/>
      <c r="DV85" s="60"/>
      <c r="DW85" s="60"/>
      <c r="DX85" s="60"/>
      <c r="DY85" s="60"/>
      <c r="DZ85" s="60"/>
      <c r="EA85" s="60"/>
      <c r="EB85" s="60"/>
      <c r="EC85" s="60"/>
      <c r="ED85" s="60"/>
      <c r="EE85" s="60"/>
      <c r="EF85" s="60"/>
      <c r="EG85" s="60"/>
      <c r="EH85" s="60"/>
      <c r="EI85" s="60"/>
      <c r="EJ85" s="60"/>
      <c r="EK85" s="60"/>
      <c r="EL85" s="60"/>
      <c r="EM85" s="60"/>
      <c r="EN85" s="60"/>
      <c r="EO85" s="60"/>
      <c r="EP85" s="60"/>
      <c r="EQ85" s="60"/>
      <c r="ER85" s="60"/>
      <c r="ES85" s="60"/>
      <c r="ET85" s="60"/>
      <c r="EU85" s="60"/>
      <c r="EV85" s="60"/>
      <c r="EW85" s="60"/>
      <c r="EX85" s="60"/>
      <c r="EY85" s="60"/>
      <c r="EZ85" s="60"/>
      <c r="FA85" s="60"/>
      <c r="FB85" s="60"/>
      <c r="FC85" s="60"/>
      <c r="FD85" s="60"/>
      <c r="FE85" s="60"/>
      <c r="FF85" s="60"/>
      <c r="FG85" s="60"/>
      <c r="FH85" s="60"/>
      <c r="FI85" s="60"/>
      <c r="FJ85" s="60"/>
      <c r="FK85" s="60"/>
      <c r="FL85" s="60"/>
      <c r="FM85" s="60"/>
      <c r="FN85" s="60"/>
      <c r="FO85" s="60"/>
      <c r="FP85" s="60"/>
      <c r="FQ85" s="60"/>
      <c r="FR85" s="60"/>
      <c r="FS85" s="60"/>
      <c r="FT85" s="60"/>
      <c r="FU85" s="60"/>
      <c r="FV85" s="60"/>
      <c r="FW85" s="60"/>
      <c r="FX85" s="60"/>
      <c r="FY85" s="60"/>
      <c r="FZ85" s="60"/>
      <c r="GA85" s="60"/>
      <c r="GB85" s="60"/>
      <c r="GC85" s="60"/>
      <c r="GD85" s="60"/>
      <c r="GE85" s="60"/>
      <c r="GF85" s="60"/>
      <c r="GG85" s="60"/>
      <c r="GH85" s="60"/>
      <c r="GI85" s="60"/>
      <c r="GJ85" s="60"/>
      <c r="GK85" s="60"/>
      <c r="GL85" s="60"/>
      <c r="GM85" s="60"/>
      <c r="GN85" s="60"/>
      <c r="GO85" s="60"/>
      <c r="GP85" s="60"/>
      <c r="GQ85" s="60"/>
      <c r="GR85" s="60"/>
      <c r="GS85" s="60"/>
      <c r="GT85" s="60"/>
      <c r="GU85" s="60"/>
      <c r="GV85" s="60"/>
      <c r="GW85" s="60"/>
      <c r="GX85" s="60"/>
      <c r="GY85" s="60"/>
      <c r="GZ85" s="60"/>
      <c r="HA85" s="60"/>
      <c r="HB85" s="60"/>
      <c r="HC85" s="60"/>
      <c r="HD85" s="60"/>
      <c r="HE85" s="60"/>
      <c r="HF85" s="60"/>
      <c r="HG85" s="60"/>
      <c r="HH85" s="60"/>
      <c r="HI85" s="60"/>
      <c r="HJ85" s="60"/>
      <c r="HK85" s="60"/>
      <c r="HL85" s="60"/>
      <c r="HM85" s="60"/>
      <c r="HN85" s="60"/>
      <c r="HO85" s="60"/>
      <c r="HP85" s="60"/>
      <c r="HQ85" s="60"/>
      <c r="HR85" s="60"/>
      <c r="HS85" s="60"/>
      <c r="HT85" s="60"/>
      <c r="HU85" s="60"/>
      <c r="HV85" s="60"/>
      <c r="HW85" s="60"/>
      <c r="HX85" s="60"/>
      <c r="HY85" s="60"/>
      <c r="HZ85" s="60"/>
      <c r="IA85" s="60"/>
      <c r="IB85" s="60"/>
      <c r="IC85" s="60"/>
      <c r="ID85" s="60"/>
      <c r="IE85" s="60"/>
      <c r="IF85" s="60"/>
      <c r="IG85" s="60"/>
      <c r="IH85" s="60"/>
      <c r="II85" s="60"/>
      <c r="IJ85" s="60"/>
      <c r="IK85" s="60"/>
      <c r="IL85" s="60"/>
      <c r="IM85" s="60"/>
      <c r="IN85" s="60"/>
      <c r="IO85" s="60"/>
      <c r="IP85" s="60"/>
      <c r="IQ85" s="60"/>
      <c r="IR85" s="60"/>
      <c r="IS85" s="60"/>
      <c r="IT85" s="60"/>
      <c r="IU85" s="60"/>
      <c r="IV85" s="60"/>
      <c r="IW85" s="60"/>
      <c r="IX85" s="60"/>
      <c r="IY85" s="60"/>
      <c r="IZ85" s="60"/>
      <c r="JA85" s="60"/>
      <c r="JB85" s="60"/>
      <c r="JC85" s="60"/>
      <c r="JD85" s="60"/>
      <c r="JE85" s="60"/>
      <c r="JF85" s="60"/>
      <c r="JG85" s="60"/>
      <c r="JH85" s="60"/>
      <c r="JI85" s="60"/>
      <c r="JJ85" s="60"/>
      <c r="JK85" s="60"/>
      <c r="JL85" s="60"/>
      <c r="JM85" s="60"/>
      <c r="JN85" s="60"/>
      <c r="JO85" s="60"/>
      <c r="JP85" s="60"/>
      <c r="JQ85" s="60"/>
      <c r="JR85" s="60"/>
      <c r="JS85" s="60"/>
      <c r="JT85" s="60"/>
      <c r="JU85" s="60"/>
      <c r="JV85" s="60"/>
      <c r="JW85" s="60"/>
      <c r="JX85" s="60"/>
      <c r="JY85" s="60"/>
      <c r="JZ85" s="60"/>
      <c r="KA85" s="60"/>
      <c r="KB85" s="60"/>
      <c r="KC85" s="60"/>
      <c r="KD85" s="60"/>
      <c r="KE85" s="60"/>
      <c r="KF85" s="60"/>
      <c r="KG85" s="60"/>
      <c r="KH85" s="60"/>
      <c r="KI85" s="60"/>
      <c r="KJ85" s="60"/>
      <c r="KK85" s="60"/>
      <c r="KL85" s="60"/>
      <c r="KM85" s="60"/>
      <c r="KN85" s="60"/>
      <c r="KO85" s="60"/>
      <c r="KP85" s="60"/>
      <c r="KQ85" s="60"/>
      <c r="KR85" s="60"/>
      <c r="KS85" s="60"/>
      <c r="KT85" s="60"/>
      <c r="KU85" s="60"/>
      <c r="KV85" s="60"/>
      <c r="KW85" s="60"/>
      <c r="KX85" s="60"/>
      <c r="KY85" s="60"/>
      <c r="KZ85" s="60"/>
      <c r="LA85" s="60"/>
      <c r="LB85" s="60"/>
      <c r="LC85" s="60"/>
      <c r="LD85" s="60"/>
      <c r="LE85" s="60"/>
      <c r="LF85" s="60"/>
      <c r="LG85" s="60"/>
      <c r="LH85" s="60"/>
    </row>
    <row r="86" spans="1:320" s="17" customFormat="1" x14ac:dyDescent="0.25">
      <c r="A86" s="147"/>
      <c r="E86" s="156"/>
      <c r="F86" s="156"/>
      <c r="G86" s="156"/>
      <c r="H86" s="156"/>
      <c r="I86" s="156"/>
      <c r="J86" s="156"/>
      <c r="K86" s="156"/>
      <c r="L86" s="156"/>
      <c r="M86" s="156"/>
      <c r="N86" s="156"/>
      <c r="O86" s="156"/>
      <c r="P86" s="156"/>
      <c r="Q86" s="156"/>
      <c r="R86" s="156"/>
      <c r="S86" s="156"/>
      <c r="AC86" s="60"/>
      <c r="AD86" s="60"/>
      <c r="AE86" s="60"/>
      <c r="AF86" s="60"/>
      <c r="AG86" s="60"/>
      <c r="AH86" s="60"/>
      <c r="AI86" s="60"/>
      <c r="AJ86" s="60"/>
      <c r="AK86" s="60"/>
      <c r="AL86" s="60"/>
      <c r="AM86" s="60"/>
      <c r="AN86" s="60"/>
      <c r="AO86" s="60"/>
      <c r="AP86" s="60"/>
      <c r="AQ86" s="60"/>
      <c r="AR86" s="60"/>
      <c r="AS86" s="60"/>
      <c r="AT86" s="60"/>
      <c r="AU86" s="60"/>
      <c r="AV86" s="60"/>
      <c r="AW86" s="60"/>
      <c r="AX86" s="60"/>
      <c r="AY86" s="60"/>
      <c r="AZ86" s="60"/>
      <c r="BA86" s="60"/>
      <c r="BB86" s="60"/>
      <c r="BC86" s="60"/>
      <c r="BD86" s="60"/>
      <c r="BE86" s="60"/>
      <c r="BF86" s="60"/>
      <c r="BG86" s="60"/>
      <c r="BH86" s="60"/>
      <c r="BI86" s="60"/>
      <c r="BJ86" s="60"/>
      <c r="BK86" s="60"/>
      <c r="BL86" s="60"/>
      <c r="BM86" s="60"/>
      <c r="BN86" s="60"/>
      <c r="BO86" s="60"/>
      <c r="BP86" s="60"/>
      <c r="BQ86" s="60"/>
      <c r="BR86" s="60"/>
      <c r="BS86" s="60"/>
      <c r="BT86" s="60"/>
      <c r="BU86" s="60"/>
      <c r="BV86" s="60"/>
      <c r="BW86" s="60"/>
      <c r="BX86" s="60"/>
      <c r="BY86" s="60"/>
      <c r="BZ86" s="60"/>
      <c r="CA86" s="60"/>
      <c r="CB86" s="60"/>
      <c r="CC86" s="60"/>
      <c r="CD86" s="60"/>
      <c r="CE86" s="60"/>
      <c r="CF86" s="60"/>
      <c r="CG86" s="60"/>
      <c r="CH86" s="60"/>
      <c r="CI86" s="60"/>
      <c r="CJ86" s="60"/>
      <c r="CK86" s="60"/>
      <c r="CL86" s="60"/>
      <c r="CM86" s="60"/>
      <c r="CN86" s="60"/>
      <c r="CO86" s="60"/>
      <c r="CP86" s="60"/>
      <c r="CQ86" s="60"/>
      <c r="CR86" s="60"/>
      <c r="CS86" s="60"/>
      <c r="CT86" s="60"/>
      <c r="CU86" s="60"/>
      <c r="CV86" s="60"/>
      <c r="CW86" s="60"/>
      <c r="CX86" s="60"/>
      <c r="CY86" s="60"/>
      <c r="CZ86" s="60"/>
      <c r="DA86" s="60"/>
      <c r="DB86" s="60"/>
      <c r="DC86" s="60"/>
      <c r="DD86" s="60"/>
      <c r="DE86" s="60"/>
      <c r="DF86" s="60"/>
      <c r="DG86" s="60"/>
      <c r="DH86" s="60"/>
      <c r="DI86" s="60"/>
      <c r="DJ86" s="60"/>
      <c r="DK86" s="60"/>
      <c r="DL86" s="60"/>
      <c r="DM86" s="60"/>
      <c r="DN86" s="60"/>
      <c r="DO86" s="60"/>
      <c r="DP86" s="60"/>
      <c r="DQ86" s="60"/>
      <c r="DR86" s="60"/>
      <c r="DS86" s="60"/>
      <c r="DT86" s="60"/>
      <c r="DU86" s="60"/>
      <c r="DV86" s="60"/>
      <c r="DW86" s="60"/>
      <c r="DX86" s="60"/>
      <c r="DY86" s="60"/>
      <c r="DZ86" s="60"/>
      <c r="EA86" s="60"/>
      <c r="EB86" s="60"/>
      <c r="EC86" s="60"/>
      <c r="ED86" s="60"/>
      <c r="EE86" s="60"/>
      <c r="EF86" s="60"/>
      <c r="EG86" s="60"/>
      <c r="EH86" s="60"/>
      <c r="EI86" s="60"/>
      <c r="EJ86" s="60"/>
      <c r="EK86" s="60"/>
      <c r="EL86" s="60"/>
      <c r="EM86" s="60"/>
      <c r="EN86" s="60"/>
      <c r="EO86" s="60"/>
      <c r="EP86" s="60"/>
      <c r="EQ86" s="60"/>
      <c r="ER86" s="60"/>
      <c r="ES86" s="60"/>
      <c r="ET86" s="60"/>
      <c r="EU86" s="60"/>
      <c r="EV86" s="60"/>
      <c r="EW86" s="60"/>
      <c r="EX86" s="60"/>
      <c r="EY86" s="60"/>
      <c r="EZ86" s="60"/>
      <c r="FA86" s="60"/>
      <c r="FB86" s="60"/>
      <c r="FC86" s="60"/>
      <c r="FD86" s="60"/>
      <c r="FE86" s="60"/>
      <c r="FF86" s="60"/>
      <c r="FG86" s="60"/>
      <c r="FH86" s="60"/>
      <c r="FI86" s="60"/>
      <c r="FJ86" s="60"/>
      <c r="FK86" s="60"/>
      <c r="FL86" s="60"/>
      <c r="FM86" s="60"/>
      <c r="FN86" s="60"/>
      <c r="FO86" s="60"/>
      <c r="FP86" s="60"/>
      <c r="FQ86" s="60"/>
      <c r="FR86" s="60"/>
      <c r="FS86" s="60"/>
      <c r="FT86" s="60"/>
      <c r="FU86" s="60"/>
      <c r="FV86" s="60"/>
      <c r="FW86" s="60"/>
      <c r="FX86" s="60"/>
      <c r="FY86" s="60"/>
      <c r="FZ86" s="60"/>
      <c r="GA86" s="60"/>
      <c r="GB86" s="60"/>
      <c r="GC86" s="60"/>
      <c r="GD86" s="60"/>
      <c r="GE86" s="60"/>
      <c r="GF86" s="60"/>
      <c r="GG86" s="60"/>
      <c r="GH86" s="60"/>
      <c r="GI86" s="60"/>
      <c r="GJ86" s="60"/>
      <c r="GK86" s="60"/>
      <c r="GL86" s="60"/>
      <c r="GM86" s="60"/>
      <c r="GN86" s="60"/>
      <c r="GO86" s="60"/>
      <c r="GP86" s="60"/>
      <c r="GQ86" s="60"/>
      <c r="GR86" s="60"/>
      <c r="GS86" s="60"/>
      <c r="GT86" s="60"/>
      <c r="GU86" s="60"/>
      <c r="GV86" s="60"/>
      <c r="GW86" s="60"/>
      <c r="GX86" s="60"/>
      <c r="GY86" s="60"/>
      <c r="GZ86" s="60"/>
      <c r="HA86" s="60"/>
      <c r="HB86" s="60"/>
      <c r="HC86" s="60"/>
      <c r="HD86" s="60"/>
      <c r="HE86" s="60"/>
      <c r="HF86" s="60"/>
      <c r="HG86" s="60"/>
      <c r="HH86" s="60"/>
      <c r="HI86" s="60"/>
      <c r="HJ86" s="60"/>
      <c r="HK86" s="60"/>
      <c r="HL86" s="60"/>
      <c r="HM86" s="60"/>
      <c r="HN86" s="60"/>
      <c r="HO86" s="60"/>
      <c r="HP86" s="60"/>
      <c r="HQ86" s="60"/>
      <c r="HR86" s="60"/>
      <c r="HS86" s="60"/>
      <c r="HT86" s="60"/>
      <c r="HU86" s="60"/>
      <c r="HV86" s="60"/>
      <c r="HW86" s="60"/>
      <c r="HX86" s="60"/>
      <c r="HY86" s="60"/>
      <c r="HZ86" s="60"/>
      <c r="IA86" s="60"/>
      <c r="IB86" s="60"/>
      <c r="IC86" s="60"/>
      <c r="ID86" s="60"/>
      <c r="IE86" s="60"/>
      <c r="IF86" s="60"/>
      <c r="IG86" s="60"/>
      <c r="IH86" s="60"/>
      <c r="II86" s="60"/>
      <c r="IJ86" s="60"/>
      <c r="IK86" s="60"/>
      <c r="IL86" s="60"/>
      <c r="IM86" s="60"/>
      <c r="IN86" s="60"/>
      <c r="IO86" s="60"/>
      <c r="IP86" s="60"/>
      <c r="IQ86" s="60"/>
      <c r="IR86" s="60"/>
      <c r="IS86" s="60"/>
      <c r="IT86" s="60"/>
      <c r="IU86" s="60"/>
      <c r="IV86" s="60"/>
      <c r="IW86" s="60"/>
      <c r="IX86" s="60"/>
      <c r="IY86" s="60"/>
      <c r="IZ86" s="60"/>
      <c r="JA86" s="60"/>
      <c r="JB86" s="60"/>
      <c r="JC86" s="60"/>
      <c r="JD86" s="60"/>
      <c r="JE86" s="60"/>
      <c r="JF86" s="60"/>
      <c r="JG86" s="60"/>
      <c r="JH86" s="60"/>
      <c r="JI86" s="60"/>
      <c r="JJ86" s="60"/>
      <c r="JK86" s="60"/>
      <c r="JL86" s="60"/>
      <c r="JM86" s="60"/>
      <c r="JN86" s="60"/>
      <c r="JO86" s="60"/>
      <c r="JP86" s="60"/>
      <c r="JQ86" s="60"/>
      <c r="JR86" s="60"/>
      <c r="JS86" s="60"/>
      <c r="JT86" s="60"/>
      <c r="JU86" s="60"/>
      <c r="JV86" s="60"/>
      <c r="JW86" s="60"/>
      <c r="JX86" s="60"/>
      <c r="JY86" s="60"/>
      <c r="JZ86" s="60"/>
      <c r="KA86" s="60"/>
      <c r="KB86" s="60"/>
      <c r="KC86" s="60"/>
      <c r="KD86" s="60"/>
      <c r="KE86" s="60"/>
      <c r="KF86" s="60"/>
      <c r="KG86" s="60"/>
      <c r="KH86" s="60"/>
      <c r="KI86" s="60"/>
      <c r="KJ86" s="60"/>
      <c r="KK86" s="60"/>
      <c r="KL86" s="60"/>
      <c r="KM86" s="60"/>
      <c r="KN86" s="60"/>
      <c r="KO86" s="60"/>
      <c r="KP86" s="60"/>
      <c r="KQ86" s="60"/>
      <c r="KR86" s="60"/>
      <c r="KS86" s="60"/>
      <c r="KT86" s="60"/>
      <c r="KU86" s="60"/>
      <c r="KV86" s="60"/>
      <c r="KW86" s="60"/>
      <c r="KX86" s="60"/>
      <c r="KY86" s="60"/>
      <c r="KZ86" s="60"/>
      <c r="LA86" s="60"/>
      <c r="LB86" s="60"/>
      <c r="LC86" s="60"/>
      <c r="LD86" s="60"/>
      <c r="LE86" s="60"/>
      <c r="LF86" s="60"/>
      <c r="LG86" s="60"/>
      <c r="LH86" s="60"/>
    </row>
    <row r="87" spans="1:320" s="17" customFormat="1" x14ac:dyDescent="0.25">
      <c r="A87" s="147"/>
      <c r="E87" s="156"/>
      <c r="F87" s="156"/>
      <c r="G87" s="156"/>
      <c r="H87" s="156"/>
      <c r="I87" s="156"/>
      <c r="J87" s="156"/>
      <c r="K87" s="156"/>
      <c r="L87" s="156"/>
      <c r="M87" s="156"/>
      <c r="N87" s="156"/>
      <c r="O87" s="156"/>
      <c r="P87" s="156"/>
      <c r="Q87" s="156"/>
      <c r="R87" s="156"/>
      <c r="S87" s="156"/>
      <c r="AC87" s="60"/>
      <c r="AD87" s="60"/>
      <c r="AE87" s="60"/>
      <c r="AF87" s="60"/>
      <c r="AG87" s="60"/>
      <c r="AH87" s="60"/>
      <c r="AI87" s="60"/>
      <c r="AJ87" s="60"/>
      <c r="AK87" s="60"/>
      <c r="AL87" s="60"/>
      <c r="AM87" s="60"/>
      <c r="AN87" s="60"/>
      <c r="AO87" s="60"/>
      <c r="AP87" s="60"/>
      <c r="AQ87" s="60"/>
      <c r="AR87" s="60"/>
      <c r="AS87" s="60"/>
      <c r="AT87" s="60"/>
      <c r="AU87" s="60"/>
      <c r="AV87" s="60"/>
      <c r="AW87" s="60"/>
      <c r="AX87" s="60"/>
      <c r="AY87" s="60"/>
      <c r="AZ87" s="60"/>
      <c r="BA87" s="60"/>
      <c r="BB87" s="60"/>
      <c r="BC87" s="60"/>
      <c r="BD87" s="60"/>
      <c r="BE87" s="60"/>
      <c r="BF87" s="60"/>
      <c r="BG87" s="60"/>
      <c r="BH87" s="60"/>
      <c r="BI87" s="60"/>
      <c r="BJ87" s="60"/>
      <c r="BK87" s="60"/>
      <c r="BL87" s="60"/>
      <c r="BM87" s="60"/>
      <c r="BN87" s="60"/>
      <c r="BO87" s="60"/>
      <c r="BP87" s="60"/>
      <c r="BQ87" s="60"/>
      <c r="BR87" s="60"/>
      <c r="BS87" s="60"/>
      <c r="BT87" s="60"/>
      <c r="BU87" s="60"/>
      <c r="BV87" s="60"/>
      <c r="BW87" s="60"/>
      <c r="BX87" s="60"/>
      <c r="BY87" s="60"/>
      <c r="BZ87" s="60"/>
      <c r="CA87" s="60"/>
      <c r="CB87" s="60"/>
      <c r="CC87" s="60"/>
      <c r="CD87" s="60"/>
      <c r="CE87" s="60"/>
      <c r="CF87" s="60"/>
      <c r="CG87" s="60"/>
      <c r="CH87" s="60"/>
      <c r="CI87" s="60"/>
      <c r="CJ87" s="60"/>
      <c r="CK87" s="60"/>
      <c r="CL87" s="60"/>
      <c r="CM87" s="60"/>
      <c r="CN87" s="60"/>
      <c r="CO87" s="60"/>
      <c r="CP87" s="60"/>
      <c r="CQ87" s="60"/>
      <c r="CR87" s="60"/>
      <c r="CS87" s="60"/>
      <c r="CT87" s="60"/>
      <c r="CU87" s="60"/>
      <c r="CV87" s="60"/>
      <c r="CW87" s="60"/>
      <c r="CX87" s="60"/>
      <c r="CY87" s="60"/>
      <c r="CZ87" s="60"/>
      <c r="DA87" s="60"/>
      <c r="DB87" s="60"/>
      <c r="DC87" s="60"/>
      <c r="DD87" s="60"/>
      <c r="DE87" s="60"/>
      <c r="DF87" s="60"/>
      <c r="DG87" s="60"/>
      <c r="DH87" s="60"/>
      <c r="DI87" s="60"/>
      <c r="DJ87" s="60"/>
      <c r="DK87" s="60"/>
      <c r="DL87" s="60"/>
      <c r="DM87" s="60"/>
      <c r="DN87" s="60"/>
      <c r="DO87" s="60"/>
      <c r="DP87" s="60"/>
      <c r="DQ87" s="60"/>
      <c r="DR87" s="60"/>
      <c r="DS87" s="60"/>
      <c r="DT87" s="60"/>
      <c r="DU87" s="60"/>
      <c r="DV87" s="60"/>
      <c r="DW87" s="60"/>
      <c r="DX87" s="60"/>
      <c r="DY87" s="60"/>
      <c r="DZ87" s="60"/>
      <c r="EA87" s="60"/>
      <c r="EB87" s="60"/>
      <c r="EC87" s="60"/>
      <c r="ED87" s="60"/>
      <c r="EE87" s="60"/>
      <c r="EF87" s="60"/>
      <c r="EG87" s="60"/>
      <c r="EH87" s="60"/>
      <c r="EI87" s="60"/>
      <c r="EJ87" s="60"/>
      <c r="EK87" s="60"/>
      <c r="EL87" s="60"/>
      <c r="EM87" s="60"/>
      <c r="EN87" s="60"/>
      <c r="EO87" s="60"/>
      <c r="EP87" s="60"/>
      <c r="EQ87" s="60"/>
      <c r="ER87" s="60"/>
      <c r="ES87" s="60"/>
      <c r="ET87" s="60"/>
      <c r="EU87" s="60"/>
      <c r="EV87" s="60"/>
      <c r="EW87" s="60"/>
      <c r="EX87" s="60"/>
      <c r="EY87" s="60"/>
      <c r="EZ87" s="60"/>
      <c r="FA87" s="60"/>
      <c r="FB87" s="60"/>
      <c r="FC87" s="60"/>
      <c r="FD87" s="60"/>
      <c r="FE87" s="60"/>
      <c r="FF87" s="60"/>
      <c r="FG87" s="60"/>
      <c r="FH87" s="60"/>
      <c r="FI87" s="60"/>
      <c r="FJ87" s="60"/>
      <c r="FK87" s="60"/>
      <c r="FL87" s="60"/>
      <c r="FM87" s="60"/>
      <c r="FN87" s="60"/>
      <c r="FO87" s="60"/>
      <c r="FP87" s="60"/>
      <c r="FQ87" s="60"/>
      <c r="FR87" s="60"/>
      <c r="FS87" s="60"/>
      <c r="FT87" s="60"/>
      <c r="FU87" s="60"/>
      <c r="FV87" s="60"/>
      <c r="FW87" s="60"/>
      <c r="FX87" s="60"/>
      <c r="FY87" s="60"/>
      <c r="FZ87" s="60"/>
      <c r="GA87" s="60"/>
      <c r="GB87" s="60"/>
      <c r="GC87" s="60"/>
      <c r="GD87" s="60"/>
      <c r="GE87" s="60"/>
      <c r="GF87" s="60"/>
      <c r="GG87" s="60"/>
      <c r="GH87" s="60"/>
      <c r="GI87" s="60"/>
      <c r="GJ87" s="60"/>
      <c r="GK87" s="60"/>
      <c r="GL87" s="60"/>
      <c r="GM87" s="60"/>
      <c r="GN87" s="60"/>
      <c r="GO87" s="60"/>
      <c r="GP87" s="60"/>
      <c r="GQ87" s="60"/>
      <c r="GR87" s="60"/>
      <c r="GS87" s="60"/>
      <c r="GT87" s="60"/>
      <c r="GU87" s="60"/>
      <c r="GV87" s="60"/>
      <c r="GW87" s="60"/>
      <c r="GX87" s="60"/>
      <c r="GY87" s="60"/>
      <c r="GZ87" s="60"/>
      <c r="HA87" s="60"/>
      <c r="HB87" s="60"/>
      <c r="HC87" s="60"/>
      <c r="HD87" s="60"/>
      <c r="HE87" s="60"/>
      <c r="HF87" s="60"/>
      <c r="HG87" s="60"/>
      <c r="HH87" s="60"/>
      <c r="HI87" s="60"/>
      <c r="HJ87" s="60"/>
      <c r="HK87" s="60"/>
      <c r="HL87" s="60"/>
      <c r="HM87" s="60"/>
      <c r="HN87" s="60"/>
      <c r="HO87" s="60"/>
      <c r="HP87" s="60"/>
      <c r="HQ87" s="60"/>
      <c r="HR87" s="60"/>
      <c r="HS87" s="60"/>
      <c r="HT87" s="60"/>
      <c r="HU87" s="60"/>
      <c r="HV87" s="60"/>
      <c r="HW87" s="60"/>
      <c r="HX87" s="60"/>
      <c r="HY87" s="60"/>
      <c r="HZ87" s="60"/>
      <c r="IA87" s="60"/>
      <c r="IB87" s="60"/>
      <c r="IC87" s="60"/>
      <c r="ID87" s="60"/>
      <c r="IE87" s="60"/>
      <c r="IF87" s="60"/>
      <c r="IG87" s="60"/>
      <c r="IH87" s="60"/>
      <c r="II87" s="60"/>
      <c r="IJ87" s="60"/>
      <c r="IK87" s="60"/>
      <c r="IL87" s="60"/>
      <c r="IM87" s="60"/>
      <c r="IN87" s="60"/>
      <c r="IO87" s="60"/>
      <c r="IP87" s="60"/>
      <c r="IQ87" s="60"/>
      <c r="IR87" s="60"/>
      <c r="IS87" s="60"/>
      <c r="IT87" s="60"/>
      <c r="IU87" s="60"/>
      <c r="IV87" s="60"/>
      <c r="IW87" s="60"/>
      <c r="IX87" s="60"/>
      <c r="IY87" s="60"/>
      <c r="IZ87" s="60"/>
      <c r="JA87" s="60"/>
      <c r="JB87" s="60"/>
      <c r="JC87" s="60"/>
      <c r="JD87" s="60"/>
      <c r="JE87" s="60"/>
      <c r="JF87" s="60"/>
      <c r="JG87" s="60"/>
      <c r="JH87" s="60"/>
      <c r="JI87" s="60"/>
      <c r="JJ87" s="60"/>
      <c r="JK87" s="60"/>
      <c r="JL87" s="60"/>
      <c r="JM87" s="60"/>
      <c r="JN87" s="60"/>
      <c r="JO87" s="60"/>
      <c r="JP87" s="60"/>
      <c r="JQ87" s="60"/>
      <c r="JR87" s="60"/>
      <c r="JS87" s="60"/>
      <c r="JT87" s="60"/>
      <c r="JU87" s="60"/>
      <c r="JV87" s="60"/>
      <c r="JW87" s="60"/>
      <c r="JX87" s="60"/>
      <c r="JY87" s="60"/>
      <c r="JZ87" s="60"/>
      <c r="KA87" s="60"/>
      <c r="KB87" s="60"/>
      <c r="KC87" s="60"/>
      <c r="KD87" s="60"/>
      <c r="KE87" s="60"/>
      <c r="KF87" s="60"/>
      <c r="KG87" s="60"/>
      <c r="KH87" s="60"/>
      <c r="KI87" s="60"/>
      <c r="KJ87" s="60"/>
      <c r="KK87" s="60"/>
      <c r="KL87" s="60"/>
      <c r="KM87" s="60"/>
      <c r="KN87" s="60"/>
      <c r="KO87" s="60"/>
      <c r="KP87" s="60"/>
      <c r="KQ87" s="60"/>
      <c r="KR87" s="60"/>
      <c r="KS87" s="60"/>
      <c r="KT87" s="60"/>
      <c r="KU87" s="60"/>
      <c r="KV87" s="60"/>
      <c r="KW87" s="60"/>
      <c r="KX87" s="60"/>
      <c r="KY87" s="60"/>
      <c r="KZ87" s="60"/>
      <c r="LA87" s="60"/>
      <c r="LB87" s="60"/>
      <c r="LC87" s="60"/>
      <c r="LD87" s="60"/>
      <c r="LE87" s="60"/>
      <c r="LF87" s="60"/>
      <c r="LG87" s="60"/>
      <c r="LH87" s="60"/>
    </row>
    <row r="88" spans="1:320" s="17" customFormat="1" x14ac:dyDescent="0.25">
      <c r="A88" s="147"/>
      <c r="E88" s="156"/>
      <c r="F88" s="156"/>
      <c r="G88" s="156"/>
      <c r="H88" s="156"/>
      <c r="I88" s="156"/>
      <c r="J88" s="156"/>
      <c r="K88" s="156"/>
      <c r="L88" s="156"/>
      <c r="M88" s="156"/>
      <c r="N88" s="156"/>
      <c r="O88" s="156"/>
      <c r="P88" s="156"/>
      <c r="Q88" s="156"/>
      <c r="R88" s="156"/>
      <c r="S88" s="156"/>
      <c r="AC88" s="60"/>
      <c r="AD88" s="60"/>
      <c r="AE88" s="60"/>
      <c r="AF88" s="60"/>
      <c r="AG88" s="60"/>
      <c r="AH88" s="60"/>
      <c r="AI88" s="60"/>
      <c r="AJ88" s="60"/>
      <c r="AK88" s="60"/>
      <c r="AL88" s="60"/>
      <c r="AM88" s="60"/>
      <c r="AN88" s="60"/>
      <c r="AO88" s="60"/>
      <c r="AP88" s="60"/>
      <c r="AQ88" s="60"/>
      <c r="AR88" s="60"/>
      <c r="AS88" s="60"/>
      <c r="AT88" s="60"/>
      <c r="AU88" s="60"/>
      <c r="AV88" s="60"/>
      <c r="AW88" s="60"/>
      <c r="AX88" s="60"/>
      <c r="AY88" s="60"/>
      <c r="AZ88" s="60"/>
      <c r="BA88" s="60"/>
      <c r="BB88" s="60"/>
      <c r="BC88" s="60"/>
      <c r="BD88" s="60"/>
      <c r="BE88" s="60"/>
      <c r="BF88" s="60"/>
      <c r="BG88" s="60"/>
      <c r="BH88" s="60"/>
      <c r="BI88" s="60"/>
      <c r="BJ88" s="60"/>
      <c r="BK88" s="60"/>
      <c r="BL88" s="60"/>
      <c r="BM88" s="60"/>
      <c r="BN88" s="60"/>
      <c r="BO88" s="60"/>
      <c r="BP88" s="60"/>
      <c r="BQ88" s="60"/>
      <c r="BR88" s="60"/>
      <c r="BS88" s="60"/>
      <c r="BT88" s="60"/>
      <c r="BU88" s="60"/>
      <c r="BV88" s="60"/>
      <c r="BW88" s="60"/>
      <c r="BX88" s="60"/>
      <c r="BY88" s="60"/>
      <c r="BZ88" s="60"/>
      <c r="CA88" s="60"/>
      <c r="CB88" s="60"/>
      <c r="CC88" s="60"/>
      <c r="CD88" s="60"/>
      <c r="CE88" s="60"/>
      <c r="CF88" s="60"/>
      <c r="CG88" s="60"/>
      <c r="CH88" s="60"/>
      <c r="CI88" s="60"/>
      <c r="CJ88" s="60"/>
      <c r="CK88" s="60"/>
      <c r="CL88" s="60"/>
      <c r="CM88" s="60"/>
      <c r="CN88" s="60"/>
      <c r="CO88" s="60"/>
      <c r="CP88" s="60"/>
      <c r="CQ88" s="60"/>
      <c r="CR88" s="60"/>
      <c r="CS88" s="60"/>
      <c r="CT88" s="60"/>
      <c r="CU88" s="60"/>
      <c r="CV88" s="60"/>
      <c r="CW88" s="60"/>
      <c r="CX88" s="60"/>
      <c r="CY88" s="60"/>
      <c r="CZ88" s="60"/>
      <c r="DA88" s="60"/>
      <c r="DB88" s="60"/>
      <c r="DC88" s="60"/>
      <c r="DD88" s="60"/>
      <c r="DE88" s="60"/>
      <c r="DF88" s="60"/>
      <c r="DG88" s="60"/>
      <c r="DH88" s="60"/>
      <c r="DI88" s="60"/>
      <c r="DJ88" s="60"/>
      <c r="DK88" s="60"/>
      <c r="DL88" s="60"/>
      <c r="DM88" s="60"/>
      <c r="DN88" s="60"/>
      <c r="DO88" s="60"/>
      <c r="DP88" s="60"/>
      <c r="DQ88" s="60"/>
      <c r="DR88" s="60"/>
      <c r="DS88" s="60"/>
      <c r="DT88" s="60"/>
      <c r="DU88" s="60"/>
      <c r="DV88" s="60"/>
      <c r="DW88" s="60"/>
      <c r="DX88" s="60"/>
      <c r="DY88" s="60"/>
      <c r="DZ88" s="60"/>
      <c r="EA88" s="60"/>
      <c r="EB88" s="60"/>
      <c r="EC88" s="60"/>
      <c r="ED88" s="60"/>
      <c r="EE88" s="60"/>
      <c r="EF88" s="60"/>
      <c r="EG88" s="60"/>
      <c r="EH88" s="60"/>
      <c r="EI88" s="60"/>
      <c r="EJ88" s="60"/>
      <c r="EK88" s="60"/>
      <c r="EL88" s="60"/>
      <c r="EM88" s="60"/>
      <c r="EN88" s="60"/>
      <c r="EO88" s="60"/>
      <c r="EP88" s="60"/>
      <c r="EQ88" s="60"/>
      <c r="ER88" s="60"/>
      <c r="ES88" s="60"/>
      <c r="ET88" s="60"/>
      <c r="EU88" s="60"/>
      <c r="EV88" s="60"/>
      <c r="EW88" s="60"/>
      <c r="EX88" s="60"/>
      <c r="EY88" s="60"/>
      <c r="EZ88" s="60"/>
      <c r="FA88" s="60"/>
      <c r="FB88" s="60"/>
      <c r="FC88" s="60"/>
      <c r="FD88" s="60"/>
      <c r="FE88" s="60"/>
      <c r="FF88" s="60"/>
      <c r="FG88" s="60"/>
      <c r="FH88" s="60"/>
      <c r="FI88" s="60"/>
      <c r="FJ88" s="60"/>
      <c r="FK88" s="60"/>
      <c r="FL88" s="60"/>
      <c r="FM88" s="60"/>
      <c r="FN88" s="60"/>
      <c r="FO88" s="60"/>
      <c r="FP88" s="60"/>
      <c r="FQ88" s="60"/>
      <c r="FR88" s="60"/>
      <c r="FS88" s="60"/>
      <c r="FT88" s="60"/>
      <c r="FU88" s="60"/>
      <c r="FV88" s="60"/>
      <c r="FW88" s="60"/>
      <c r="FX88" s="60"/>
      <c r="FY88" s="60"/>
      <c r="FZ88" s="60"/>
      <c r="GA88" s="60"/>
      <c r="GB88" s="60"/>
      <c r="GC88" s="60"/>
      <c r="GD88" s="60"/>
      <c r="GE88" s="60"/>
      <c r="GF88" s="60"/>
      <c r="GG88" s="60"/>
      <c r="GH88" s="60"/>
      <c r="GI88" s="60"/>
      <c r="GJ88" s="60"/>
      <c r="GK88" s="60"/>
      <c r="GL88" s="60"/>
      <c r="GM88" s="60"/>
      <c r="GN88" s="60"/>
      <c r="GO88" s="60"/>
      <c r="GP88" s="60"/>
      <c r="GQ88" s="60"/>
      <c r="GR88" s="60"/>
      <c r="GS88" s="60"/>
      <c r="GT88" s="60"/>
      <c r="GU88" s="60"/>
      <c r="GV88" s="60"/>
      <c r="GW88" s="60"/>
      <c r="GX88" s="60"/>
      <c r="GY88" s="60"/>
      <c r="GZ88" s="60"/>
      <c r="HA88" s="60"/>
      <c r="HB88" s="60"/>
      <c r="HC88" s="60"/>
      <c r="HD88" s="60"/>
      <c r="HE88" s="60"/>
      <c r="HF88" s="60"/>
      <c r="HG88" s="60"/>
      <c r="HH88" s="60"/>
      <c r="HI88" s="60"/>
      <c r="HJ88" s="60"/>
      <c r="HK88" s="60"/>
      <c r="HL88" s="60"/>
      <c r="HM88" s="60"/>
      <c r="HN88" s="60"/>
      <c r="HO88" s="60"/>
      <c r="HP88" s="60"/>
      <c r="HQ88" s="60"/>
      <c r="HR88" s="60"/>
      <c r="HS88" s="60"/>
      <c r="HT88" s="60"/>
      <c r="HU88" s="60"/>
      <c r="HV88" s="60"/>
      <c r="HW88" s="60"/>
      <c r="HX88" s="60"/>
      <c r="HY88" s="60"/>
      <c r="HZ88" s="60"/>
      <c r="IA88" s="60"/>
      <c r="IB88" s="60"/>
      <c r="IC88" s="60"/>
      <c r="ID88" s="60"/>
      <c r="IE88" s="60"/>
      <c r="IF88" s="60"/>
      <c r="IG88" s="60"/>
      <c r="IH88" s="60"/>
      <c r="II88" s="60"/>
      <c r="IJ88" s="60"/>
      <c r="IK88" s="60"/>
      <c r="IL88" s="60"/>
      <c r="IM88" s="60"/>
      <c r="IN88" s="60"/>
      <c r="IO88" s="60"/>
      <c r="IP88" s="60"/>
      <c r="IQ88" s="60"/>
      <c r="IR88" s="60"/>
      <c r="IS88" s="60"/>
      <c r="IT88" s="60"/>
      <c r="IU88" s="60"/>
      <c r="IV88" s="60"/>
      <c r="IW88" s="60"/>
      <c r="IX88" s="60"/>
      <c r="IY88" s="60"/>
      <c r="IZ88" s="60"/>
      <c r="JA88" s="60"/>
      <c r="JB88" s="60"/>
      <c r="JC88" s="60"/>
      <c r="JD88" s="60"/>
      <c r="JE88" s="60"/>
      <c r="JF88" s="60"/>
      <c r="JG88" s="60"/>
      <c r="JH88" s="60"/>
      <c r="JI88" s="60"/>
      <c r="JJ88" s="60"/>
      <c r="JK88" s="60"/>
      <c r="JL88" s="60"/>
      <c r="JM88" s="60"/>
      <c r="JN88" s="60"/>
      <c r="JO88" s="60"/>
      <c r="JP88" s="60"/>
      <c r="JQ88" s="60"/>
      <c r="JR88" s="60"/>
      <c r="JS88" s="60"/>
      <c r="JT88" s="60"/>
      <c r="JU88" s="60"/>
      <c r="JV88" s="60"/>
      <c r="JW88" s="60"/>
      <c r="JX88" s="60"/>
      <c r="JY88" s="60"/>
      <c r="JZ88" s="60"/>
      <c r="KA88" s="60"/>
      <c r="KB88" s="60"/>
      <c r="KC88" s="60"/>
      <c r="KD88" s="60"/>
      <c r="KE88" s="60"/>
      <c r="KF88" s="60"/>
      <c r="KG88" s="60"/>
      <c r="KH88" s="60"/>
      <c r="KI88" s="60"/>
      <c r="KJ88" s="60"/>
      <c r="KK88" s="60"/>
      <c r="KL88" s="60"/>
      <c r="KM88" s="60"/>
      <c r="KN88" s="60"/>
      <c r="KO88" s="60"/>
      <c r="KP88" s="60"/>
      <c r="KQ88" s="60"/>
      <c r="KR88" s="60"/>
      <c r="KS88" s="60"/>
      <c r="KT88" s="60"/>
      <c r="KU88" s="60"/>
      <c r="KV88" s="60"/>
      <c r="KW88" s="60"/>
      <c r="KX88" s="60"/>
      <c r="KY88" s="60"/>
      <c r="KZ88" s="60"/>
      <c r="LA88" s="60"/>
      <c r="LB88" s="60"/>
      <c r="LC88" s="60"/>
      <c r="LD88" s="60"/>
      <c r="LE88" s="60"/>
      <c r="LF88" s="60"/>
      <c r="LG88" s="60"/>
      <c r="LH88" s="60"/>
    </row>
    <row r="89" spans="1:320" s="17" customFormat="1" x14ac:dyDescent="0.25">
      <c r="A89" s="147"/>
      <c r="E89" s="156"/>
      <c r="F89" s="156"/>
      <c r="G89" s="156"/>
      <c r="H89" s="156"/>
      <c r="I89" s="156"/>
      <c r="J89" s="156"/>
      <c r="K89" s="156"/>
      <c r="L89" s="156"/>
      <c r="M89" s="156"/>
      <c r="N89" s="156"/>
      <c r="O89" s="156"/>
      <c r="P89" s="156"/>
      <c r="Q89" s="156"/>
      <c r="R89" s="156"/>
      <c r="S89" s="156"/>
      <c r="AC89" s="60"/>
      <c r="AD89" s="60"/>
      <c r="AE89" s="60"/>
      <c r="AF89" s="60"/>
      <c r="AG89" s="60"/>
      <c r="AH89" s="60"/>
      <c r="AI89" s="60"/>
      <c r="AJ89" s="60"/>
      <c r="AK89" s="60"/>
      <c r="AL89" s="60"/>
      <c r="AM89" s="60"/>
      <c r="AN89" s="60"/>
      <c r="AO89" s="60"/>
      <c r="AP89" s="60"/>
      <c r="AQ89" s="60"/>
      <c r="AR89" s="60"/>
      <c r="AS89" s="60"/>
      <c r="AT89" s="60"/>
      <c r="AU89" s="60"/>
      <c r="AV89" s="60"/>
      <c r="AW89" s="60"/>
      <c r="AX89" s="60"/>
      <c r="AY89" s="60"/>
      <c r="AZ89" s="60"/>
      <c r="BA89" s="60"/>
      <c r="BB89" s="60"/>
      <c r="BC89" s="60"/>
      <c r="BD89" s="60"/>
      <c r="BE89" s="60"/>
      <c r="BF89" s="60"/>
      <c r="BG89" s="60"/>
      <c r="BH89" s="60"/>
      <c r="BI89" s="60"/>
      <c r="BJ89" s="60"/>
      <c r="BK89" s="60"/>
      <c r="BL89" s="60"/>
      <c r="BM89" s="60"/>
      <c r="BN89" s="60"/>
      <c r="BO89" s="60"/>
      <c r="BP89" s="60"/>
      <c r="BQ89" s="60"/>
      <c r="BR89" s="60"/>
      <c r="BS89" s="60"/>
      <c r="BT89" s="60"/>
      <c r="BU89" s="60"/>
      <c r="BV89" s="60"/>
      <c r="BW89" s="60"/>
      <c r="BX89" s="60"/>
      <c r="BY89" s="60"/>
      <c r="BZ89" s="60"/>
      <c r="CA89" s="60"/>
      <c r="CB89" s="60"/>
      <c r="CC89" s="60"/>
      <c r="CD89" s="60"/>
      <c r="CE89" s="60"/>
      <c r="CF89" s="60"/>
      <c r="CG89" s="60"/>
      <c r="CH89" s="60"/>
      <c r="CI89" s="60"/>
      <c r="CJ89" s="60"/>
      <c r="CK89" s="60"/>
      <c r="CL89" s="60"/>
      <c r="CM89" s="60"/>
      <c r="CN89" s="60"/>
      <c r="CO89" s="60"/>
      <c r="CP89" s="60"/>
      <c r="CQ89" s="60"/>
      <c r="CR89" s="60"/>
      <c r="CS89" s="60"/>
      <c r="CT89" s="60"/>
      <c r="CU89" s="60"/>
      <c r="CV89" s="60"/>
      <c r="CW89" s="60"/>
      <c r="CX89" s="60"/>
      <c r="CY89" s="60"/>
      <c r="CZ89" s="60"/>
      <c r="DA89" s="60"/>
      <c r="DB89" s="60"/>
      <c r="DC89" s="60"/>
      <c r="DD89" s="60"/>
      <c r="DE89" s="60"/>
      <c r="DF89" s="60"/>
      <c r="DG89" s="60"/>
      <c r="DH89" s="60"/>
      <c r="DI89" s="60"/>
      <c r="DJ89" s="60"/>
      <c r="DK89" s="60"/>
      <c r="DL89" s="60"/>
      <c r="DM89" s="60"/>
      <c r="DN89" s="60"/>
      <c r="DO89" s="60"/>
      <c r="DP89" s="60"/>
      <c r="DQ89" s="60"/>
      <c r="DR89" s="60"/>
      <c r="DS89" s="60"/>
      <c r="DT89" s="60"/>
      <c r="DU89" s="60"/>
      <c r="DV89" s="60"/>
      <c r="DW89" s="60"/>
      <c r="DX89" s="60"/>
      <c r="DY89" s="60"/>
      <c r="DZ89" s="60"/>
      <c r="EA89" s="60"/>
      <c r="EB89" s="60"/>
      <c r="EC89" s="60"/>
      <c r="ED89" s="60"/>
      <c r="EE89" s="60"/>
      <c r="EF89" s="60"/>
      <c r="EG89" s="60"/>
      <c r="EH89" s="60"/>
      <c r="EI89" s="60"/>
      <c r="EJ89" s="60"/>
      <c r="EK89" s="60"/>
      <c r="EL89" s="60"/>
      <c r="EM89" s="60"/>
      <c r="EN89" s="60"/>
      <c r="EO89" s="60"/>
      <c r="EP89" s="60"/>
      <c r="EQ89" s="60"/>
      <c r="ER89" s="60"/>
      <c r="ES89" s="60"/>
      <c r="ET89" s="60"/>
      <c r="EU89" s="60"/>
      <c r="EV89" s="60"/>
      <c r="EW89" s="60"/>
      <c r="EX89" s="60"/>
      <c r="EY89" s="60"/>
      <c r="EZ89" s="60"/>
      <c r="FA89" s="60"/>
      <c r="FB89" s="60"/>
      <c r="FC89" s="60"/>
      <c r="FD89" s="60"/>
      <c r="FE89" s="60"/>
      <c r="FF89" s="60"/>
      <c r="FG89" s="60"/>
      <c r="FH89" s="60"/>
      <c r="FI89" s="60"/>
      <c r="FJ89" s="60"/>
      <c r="FK89" s="60"/>
      <c r="FL89" s="60"/>
      <c r="FM89" s="60"/>
      <c r="FN89" s="60"/>
      <c r="FO89" s="60"/>
      <c r="FP89" s="60"/>
      <c r="FQ89" s="60"/>
      <c r="FR89" s="60"/>
      <c r="FS89" s="60"/>
      <c r="FT89" s="60"/>
      <c r="FU89" s="60"/>
      <c r="FV89" s="60"/>
      <c r="FW89" s="60"/>
      <c r="FX89" s="60"/>
      <c r="FY89" s="60"/>
      <c r="FZ89" s="60"/>
      <c r="GA89" s="60"/>
      <c r="GB89" s="60"/>
      <c r="GC89" s="60"/>
      <c r="GD89" s="60"/>
      <c r="GE89" s="60"/>
      <c r="GF89" s="60"/>
      <c r="GG89" s="60"/>
      <c r="GH89" s="60"/>
      <c r="GI89" s="60"/>
      <c r="GJ89" s="60"/>
      <c r="GK89" s="60"/>
      <c r="GL89" s="60"/>
      <c r="GM89" s="60"/>
      <c r="GN89" s="60"/>
      <c r="GO89" s="60"/>
      <c r="GP89" s="60"/>
      <c r="GQ89" s="60"/>
      <c r="GR89" s="60"/>
      <c r="GS89" s="60"/>
      <c r="GT89" s="60"/>
      <c r="GU89" s="60"/>
      <c r="GV89" s="60"/>
      <c r="GW89" s="60"/>
      <c r="GX89" s="60"/>
      <c r="GY89" s="60"/>
      <c r="GZ89" s="60"/>
      <c r="HA89" s="60"/>
      <c r="HB89" s="60"/>
      <c r="HC89" s="60"/>
      <c r="HD89" s="60"/>
      <c r="HE89" s="60"/>
      <c r="HF89" s="60"/>
      <c r="HG89" s="60"/>
      <c r="HH89" s="60"/>
      <c r="HI89" s="60"/>
      <c r="HJ89" s="60"/>
      <c r="HK89" s="60"/>
      <c r="HL89" s="60"/>
      <c r="HM89" s="60"/>
      <c r="HN89" s="60"/>
      <c r="HO89" s="60"/>
      <c r="HP89" s="60"/>
      <c r="HQ89" s="60"/>
      <c r="HR89" s="60"/>
      <c r="HS89" s="60"/>
      <c r="HT89" s="60"/>
      <c r="HU89" s="60"/>
      <c r="HV89" s="60"/>
      <c r="HW89" s="60"/>
      <c r="HX89" s="60"/>
      <c r="HY89" s="60"/>
      <c r="HZ89" s="60"/>
      <c r="IA89" s="60"/>
      <c r="IB89" s="60"/>
      <c r="IC89" s="60"/>
      <c r="ID89" s="60"/>
      <c r="IE89" s="60"/>
      <c r="IF89" s="60"/>
      <c r="IG89" s="60"/>
      <c r="IH89" s="60"/>
      <c r="II89" s="60"/>
      <c r="IJ89" s="60"/>
      <c r="IK89" s="60"/>
      <c r="IL89" s="60"/>
      <c r="IM89" s="60"/>
      <c r="IN89" s="60"/>
      <c r="IO89" s="60"/>
      <c r="IP89" s="60"/>
      <c r="IQ89" s="60"/>
      <c r="IR89" s="60"/>
      <c r="IS89" s="60"/>
      <c r="IT89" s="60"/>
      <c r="IU89" s="60"/>
      <c r="IV89" s="60"/>
      <c r="IW89" s="60"/>
      <c r="IX89" s="60"/>
      <c r="IY89" s="60"/>
      <c r="IZ89" s="60"/>
      <c r="JA89" s="60"/>
      <c r="JB89" s="60"/>
      <c r="JC89" s="60"/>
      <c r="JD89" s="60"/>
      <c r="JE89" s="60"/>
      <c r="JF89" s="60"/>
      <c r="JG89" s="60"/>
      <c r="JH89" s="60"/>
      <c r="JI89" s="60"/>
      <c r="JJ89" s="60"/>
      <c r="JK89" s="60"/>
      <c r="JL89" s="60"/>
      <c r="JM89" s="60"/>
      <c r="JN89" s="60"/>
      <c r="JO89" s="60"/>
      <c r="JP89" s="60"/>
      <c r="JQ89" s="60"/>
      <c r="JR89" s="60"/>
      <c r="JS89" s="60"/>
      <c r="JT89" s="60"/>
      <c r="JU89" s="60"/>
      <c r="JV89" s="60"/>
      <c r="JW89" s="60"/>
      <c r="JX89" s="60"/>
      <c r="JY89" s="60"/>
      <c r="JZ89" s="60"/>
      <c r="KA89" s="60"/>
      <c r="KB89" s="60"/>
      <c r="KC89" s="60"/>
      <c r="KD89" s="60"/>
      <c r="KE89" s="60"/>
      <c r="KF89" s="60"/>
      <c r="KG89" s="60"/>
      <c r="KH89" s="60"/>
      <c r="KI89" s="60"/>
      <c r="KJ89" s="60"/>
      <c r="KK89" s="60"/>
      <c r="KL89" s="60"/>
      <c r="KM89" s="60"/>
      <c r="KN89" s="60"/>
      <c r="KO89" s="60"/>
      <c r="KP89" s="60"/>
      <c r="KQ89" s="60"/>
      <c r="KR89" s="60"/>
      <c r="KS89" s="60"/>
      <c r="KT89" s="60"/>
      <c r="KU89" s="60"/>
      <c r="KV89" s="60"/>
      <c r="KW89" s="60"/>
      <c r="KX89" s="60"/>
      <c r="KY89" s="60"/>
      <c r="KZ89" s="60"/>
      <c r="LA89" s="60"/>
      <c r="LB89" s="60"/>
      <c r="LC89" s="60"/>
      <c r="LD89" s="60"/>
      <c r="LE89" s="60"/>
      <c r="LF89" s="60"/>
      <c r="LG89" s="60"/>
      <c r="LH89" s="60"/>
    </row>
    <row r="90" spans="1:320" s="17" customFormat="1" x14ac:dyDescent="0.25">
      <c r="A90" s="147"/>
      <c r="E90" s="156"/>
      <c r="F90" s="156"/>
      <c r="G90" s="156"/>
      <c r="H90" s="156"/>
      <c r="I90" s="156"/>
      <c r="J90" s="156"/>
      <c r="K90" s="156"/>
      <c r="L90" s="156"/>
      <c r="M90" s="156"/>
      <c r="N90" s="156"/>
      <c r="O90" s="156"/>
      <c r="P90" s="156"/>
      <c r="Q90" s="156"/>
      <c r="R90" s="156"/>
      <c r="S90" s="156"/>
      <c r="AC90" s="60"/>
      <c r="AD90" s="60"/>
      <c r="AE90" s="60"/>
      <c r="AF90" s="60"/>
      <c r="AG90" s="60"/>
      <c r="AH90" s="60"/>
      <c r="AI90" s="60"/>
      <c r="AJ90" s="60"/>
      <c r="AK90" s="60"/>
      <c r="AL90" s="60"/>
      <c r="AM90" s="60"/>
      <c r="AN90" s="60"/>
      <c r="AO90" s="60"/>
      <c r="AP90" s="60"/>
      <c r="AQ90" s="60"/>
      <c r="AR90" s="60"/>
      <c r="AS90" s="60"/>
      <c r="AT90" s="60"/>
      <c r="AU90" s="60"/>
      <c r="AV90" s="60"/>
      <c r="AW90" s="60"/>
      <c r="AX90" s="60"/>
      <c r="AY90" s="60"/>
      <c r="AZ90" s="60"/>
      <c r="BA90" s="60"/>
      <c r="BB90" s="60"/>
      <c r="BC90" s="60"/>
      <c r="BD90" s="60"/>
      <c r="BE90" s="60"/>
      <c r="BF90" s="60"/>
      <c r="BG90" s="60"/>
      <c r="BH90" s="60"/>
      <c r="BI90" s="60"/>
      <c r="BJ90" s="60"/>
      <c r="BK90" s="60"/>
      <c r="BL90" s="60"/>
      <c r="BM90" s="60"/>
      <c r="BN90" s="60"/>
      <c r="BO90" s="60"/>
      <c r="BP90" s="60"/>
      <c r="BQ90" s="60"/>
      <c r="BR90" s="60"/>
      <c r="BS90" s="60"/>
      <c r="BT90" s="60"/>
      <c r="BU90" s="60"/>
      <c r="BV90" s="60"/>
      <c r="BW90" s="60"/>
      <c r="BX90" s="60"/>
      <c r="BY90" s="60"/>
      <c r="BZ90" s="60"/>
      <c r="CA90" s="60"/>
      <c r="CB90" s="60"/>
      <c r="CC90" s="60"/>
      <c r="CD90" s="60"/>
      <c r="CE90" s="60"/>
      <c r="CF90" s="60"/>
      <c r="CG90" s="60"/>
      <c r="CH90" s="60"/>
      <c r="CI90" s="60"/>
      <c r="CJ90" s="60"/>
      <c r="CK90" s="60"/>
      <c r="CL90" s="60"/>
      <c r="CM90" s="60"/>
      <c r="CN90" s="60"/>
      <c r="CO90" s="60"/>
      <c r="CP90" s="60"/>
      <c r="CQ90" s="60"/>
      <c r="CR90" s="60"/>
      <c r="CS90" s="60"/>
      <c r="CT90" s="60"/>
      <c r="CU90" s="60"/>
      <c r="CV90" s="60"/>
      <c r="CW90" s="60"/>
      <c r="CX90" s="60"/>
      <c r="CY90" s="60"/>
      <c r="CZ90" s="60"/>
      <c r="DA90" s="60"/>
      <c r="DB90" s="60"/>
      <c r="DC90" s="60"/>
      <c r="DD90" s="60"/>
      <c r="DE90" s="60"/>
      <c r="DF90" s="60"/>
      <c r="DG90" s="60"/>
      <c r="DH90" s="60"/>
      <c r="DI90" s="60"/>
      <c r="DJ90" s="60"/>
      <c r="DK90" s="60"/>
      <c r="DL90" s="60"/>
      <c r="DM90" s="60"/>
      <c r="DN90" s="60"/>
      <c r="DO90" s="60"/>
      <c r="DP90" s="60"/>
      <c r="DQ90" s="60"/>
      <c r="DR90" s="60"/>
      <c r="DS90" s="60"/>
      <c r="DT90" s="60"/>
      <c r="DU90" s="60"/>
      <c r="DV90" s="60"/>
      <c r="DW90" s="60"/>
      <c r="DX90" s="60"/>
      <c r="DY90" s="60"/>
      <c r="DZ90" s="60"/>
      <c r="EA90" s="60"/>
      <c r="EB90" s="60"/>
      <c r="EC90" s="60"/>
      <c r="ED90" s="60"/>
      <c r="EE90" s="60"/>
      <c r="EF90" s="60"/>
      <c r="EG90" s="60"/>
      <c r="EH90" s="60"/>
      <c r="EI90" s="60"/>
      <c r="EJ90" s="60"/>
      <c r="EK90" s="60"/>
      <c r="EL90" s="60"/>
      <c r="EM90" s="60"/>
      <c r="EN90" s="60"/>
      <c r="EO90" s="60"/>
      <c r="EP90" s="60"/>
      <c r="EQ90" s="60"/>
      <c r="ER90" s="60"/>
      <c r="ES90" s="60"/>
      <c r="ET90" s="60"/>
      <c r="EU90" s="60"/>
      <c r="EV90" s="60"/>
      <c r="EW90" s="60"/>
      <c r="EX90" s="60"/>
      <c r="EY90" s="60"/>
      <c r="EZ90" s="60"/>
      <c r="FA90" s="60"/>
      <c r="FB90" s="60"/>
      <c r="FC90" s="60"/>
      <c r="FD90" s="60"/>
      <c r="FE90" s="60"/>
      <c r="FF90" s="60"/>
      <c r="FG90" s="60"/>
      <c r="FH90" s="60"/>
      <c r="FI90" s="60"/>
      <c r="FJ90" s="60"/>
      <c r="FK90" s="60"/>
      <c r="FL90" s="60"/>
      <c r="FM90" s="60"/>
      <c r="FN90" s="60"/>
      <c r="FO90" s="60"/>
      <c r="FP90" s="60"/>
      <c r="FQ90" s="60"/>
      <c r="FR90" s="60"/>
      <c r="FS90" s="60"/>
      <c r="FT90" s="60"/>
      <c r="FU90" s="60"/>
      <c r="FV90" s="60"/>
      <c r="FW90" s="60"/>
      <c r="FX90" s="60"/>
      <c r="FY90" s="60"/>
      <c r="FZ90" s="60"/>
      <c r="GA90" s="60"/>
      <c r="GB90" s="60"/>
      <c r="GC90" s="60"/>
      <c r="GD90" s="60"/>
      <c r="GE90" s="60"/>
      <c r="GF90" s="60"/>
      <c r="GG90" s="60"/>
      <c r="GH90" s="60"/>
      <c r="GI90" s="60"/>
      <c r="GJ90" s="60"/>
      <c r="GK90" s="60"/>
      <c r="GL90" s="60"/>
      <c r="GM90" s="60"/>
      <c r="GN90" s="60"/>
      <c r="GO90" s="60"/>
      <c r="GP90" s="60"/>
      <c r="GQ90" s="60"/>
      <c r="GR90" s="60"/>
      <c r="GS90" s="60"/>
      <c r="GT90" s="60"/>
      <c r="GU90" s="60"/>
      <c r="GV90" s="60"/>
      <c r="GW90" s="60"/>
      <c r="GX90" s="60"/>
      <c r="GY90" s="60"/>
      <c r="GZ90" s="60"/>
      <c r="HA90" s="60"/>
      <c r="HB90" s="60"/>
      <c r="HC90" s="60"/>
      <c r="HD90" s="60"/>
      <c r="HE90" s="60"/>
      <c r="HF90" s="60"/>
      <c r="HG90" s="60"/>
      <c r="HH90" s="60"/>
      <c r="HI90" s="60"/>
      <c r="HJ90" s="60"/>
      <c r="HK90" s="60"/>
      <c r="HL90" s="60"/>
      <c r="HM90" s="60"/>
      <c r="HN90" s="60"/>
      <c r="HO90" s="60"/>
      <c r="HP90" s="60"/>
      <c r="HQ90" s="60"/>
      <c r="HR90" s="60"/>
      <c r="HS90" s="60"/>
      <c r="HT90" s="60"/>
      <c r="HU90" s="60"/>
      <c r="HV90" s="60"/>
      <c r="HW90" s="60"/>
      <c r="HX90" s="60"/>
      <c r="HY90" s="60"/>
      <c r="HZ90" s="60"/>
      <c r="IA90" s="60"/>
      <c r="IB90" s="60"/>
      <c r="IC90" s="60"/>
      <c r="ID90" s="60"/>
      <c r="IE90" s="60"/>
      <c r="IF90" s="60"/>
      <c r="IG90" s="60"/>
      <c r="IH90" s="60"/>
      <c r="II90" s="60"/>
      <c r="IJ90" s="60"/>
      <c r="IK90" s="60"/>
      <c r="IL90" s="60"/>
      <c r="IM90" s="60"/>
      <c r="IN90" s="60"/>
      <c r="IO90" s="60"/>
      <c r="IP90" s="60"/>
      <c r="IQ90" s="60"/>
      <c r="IR90" s="60"/>
      <c r="IS90" s="60"/>
      <c r="IT90" s="60"/>
      <c r="IU90" s="60"/>
      <c r="IV90" s="60"/>
      <c r="IW90" s="60"/>
      <c r="IX90" s="60"/>
      <c r="IY90" s="60"/>
      <c r="IZ90" s="60"/>
      <c r="JA90" s="60"/>
      <c r="JB90" s="60"/>
      <c r="JC90" s="60"/>
      <c r="JD90" s="60"/>
      <c r="JE90" s="60"/>
      <c r="JF90" s="60"/>
      <c r="JG90" s="60"/>
      <c r="JH90" s="60"/>
      <c r="JI90" s="60"/>
      <c r="JJ90" s="60"/>
      <c r="JK90" s="60"/>
      <c r="JL90" s="60"/>
      <c r="JM90" s="60"/>
      <c r="JN90" s="60"/>
      <c r="JO90" s="60"/>
      <c r="JP90" s="60"/>
      <c r="JQ90" s="60"/>
      <c r="JR90" s="60"/>
      <c r="JS90" s="60"/>
      <c r="JT90" s="60"/>
      <c r="JU90" s="60"/>
      <c r="JV90" s="60"/>
      <c r="JW90" s="60"/>
      <c r="JX90" s="60"/>
      <c r="JY90" s="60"/>
      <c r="JZ90" s="60"/>
      <c r="KA90" s="60"/>
      <c r="KB90" s="60"/>
      <c r="KC90" s="60"/>
      <c r="KD90" s="60"/>
      <c r="KE90" s="60"/>
      <c r="KF90" s="60"/>
      <c r="KG90" s="60"/>
      <c r="KH90" s="60"/>
      <c r="KI90" s="60"/>
      <c r="KJ90" s="60"/>
      <c r="KK90" s="60"/>
      <c r="KL90" s="60"/>
      <c r="KM90" s="60"/>
      <c r="KN90" s="60"/>
      <c r="KO90" s="60"/>
      <c r="KP90" s="60"/>
      <c r="KQ90" s="60"/>
      <c r="KR90" s="60"/>
      <c r="KS90" s="60"/>
      <c r="KT90" s="60"/>
      <c r="KU90" s="60"/>
      <c r="KV90" s="60"/>
      <c r="KW90" s="60"/>
      <c r="KX90" s="60"/>
      <c r="KY90" s="60"/>
      <c r="KZ90" s="60"/>
      <c r="LA90" s="60"/>
      <c r="LB90" s="60"/>
      <c r="LC90" s="60"/>
      <c r="LD90" s="60"/>
      <c r="LE90" s="60"/>
      <c r="LF90" s="60"/>
      <c r="LG90" s="60"/>
      <c r="LH90" s="60"/>
    </row>
    <row r="91" spans="1:320" s="17" customFormat="1" x14ac:dyDescent="0.25">
      <c r="A91" s="147"/>
      <c r="E91" s="156"/>
      <c r="F91" s="156"/>
      <c r="G91" s="156"/>
      <c r="H91" s="156"/>
      <c r="I91" s="156"/>
      <c r="J91" s="156"/>
      <c r="K91" s="156"/>
      <c r="L91" s="156"/>
      <c r="M91" s="156"/>
      <c r="N91" s="156"/>
      <c r="O91" s="156"/>
      <c r="P91" s="156"/>
      <c r="Q91" s="156"/>
      <c r="R91" s="156"/>
      <c r="S91" s="156"/>
      <c r="AC91" s="60"/>
      <c r="AD91" s="60"/>
      <c r="AE91" s="60"/>
      <c r="AF91" s="60"/>
      <c r="AG91" s="60"/>
      <c r="AH91" s="60"/>
      <c r="AI91" s="60"/>
      <c r="AJ91" s="60"/>
      <c r="AK91" s="60"/>
      <c r="AL91" s="60"/>
      <c r="AM91" s="60"/>
      <c r="AN91" s="60"/>
      <c r="AO91" s="60"/>
      <c r="AP91" s="60"/>
      <c r="AQ91" s="60"/>
      <c r="AR91" s="60"/>
      <c r="AS91" s="60"/>
      <c r="AT91" s="60"/>
      <c r="AU91" s="60"/>
      <c r="AV91" s="60"/>
      <c r="AW91" s="60"/>
      <c r="AX91" s="60"/>
      <c r="AY91" s="60"/>
      <c r="AZ91" s="60"/>
      <c r="BA91" s="60"/>
      <c r="BB91" s="60"/>
      <c r="BC91" s="60"/>
      <c r="BD91" s="60"/>
      <c r="BE91" s="60"/>
      <c r="BF91" s="60"/>
      <c r="BG91" s="60"/>
      <c r="BH91" s="60"/>
      <c r="BI91" s="60"/>
      <c r="BJ91" s="60"/>
      <c r="BK91" s="60"/>
      <c r="BL91" s="60"/>
      <c r="BM91" s="60"/>
      <c r="BN91" s="60"/>
      <c r="BO91" s="60"/>
      <c r="BP91" s="60"/>
      <c r="BQ91" s="60"/>
      <c r="BR91" s="60"/>
      <c r="BS91" s="60"/>
      <c r="BT91" s="60"/>
      <c r="BU91" s="60"/>
      <c r="BV91" s="60"/>
      <c r="BW91" s="60"/>
      <c r="BX91" s="60"/>
      <c r="BY91" s="60"/>
      <c r="BZ91" s="60"/>
      <c r="CA91" s="60"/>
      <c r="CB91" s="60"/>
      <c r="CC91" s="60"/>
      <c r="CD91" s="60"/>
      <c r="CE91" s="60"/>
      <c r="CF91" s="60"/>
      <c r="CG91" s="60"/>
      <c r="CH91" s="60"/>
      <c r="CI91" s="60"/>
      <c r="CJ91" s="60"/>
      <c r="CK91" s="60"/>
      <c r="CL91" s="60"/>
      <c r="CM91" s="60"/>
      <c r="CN91" s="60"/>
      <c r="CO91" s="60"/>
      <c r="CP91" s="60"/>
      <c r="CQ91" s="60"/>
      <c r="CR91" s="60"/>
      <c r="CS91" s="60"/>
      <c r="CT91" s="60"/>
      <c r="CU91" s="60"/>
      <c r="CV91" s="60"/>
      <c r="CW91" s="60"/>
      <c r="CX91" s="60"/>
      <c r="CY91" s="60"/>
      <c r="CZ91" s="60"/>
      <c r="DA91" s="60"/>
      <c r="DB91" s="60"/>
      <c r="DC91" s="60"/>
      <c r="DD91" s="60"/>
      <c r="DE91" s="60"/>
      <c r="DF91" s="60"/>
      <c r="DG91" s="60"/>
      <c r="DH91" s="60"/>
      <c r="DI91" s="60"/>
      <c r="DJ91" s="60"/>
      <c r="DK91" s="60"/>
      <c r="DL91" s="60"/>
      <c r="DM91" s="60"/>
      <c r="DN91" s="60"/>
      <c r="DO91" s="60"/>
      <c r="DP91" s="60"/>
      <c r="DQ91" s="60"/>
      <c r="DR91" s="60"/>
      <c r="DS91" s="60"/>
      <c r="DT91" s="60"/>
      <c r="DU91" s="60"/>
      <c r="DV91" s="60"/>
      <c r="DW91" s="60"/>
      <c r="DX91" s="60"/>
      <c r="DY91" s="60"/>
      <c r="DZ91" s="60"/>
      <c r="EA91" s="60"/>
      <c r="EB91" s="60"/>
      <c r="EC91" s="60"/>
      <c r="ED91" s="60"/>
      <c r="EE91" s="60"/>
      <c r="EF91" s="60"/>
      <c r="EG91" s="60"/>
      <c r="EH91" s="60"/>
      <c r="EI91" s="60"/>
      <c r="EJ91" s="60"/>
      <c r="EK91" s="60"/>
      <c r="EL91" s="60"/>
      <c r="EM91" s="60"/>
      <c r="EN91" s="60"/>
      <c r="EO91" s="60"/>
      <c r="EP91" s="60"/>
      <c r="EQ91" s="60"/>
      <c r="ER91" s="60"/>
      <c r="ES91" s="60"/>
      <c r="ET91" s="60"/>
      <c r="EU91" s="60"/>
      <c r="EV91" s="60"/>
      <c r="EW91" s="60"/>
      <c r="EX91" s="60"/>
      <c r="EY91" s="60"/>
      <c r="EZ91" s="60"/>
      <c r="FA91" s="60"/>
      <c r="FB91" s="60"/>
      <c r="FC91" s="60"/>
      <c r="FD91" s="60"/>
      <c r="FE91" s="60"/>
      <c r="FF91" s="60"/>
      <c r="FG91" s="60"/>
      <c r="FH91" s="60"/>
      <c r="FI91" s="60"/>
      <c r="FJ91" s="60"/>
      <c r="FK91" s="60"/>
      <c r="FL91" s="60"/>
      <c r="FM91" s="60"/>
      <c r="FN91" s="60"/>
      <c r="FO91" s="60"/>
      <c r="FP91" s="60"/>
      <c r="FQ91" s="60"/>
      <c r="FR91" s="60"/>
      <c r="FS91" s="60"/>
      <c r="FT91" s="60"/>
      <c r="FU91" s="60"/>
      <c r="FV91" s="60"/>
      <c r="FW91" s="60"/>
      <c r="FX91" s="60"/>
      <c r="FY91" s="60"/>
      <c r="FZ91" s="60"/>
      <c r="GA91" s="60"/>
      <c r="GB91" s="60"/>
      <c r="GC91" s="60"/>
      <c r="GD91" s="60"/>
      <c r="GE91" s="60"/>
      <c r="GF91" s="60"/>
      <c r="GG91" s="60"/>
      <c r="GH91" s="60"/>
      <c r="GI91" s="60"/>
      <c r="GJ91" s="60"/>
      <c r="GK91" s="60"/>
      <c r="GL91" s="60"/>
      <c r="GM91" s="60"/>
      <c r="GN91" s="60"/>
      <c r="GO91" s="60"/>
      <c r="GP91" s="60"/>
      <c r="GQ91" s="60"/>
      <c r="GR91" s="60"/>
      <c r="GS91" s="60"/>
      <c r="GT91" s="60"/>
      <c r="GU91" s="60"/>
      <c r="GV91" s="60"/>
      <c r="GW91" s="60"/>
      <c r="GX91" s="60"/>
      <c r="GY91" s="60"/>
      <c r="GZ91" s="60"/>
      <c r="HA91" s="60"/>
      <c r="HB91" s="60"/>
      <c r="HC91" s="60"/>
      <c r="HD91" s="60"/>
      <c r="HE91" s="60"/>
      <c r="HF91" s="60"/>
      <c r="HG91" s="60"/>
      <c r="HH91" s="60"/>
      <c r="HI91" s="60"/>
      <c r="HJ91" s="60"/>
      <c r="HK91" s="60"/>
      <c r="HL91" s="60"/>
      <c r="HM91" s="60"/>
      <c r="HN91" s="60"/>
      <c r="HO91" s="60"/>
      <c r="HP91" s="60"/>
      <c r="HQ91" s="60"/>
      <c r="HR91" s="60"/>
      <c r="HS91" s="60"/>
      <c r="HT91" s="60"/>
      <c r="HU91" s="60"/>
      <c r="HV91" s="60"/>
      <c r="HW91" s="60"/>
      <c r="HX91" s="60"/>
      <c r="HY91" s="60"/>
      <c r="HZ91" s="60"/>
      <c r="IA91" s="60"/>
      <c r="IB91" s="60"/>
      <c r="IC91" s="60"/>
      <c r="ID91" s="60"/>
      <c r="IE91" s="60"/>
      <c r="IF91" s="60"/>
      <c r="IG91" s="60"/>
      <c r="IH91" s="60"/>
      <c r="II91" s="60"/>
      <c r="IJ91" s="60"/>
      <c r="IK91" s="60"/>
      <c r="IL91" s="60"/>
      <c r="IM91" s="60"/>
      <c r="IN91" s="60"/>
      <c r="IO91" s="60"/>
      <c r="IP91" s="60"/>
      <c r="IQ91" s="60"/>
      <c r="IR91" s="60"/>
      <c r="IS91" s="60"/>
      <c r="IT91" s="60"/>
      <c r="IU91" s="60"/>
      <c r="IV91" s="60"/>
      <c r="IW91" s="60"/>
      <c r="IX91" s="60"/>
      <c r="IY91" s="60"/>
      <c r="IZ91" s="60"/>
      <c r="JA91" s="60"/>
      <c r="JB91" s="60"/>
      <c r="JC91" s="60"/>
      <c r="JD91" s="60"/>
      <c r="JE91" s="60"/>
      <c r="JF91" s="60"/>
      <c r="JG91" s="60"/>
      <c r="JH91" s="60"/>
      <c r="JI91" s="60"/>
      <c r="JJ91" s="60"/>
      <c r="JK91" s="60"/>
      <c r="JL91" s="60"/>
      <c r="JM91" s="60"/>
      <c r="JN91" s="60"/>
      <c r="JO91" s="60"/>
      <c r="JP91" s="60"/>
      <c r="JQ91" s="60"/>
      <c r="JR91" s="60"/>
      <c r="JS91" s="60"/>
      <c r="JT91" s="60"/>
      <c r="JU91" s="60"/>
      <c r="JV91" s="60"/>
      <c r="JW91" s="60"/>
      <c r="JX91" s="60"/>
      <c r="JY91" s="60"/>
      <c r="JZ91" s="60"/>
      <c r="KA91" s="60"/>
      <c r="KB91" s="60"/>
      <c r="KC91" s="60"/>
      <c r="KD91" s="60"/>
      <c r="KE91" s="60"/>
      <c r="KF91" s="60"/>
      <c r="KG91" s="60"/>
      <c r="KH91" s="60"/>
      <c r="KI91" s="60"/>
      <c r="KJ91" s="60"/>
      <c r="KK91" s="60"/>
      <c r="KL91" s="60"/>
      <c r="KM91" s="60"/>
      <c r="KN91" s="60"/>
      <c r="KO91" s="60"/>
      <c r="KP91" s="60"/>
      <c r="KQ91" s="60"/>
      <c r="KR91" s="60"/>
      <c r="KS91" s="60"/>
      <c r="KT91" s="60"/>
      <c r="KU91" s="60"/>
      <c r="KV91" s="60"/>
      <c r="KW91" s="60"/>
      <c r="KX91" s="60"/>
      <c r="KY91" s="60"/>
      <c r="KZ91" s="60"/>
      <c r="LA91" s="60"/>
      <c r="LB91" s="60"/>
      <c r="LC91" s="60"/>
      <c r="LD91" s="60"/>
      <c r="LE91" s="60"/>
      <c r="LF91" s="60"/>
      <c r="LG91" s="60"/>
      <c r="LH91" s="60"/>
    </row>
    <row r="92" spans="1:320" s="17" customFormat="1" x14ac:dyDescent="0.25">
      <c r="A92" s="147"/>
      <c r="E92" s="156"/>
      <c r="F92" s="156"/>
      <c r="G92" s="156"/>
      <c r="H92" s="156"/>
      <c r="I92" s="156"/>
      <c r="J92" s="156"/>
      <c r="K92" s="156"/>
      <c r="L92" s="156"/>
      <c r="M92" s="156"/>
      <c r="N92" s="156"/>
      <c r="O92" s="156"/>
      <c r="P92" s="156"/>
      <c r="Q92" s="156"/>
      <c r="R92" s="156"/>
      <c r="S92" s="156"/>
      <c r="AC92" s="60"/>
      <c r="AD92" s="60"/>
      <c r="AE92" s="60"/>
      <c r="AF92" s="60"/>
      <c r="AG92" s="60"/>
      <c r="AH92" s="60"/>
      <c r="AI92" s="60"/>
      <c r="AJ92" s="60"/>
      <c r="AK92" s="60"/>
      <c r="AL92" s="60"/>
      <c r="AM92" s="60"/>
      <c r="AN92" s="60"/>
      <c r="AO92" s="60"/>
      <c r="AP92" s="60"/>
      <c r="AQ92" s="60"/>
      <c r="AR92" s="60"/>
      <c r="AS92" s="60"/>
      <c r="AT92" s="60"/>
      <c r="AU92" s="60"/>
      <c r="AV92" s="60"/>
      <c r="AW92" s="60"/>
      <c r="AX92" s="60"/>
      <c r="AY92" s="60"/>
      <c r="AZ92" s="60"/>
      <c r="BA92" s="60"/>
      <c r="BB92" s="60"/>
      <c r="BC92" s="60"/>
      <c r="BD92" s="60"/>
      <c r="BE92" s="60"/>
      <c r="BF92" s="60"/>
      <c r="BG92" s="60"/>
      <c r="BH92" s="60"/>
      <c r="BI92" s="60"/>
      <c r="BJ92" s="60"/>
      <c r="BK92" s="60"/>
      <c r="BL92" s="60"/>
      <c r="BM92" s="60"/>
      <c r="BN92" s="60"/>
      <c r="BO92" s="60"/>
      <c r="BP92" s="60"/>
      <c r="BQ92" s="60"/>
      <c r="BR92" s="60"/>
      <c r="BS92" s="60"/>
      <c r="BT92" s="60"/>
      <c r="BU92" s="60"/>
      <c r="BV92" s="60"/>
      <c r="BW92" s="60"/>
      <c r="BX92" s="60"/>
      <c r="BY92" s="60"/>
      <c r="BZ92" s="60"/>
      <c r="CA92" s="60"/>
      <c r="CB92" s="60"/>
      <c r="CC92" s="60"/>
      <c r="CD92" s="60"/>
      <c r="CE92" s="60"/>
      <c r="CF92" s="60"/>
      <c r="CG92" s="60"/>
      <c r="CH92" s="60"/>
      <c r="CI92" s="60"/>
      <c r="CJ92" s="60"/>
      <c r="CK92" s="60"/>
      <c r="CL92" s="60"/>
      <c r="CM92" s="60"/>
      <c r="CN92" s="60"/>
      <c r="CO92" s="60"/>
      <c r="CP92" s="60"/>
      <c r="CQ92" s="60"/>
      <c r="CR92" s="60"/>
      <c r="CS92" s="60"/>
      <c r="CT92" s="60"/>
      <c r="CU92" s="60"/>
      <c r="CV92" s="60"/>
      <c r="CW92" s="60"/>
      <c r="CX92" s="60"/>
      <c r="CY92" s="60"/>
      <c r="CZ92" s="60"/>
      <c r="DA92" s="60"/>
      <c r="DB92" s="60"/>
      <c r="DC92" s="60"/>
      <c r="DD92" s="60"/>
      <c r="DE92" s="60"/>
      <c r="DF92" s="60"/>
      <c r="DG92" s="60"/>
      <c r="DH92" s="60"/>
      <c r="DI92" s="60"/>
      <c r="DJ92" s="60"/>
      <c r="DK92" s="60"/>
      <c r="DL92" s="60"/>
      <c r="DM92" s="60"/>
      <c r="DN92" s="60"/>
      <c r="DO92" s="60"/>
      <c r="DP92" s="60"/>
      <c r="DQ92" s="60"/>
      <c r="DR92" s="60"/>
      <c r="DS92" s="60"/>
      <c r="DT92" s="60"/>
      <c r="DU92" s="60"/>
      <c r="DV92" s="60"/>
      <c r="DW92" s="60"/>
      <c r="DX92" s="60"/>
      <c r="DY92" s="60"/>
      <c r="DZ92" s="60"/>
      <c r="EA92" s="60"/>
      <c r="EB92" s="60"/>
      <c r="EC92" s="60"/>
      <c r="ED92" s="60"/>
      <c r="EE92" s="60"/>
      <c r="EF92" s="60"/>
      <c r="EG92" s="60"/>
      <c r="EH92" s="60"/>
      <c r="EI92" s="60"/>
      <c r="EJ92" s="60"/>
      <c r="EK92" s="60"/>
      <c r="EL92" s="60"/>
      <c r="EM92" s="60"/>
      <c r="EN92" s="60"/>
      <c r="EO92" s="60"/>
      <c r="EP92" s="60"/>
      <c r="EQ92" s="60"/>
      <c r="ER92" s="60"/>
      <c r="ES92" s="60"/>
      <c r="ET92" s="60"/>
      <c r="EU92" s="60"/>
      <c r="EV92" s="60"/>
      <c r="EW92" s="60"/>
      <c r="EX92" s="60"/>
      <c r="EY92" s="60"/>
      <c r="EZ92" s="60"/>
      <c r="FA92" s="60"/>
      <c r="FB92" s="60"/>
      <c r="FC92" s="60"/>
      <c r="FD92" s="60"/>
      <c r="FE92" s="60"/>
      <c r="FF92" s="60"/>
      <c r="FG92" s="60"/>
      <c r="FH92" s="60"/>
      <c r="FI92" s="60"/>
      <c r="FJ92" s="60"/>
      <c r="FK92" s="60"/>
      <c r="FL92" s="60"/>
      <c r="FM92" s="60"/>
      <c r="FN92" s="60"/>
      <c r="FO92" s="60"/>
      <c r="FP92" s="60"/>
      <c r="FQ92" s="60"/>
      <c r="FR92" s="60"/>
      <c r="FS92" s="60"/>
      <c r="FT92" s="60"/>
      <c r="FU92" s="60"/>
      <c r="FV92" s="60"/>
      <c r="FW92" s="60"/>
      <c r="FX92" s="60"/>
      <c r="FY92" s="60"/>
      <c r="FZ92" s="60"/>
      <c r="GA92" s="60"/>
      <c r="GB92" s="60"/>
      <c r="GC92" s="60"/>
      <c r="GD92" s="60"/>
      <c r="GE92" s="60"/>
      <c r="GF92" s="60"/>
      <c r="GG92" s="60"/>
      <c r="GH92" s="60"/>
      <c r="GI92" s="60"/>
      <c r="GJ92" s="60"/>
      <c r="GK92" s="60"/>
      <c r="GL92" s="60"/>
      <c r="GM92" s="60"/>
      <c r="GN92" s="60"/>
      <c r="GO92" s="60"/>
      <c r="GP92" s="60"/>
      <c r="GQ92" s="60"/>
      <c r="GR92" s="60"/>
      <c r="GS92" s="60"/>
      <c r="GT92" s="60"/>
      <c r="GU92" s="60"/>
      <c r="GV92" s="60"/>
      <c r="GW92" s="60"/>
      <c r="GX92" s="60"/>
      <c r="GY92" s="60"/>
      <c r="GZ92" s="60"/>
      <c r="HA92" s="60"/>
      <c r="HB92" s="60"/>
      <c r="HC92" s="60"/>
      <c r="HD92" s="60"/>
      <c r="HE92" s="60"/>
      <c r="HF92" s="60"/>
      <c r="HG92" s="60"/>
      <c r="HH92" s="60"/>
      <c r="HI92" s="60"/>
      <c r="HJ92" s="60"/>
      <c r="HK92" s="60"/>
      <c r="HL92" s="60"/>
      <c r="HM92" s="60"/>
      <c r="HN92" s="60"/>
      <c r="HO92" s="60"/>
      <c r="HP92" s="60"/>
      <c r="HQ92" s="60"/>
      <c r="HR92" s="60"/>
      <c r="HS92" s="60"/>
      <c r="HT92" s="60"/>
      <c r="HU92" s="60"/>
      <c r="HV92" s="60"/>
      <c r="HW92" s="60"/>
      <c r="HX92" s="60"/>
      <c r="HY92" s="60"/>
      <c r="HZ92" s="60"/>
      <c r="IA92" s="60"/>
      <c r="IB92" s="60"/>
      <c r="IC92" s="60"/>
      <c r="ID92" s="60"/>
      <c r="IE92" s="60"/>
      <c r="IF92" s="60"/>
      <c r="IG92" s="60"/>
      <c r="IH92" s="60"/>
      <c r="II92" s="60"/>
      <c r="IJ92" s="60"/>
      <c r="IK92" s="60"/>
      <c r="IL92" s="60"/>
      <c r="IM92" s="60"/>
      <c r="IN92" s="60"/>
      <c r="IO92" s="60"/>
      <c r="IP92" s="60"/>
      <c r="IQ92" s="60"/>
      <c r="IR92" s="60"/>
      <c r="IS92" s="60"/>
      <c r="IT92" s="60"/>
      <c r="IU92" s="60"/>
      <c r="IV92" s="60"/>
      <c r="IW92" s="60"/>
      <c r="IX92" s="60"/>
      <c r="IY92" s="60"/>
      <c r="IZ92" s="60"/>
      <c r="JA92" s="60"/>
      <c r="JB92" s="60"/>
      <c r="JC92" s="60"/>
      <c r="JD92" s="60"/>
      <c r="JE92" s="60"/>
      <c r="JF92" s="60"/>
      <c r="JG92" s="60"/>
      <c r="JH92" s="60"/>
      <c r="JI92" s="60"/>
      <c r="JJ92" s="60"/>
      <c r="JK92" s="60"/>
      <c r="JL92" s="60"/>
      <c r="JM92" s="60"/>
      <c r="JN92" s="60"/>
      <c r="JO92" s="60"/>
      <c r="JP92" s="60"/>
      <c r="JQ92" s="60"/>
      <c r="JR92" s="60"/>
      <c r="JS92" s="60"/>
      <c r="JT92" s="60"/>
      <c r="JU92" s="60"/>
      <c r="JV92" s="60"/>
      <c r="JW92" s="60"/>
      <c r="JX92" s="60"/>
      <c r="JY92" s="60"/>
      <c r="JZ92" s="60"/>
      <c r="KA92" s="60"/>
      <c r="KB92" s="60"/>
      <c r="KC92" s="60"/>
      <c r="KD92" s="60"/>
      <c r="KE92" s="60"/>
      <c r="KF92" s="60"/>
      <c r="KG92" s="60"/>
      <c r="KH92" s="60"/>
      <c r="KI92" s="60"/>
      <c r="KJ92" s="60"/>
      <c r="KK92" s="60"/>
      <c r="KL92" s="60"/>
      <c r="KM92" s="60"/>
      <c r="KN92" s="60"/>
      <c r="KO92" s="60"/>
      <c r="KP92" s="60"/>
      <c r="KQ92" s="60"/>
      <c r="KR92" s="60"/>
      <c r="KS92" s="60"/>
      <c r="KT92" s="60"/>
      <c r="KU92" s="60"/>
      <c r="KV92" s="60"/>
      <c r="KW92" s="60"/>
      <c r="KX92" s="60"/>
      <c r="KY92" s="60"/>
      <c r="KZ92" s="60"/>
      <c r="LA92" s="60"/>
      <c r="LB92" s="60"/>
      <c r="LC92" s="60"/>
      <c r="LD92" s="60"/>
      <c r="LE92" s="60"/>
      <c r="LF92" s="60"/>
      <c r="LG92" s="60"/>
      <c r="LH92" s="60"/>
    </row>
    <row r="93" spans="1:320" s="17" customFormat="1" x14ac:dyDescent="0.25">
      <c r="A93" s="147"/>
      <c r="E93" s="156"/>
      <c r="F93" s="156"/>
      <c r="G93" s="156"/>
      <c r="H93" s="156"/>
      <c r="I93" s="156"/>
      <c r="J93" s="156"/>
      <c r="K93" s="156"/>
      <c r="L93" s="156"/>
      <c r="M93" s="156"/>
      <c r="N93" s="156"/>
      <c r="O93" s="156"/>
      <c r="P93" s="156"/>
      <c r="Q93" s="156"/>
      <c r="R93" s="156"/>
      <c r="S93" s="156"/>
      <c r="AC93" s="60"/>
      <c r="AD93" s="60"/>
      <c r="AE93" s="60"/>
      <c r="AF93" s="60"/>
      <c r="AG93" s="60"/>
      <c r="AH93" s="60"/>
      <c r="AI93" s="60"/>
      <c r="AJ93" s="60"/>
      <c r="AK93" s="60"/>
      <c r="AL93" s="60"/>
      <c r="AM93" s="60"/>
      <c r="AN93" s="60"/>
      <c r="AO93" s="60"/>
      <c r="AP93" s="60"/>
      <c r="AQ93" s="60"/>
      <c r="AR93" s="60"/>
      <c r="AS93" s="60"/>
      <c r="AT93" s="60"/>
      <c r="AU93" s="60"/>
      <c r="AV93" s="60"/>
      <c r="AW93" s="60"/>
      <c r="AX93" s="60"/>
      <c r="AY93" s="60"/>
      <c r="AZ93" s="60"/>
      <c r="BA93" s="60"/>
      <c r="BB93" s="60"/>
      <c r="BC93" s="60"/>
      <c r="BD93" s="60"/>
      <c r="BE93" s="60"/>
      <c r="BF93" s="60"/>
      <c r="BG93" s="60"/>
      <c r="BH93" s="60"/>
      <c r="BI93" s="60"/>
      <c r="BJ93" s="60"/>
      <c r="BK93" s="60"/>
      <c r="BL93" s="60"/>
      <c r="BM93" s="60"/>
      <c r="BN93" s="60"/>
      <c r="BO93" s="60"/>
      <c r="BP93" s="60"/>
      <c r="BQ93" s="60"/>
      <c r="BR93" s="60"/>
      <c r="BS93" s="60"/>
      <c r="BT93" s="60"/>
      <c r="BU93" s="60"/>
      <c r="BV93" s="60"/>
      <c r="BW93" s="60"/>
      <c r="BX93" s="60"/>
      <c r="BY93" s="60"/>
      <c r="BZ93" s="60"/>
      <c r="CA93" s="60"/>
      <c r="CB93" s="60"/>
      <c r="CC93" s="60"/>
      <c r="CD93" s="60"/>
      <c r="CE93" s="60"/>
      <c r="CF93" s="60"/>
      <c r="CG93" s="60"/>
      <c r="CH93" s="60"/>
      <c r="CI93" s="60"/>
      <c r="CJ93" s="60"/>
      <c r="CK93" s="60"/>
      <c r="CL93" s="60"/>
      <c r="CM93" s="60"/>
      <c r="CN93" s="60"/>
      <c r="CO93" s="60"/>
      <c r="CP93" s="60"/>
      <c r="CQ93" s="60"/>
      <c r="CR93" s="60"/>
      <c r="CS93" s="60"/>
      <c r="CT93" s="60"/>
      <c r="CU93" s="60"/>
      <c r="CV93" s="60"/>
      <c r="CW93" s="60"/>
      <c r="CX93" s="60"/>
      <c r="CY93" s="60"/>
      <c r="CZ93" s="60"/>
      <c r="DA93" s="60"/>
      <c r="DB93" s="60"/>
      <c r="DC93" s="60"/>
      <c r="DD93" s="60"/>
      <c r="DE93" s="60"/>
      <c r="DF93" s="60"/>
      <c r="DG93" s="60"/>
      <c r="DH93" s="60"/>
      <c r="DI93" s="60"/>
      <c r="DJ93" s="60"/>
      <c r="DK93" s="60"/>
      <c r="DL93" s="60"/>
      <c r="DM93" s="60"/>
      <c r="DN93" s="60"/>
      <c r="DO93" s="60"/>
      <c r="DP93" s="60"/>
      <c r="DQ93" s="60"/>
      <c r="DR93" s="60"/>
      <c r="DS93" s="60"/>
      <c r="DT93" s="60"/>
      <c r="DU93" s="60"/>
      <c r="DV93" s="60"/>
      <c r="DW93" s="60"/>
      <c r="DX93" s="60"/>
      <c r="DY93" s="60"/>
      <c r="DZ93" s="60"/>
      <c r="EA93" s="60"/>
      <c r="EB93" s="60"/>
      <c r="EC93" s="60"/>
      <c r="ED93" s="60"/>
      <c r="EE93" s="60"/>
      <c r="EF93" s="60"/>
      <c r="EG93" s="60"/>
      <c r="EH93" s="60"/>
      <c r="EI93" s="60"/>
      <c r="EJ93" s="60"/>
      <c r="EK93" s="60"/>
      <c r="EL93" s="60"/>
      <c r="EM93" s="60"/>
      <c r="EN93" s="60"/>
      <c r="EO93" s="60"/>
      <c r="EP93" s="60"/>
      <c r="EQ93" s="60"/>
      <c r="ER93" s="60"/>
      <c r="ES93" s="60"/>
      <c r="ET93" s="60"/>
      <c r="EU93" s="60"/>
      <c r="EV93" s="60"/>
      <c r="EW93" s="60"/>
      <c r="EX93" s="60"/>
      <c r="EY93" s="60"/>
      <c r="EZ93" s="60"/>
      <c r="FA93" s="60"/>
      <c r="FB93" s="60"/>
      <c r="FC93" s="60"/>
      <c r="FD93" s="60"/>
      <c r="FE93" s="60"/>
      <c r="FF93" s="60"/>
      <c r="FG93" s="60"/>
      <c r="FH93" s="60"/>
      <c r="FI93" s="60"/>
      <c r="FJ93" s="60"/>
      <c r="FK93" s="60"/>
      <c r="FL93" s="60"/>
      <c r="FM93" s="60"/>
      <c r="FN93" s="60"/>
      <c r="FO93" s="60"/>
      <c r="FP93" s="60"/>
      <c r="FQ93" s="60"/>
      <c r="FR93" s="60"/>
      <c r="FS93" s="60"/>
      <c r="FT93" s="60"/>
      <c r="FU93" s="60"/>
      <c r="FV93" s="60"/>
      <c r="FW93" s="60"/>
      <c r="FX93" s="60"/>
      <c r="FY93" s="60"/>
      <c r="FZ93" s="60"/>
      <c r="GA93" s="60"/>
      <c r="GB93" s="60"/>
      <c r="GC93" s="60"/>
      <c r="GD93" s="60"/>
      <c r="GE93" s="60"/>
      <c r="GF93" s="60"/>
      <c r="GG93" s="60"/>
      <c r="GH93" s="60"/>
      <c r="GI93" s="60"/>
      <c r="GJ93" s="60"/>
      <c r="GK93" s="60"/>
      <c r="GL93" s="60"/>
      <c r="GM93" s="60"/>
      <c r="GN93" s="60"/>
      <c r="GO93" s="60"/>
      <c r="GP93" s="60"/>
      <c r="GQ93" s="60"/>
      <c r="GR93" s="60"/>
      <c r="GS93" s="60"/>
      <c r="GT93" s="60"/>
      <c r="GU93" s="60"/>
      <c r="GV93" s="60"/>
      <c r="GW93" s="60"/>
      <c r="GX93" s="60"/>
      <c r="GY93" s="60"/>
      <c r="GZ93" s="60"/>
      <c r="HA93" s="60"/>
      <c r="HB93" s="60"/>
      <c r="HC93" s="60"/>
      <c r="HD93" s="60"/>
      <c r="HE93" s="60"/>
      <c r="HF93" s="60"/>
      <c r="HG93" s="60"/>
      <c r="HH93" s="60"/>
      <c r="HI93" s="60"/>
      <c r="HJ93" s="60"/>
      <c r="HK93" s="60"/>
      <c r="HL93" s="60"/>
      <c r="HM93" s="60"/>
      <c r="HN93" s="60"/>
      <c r="HO93" s="60"/>
      <c r="HP93" s="60"/>
      <c r="HQ93" s="60"/>
      <c r="HR93" s="60"/>
      <c r="HS93" s="60"/>
      <c r="HT93" s="60"/>
      <c r="HU93" s="60"/>
      <c r="HV93" s="60"/>
      <c r="HW93" s="60"/>
      <c r="HX93" s="60"/>
      <c r="HY93" s="60"/>
      <c r="HZ93" s="60"/>
      <c r="IA93" s="60"/>
      <c r="IB93" s="60"/>
      <c r="IC93" s="60"/>
      <c r="ID93" s="60"/>
      <c r="IE93" s="60"/>
      <c r="IF93" s="60"/>
      <c r="IG93" s="60"/>
      <c r="IH93" s="60"/>
      <c r="II93" s="60"/>
      <c r="IJ93" s="60"/>
      <c r="IK93" s="60"/>
      <c r="IL93" s="60"/>
      <c r="IM93" s="60"/>
      <c r="IN93" s="60"/>
      <c r="IO93" s="60"/>
      <c r="IP93" s="60"/>
      <c r="IQ93" s="60"/>
      <c r="IR93" s="60"/>
      <c r="IS93" s="60"/>
      <c r="IT93" s="60"/>
      <c r="IU93" s="60"/>
      <c r="IV93" s="60"/>
      <c r="IW93" s="60"/>
      <c r="IX93" s="60"/>
      <c r="IY93" s="60"/>
      <c r="IZ93" s="60"/>
      <c r="JA93" s="60"/>
      <c r="JB93" s="60"/>
      <c r="JC93" s="60"/>
      <c r="JD93" s="60"/>
      <c r="JE93" s="60"/>
      <c r="JF93" s="60"/>
      <c r="JG93" s="60"/>
      <c r="JH93" s="60"/>
      <c r="JI93" s="60"/>
      <c r="JJ93" s="60"/>
      <c r="JK93" s="60"/>
      <c r="JL93" s="60"/>
      <c r="JM93" s="60"/>
      <c r="JN93" s="60"/>
      <c r="JO93" s="60"/>
      <c r="JP93" s="60"/>
      <c r="JQ93" s="60"/>
      <c r="JR93" s="60"/>
      <c r="JS93" s="60"/>
      <c r="JT93" s="60"/>
      <c r="JU93" s="60"/>
      <c r="JV93" s="60"/>
      <c r="JW93" s="60"/>
      <c r="JX93" s="60"/>
      <c r="JY93" s="60"/>
      <c r="JZ93" s="60"/>
      <c r="KA93" s="60"/>
      <c r="KB93" s="60"/>
      <c r="KC93" s="60"/>
      <c r="KD93" s="60"/>
      <c r="KE93" s="60"/>
      <c r="KF93" s="60"/>
      <c r="KG93" s="60"/>
      <c r="KH93" s="60"/>
      <c r="KI93" s="60"/>
      <c r="KJ93" s="60"/>
      <c r="KK93" s="60"/>
      <c r="KL93" s="60"/>
      <c r="KM93" s="60"/>
      <c r="KN93" s="60"/>
      <c r="KO93" s="60"/>
      <c r="KP93" s="60"/>
      <c r="KQ93" s="60"/>
      <c r="KR93" s="60"/>
      <c r="KS93" s="60"/>
      <c r="KT93" s="60"/>
      <c r="KU93" s="60"/>
      <c r="KV93" s="60"/>
      <c r="KW93" s="60"/>
      <c r="KX93" s="60"/>
      <c r="KY93" s="60"/>
      <c r="KZ93" s="60"/>
      <c r="LA93" s="60"/>
      <c r="LB93" s="60"/>
      <c r="LC93" s="60"/>
      <c r="LD93" s="60"/>
      <c r="LE93" s="60"/>
      <c r="LF93" s="60"/>
      <c r="LG93" s="60"/>
      <c r="LH93" s="60"/>
    </row>
    <row r="94" spans="1:320" s="17" customFormat="1" x14ac:dyDescent="0.25">
      <c r="A94" s="147"/>
      <c r="E94" s="156"/>
      <c r="F94" s="156"/>
      <c r="G94" s="156"/>
      <c r="H94" s="156"/>
      <c r="I94" s="156"/>
      <c r="J94" s="156"/>
      <c r="K94" s="156"/>
      <c r="L94" s="156"/>
      <c r="M94" s="156"/>
      <c r="N94" s="156"/>
      <c r="O94" s="156"/>
      <c r="P94" s="156"/>
      <c r="Q94" s="156"/>
      <c r="R94" s="156"/>
      <c r="S94" s="156"/>
      <c r="AC94" s="60"/>
      <c r="AD94" s="60"/>
      <c r="AE94" s="60"/>
      <c r="AF94" s="60"/>
      <c r="AG94" s="60"/>
      <c r="AH94" s="60"/>
      <c r="AI94" s="60"/>
      <c r="AJ94" s="60"/>
      <c r="AK94" s="60"/>
      <c r="AL94" s="60"/>
      <c r="AM94" s="60"/>
      <c r="AN94" s="60"/>
      <c r="AO94" s="60"/>
      <c r="AP94" s="60"/>
      <c r="AQ94" s="60"/>
      <c r="AR94" s="60"/>
      <c r="AS94" s="60"/>
      <c r="AT94" s="60"/>
      <c r="AU94" s="60"/>
      <c r="AV94" s="60"/>
      <c r="AW94" s="60"/>
      <c r="AX94" s="60"/>
      <c r="AY94" s="60"/>
      <c r="AZ94" s="60"/>
      <c r="BA94" s="60"/>
      <c r="BB94" s="60"/>
      <c r="BC94" s="60"/>
      <c r="BD94" s="60"/>
      <c r="BE94" s="60"/>
      <c r="BF94" s="60"/>
      <c r="BG94" s="60"/>
      <c r="BH94" s="60"/>
      <c r="BI94" s="60"/>
      <c r="BJ94" s="60"/>
      <c r="BK94" s="60"/>
      <c r="BL94" s="60"/>
      <c r="BM94" s="60"/>
      <c r="BN94" s="60"/>
      <c r="BO94" s="60"/>
      <c r="BP94" s="60"/>
      <c r="BQ94" s="60"/>
      <c r="BR94" s="60"/>
      <c r="BS94" s="60"/>
      <c r="BT94" s="60"/>
      <c r="BU94" s="60"/>
      <c r="BV94" s="60"/>
      <c r="BW94" s="60"/>
      <c r="BX94" s="60"/>
      <c r="BY94" s="60"/>
      <c r="BZ94" s="60"/>
      <c r="CA94" s="60"/>
      <c r="CB94" s="60"/>
      <c r="CC94" s="60"/>
      <c r="CD94" s="60"/>
      <c r="CE94" s="60"/>
      <c r="CF94" s="60"/>
      <c r="CG94" s="60"/>
      <c r="CH94" s="60"/>
      <c r="CI94" s="60"/>
      <c r="CJ94" s="60"/>
      <c r="CK94" s="60"/>
      <c r="CL94" s="60"/>
      <c r="CM94" s="60"/>
      <c r="CN94" s="60"/>
      <c r="CO94" s="60"/>
      <c r="CP94" s="60"/>
      <c r="CQ94" s="60"/>
      <c r="CR94" s="60"/>
      <c r="CS94" s="60"/>
      <c r="CT94" s="60"/>
      <c r="CU94" s="60"/>
      <c r="CV94" s="60"/>
      <c r="CW94" s="60"/>
      <c r="CX94" s="60"/>
      <c r="CY94" s="60"/>
      <c r="CZ94" s="60"/>
      <c r="DA94" s="60"/>
      <c r="DB94" s="60"/>
      <c r="DC94" s="60"/>
      <c r="DD94" s="60"/>
      <c r="DE94" s="60"/>
      <c r="DF94" s="60"/>
      <c r="DG94" s="60"/>
      <c r="DH94" s="60"/>
      <c r="DI94" s="60"/>
      <c r="DJ94" s="60"/>
      <c r="DK94" s="60"/>
      <c r="DL94" s="60"/>
      <c r="DM94" s="60"/>
      <c r="DN94" s="60"/>
      <c r="DO94" s="60"/>
      <c r="DP94" s="60"/>
      <c r="DQ94" s="60"/>
      <c r="DR94" s="60"/>
      <c r="DS94" s="60"/>
      <c r="DT94" s="60"/>
      <c r="DU94" s="60"/>
      <c r="DV94" s="60"/>
      <c r="DW94" s="60"/>
      <c r="DX94" s="60"/>
      <c r="DY94" s="60"/>
      <c r="DZ94" s="60"/>
      <c r="EA94" s="60"/>
      <c r="EB94" s="60"/>
      <c r="EC94" s="60"/>
      <c r="ED94" s="60"/>
      <c r="EE94" s="60"/>
      <c r="EF94" s="60"/>
      <c r="EG94" s="60"/>
      <c r="EH94" s="60"/>
      <c r="EI94" s="60"/>
      <c r="EJ94" s="60"/>
      <c r="EK94" s="60"/>
      <c r="EL94" s="60"/>
      <c r="EM94" s="60"/>
      <c r="EN94" s="60"/>
      <c r="EO94" s="60"/>
      <c r="EP94" s="60"/>
      <c r="EQ94" s="60"/>
      <c r="ER94" s="60"/>
      <c r="ES94" s="60"/>
      <c r="ET94" s="60"/>
      <c r="EU94" s="60"/>
      <c r="EV94" s="60"/>
      <c r="EW94" s="60"/>
      <c r="EX94" s="60"/>
      <c r="EY94" s="60"/>
      <c r="EZ94" s="60"/>
      <c r="FA94" s="60"/>
      <c r="FB94" s="60"/>
      <c r="FC94" s="60"/>
      <c r="FD94" s="60"/>
      <c r="FE94" s="60"/>
      <c r="FF94" s="60"/>
      <c r="FG94" s="60"/>
      <c r="FH94" s="60"/>
      <c r="FI94" s="60"/>
      <c r="FJ94" s="60"/>
      <c r="FK94" s="60"/>
      <c r="FL94" s="60"/>
      <c r="FM94" s="60"/>
      <c r="FN94" s="60"/>
      <c r="FO94" s="60"/>
      <c r="FP94" s="60"/>
      <c r="FQ94" s="60"/>
      <c r="FR94" s="60"/>
      <c r="FS94" s="60"/>
      <c r="FT94" s="60"/>
      <c r="FU94" s="60"/>
      <c r="FV94" s="60"/>
      <c r="FW94" s="60"/>
      <c r="FX94" s="60"/>
      <c r="FY94" s="60"/>
      <c r="FZ94" s="60"/>
      <c r="GA94" s="60"/>
      <c r="GB94" s="60"/>
      <c r="GC94" s="60"/>
      <c r="GD94" s="60"/>
      <c r="GE94" s="60"/>
      <c r="GF94" s="60"/>
      <c r="GG94" s="60"/>
      <c r="GH94" s="60"/>
      <c r="GI94" s="60"/>
      <c r="GJ94" s="60"/>
      <c r="GK94" s="60"/>
      <c r="GL94" s="60"/>
      <c r="GM94" s="60"/>
      <c r="GN94" s="60"/>
      <c r="GO94" s="60"/>
      <c r="GP94" s="60"/>
      <c r="GQ94" s="60"/>
      <c r="GR94" s="60"/>
      <c r="GS94" s="60"/>
      <c r="GT94" s="60"/>
      <c r="GU94" s="60"/>
      <c r="GV94" s="60"/>
      <c r="GW94" s="60"/>
      <c r="GX94" s="60"/>
      <c r="GY94" s="60"/>
      <c r="GZ94" s="60"/>
      <c r="HA94" s="60"/>
      <c r="HB94" s="60"/>
      <c r="HC94" s="60"/>
      <c r="HD94" s="60"/>
      <c r="HE94" s="60"/>
      <c r="HF94" s="60"/>
      <c r="HG94" s="60"/>
      <c r="HH94" s="60"/>
      <c r="HI94" s="60"/>
      <c r="HJ94" s="60"/>
      <c r="HK94" s="60"/>
      <c r="HL94" s="60"/>
      <c r="HM94" s="60"/>
      <c r="HN94" s="60"/>
      <c r="HO94" s="60"/>
      <c r="HP94" s="60"/>
      <c r="HQ94" s="60"/>
      <c r="HR94" s="60"/>
      <c r="HS94" s="60"/>
      <c r="HT94" s="60"/>
      <c r="HU94" s="60"/>
      <c r="HV94" s="60"/>
      <c r="HW94" s="60"/>
      <c r="HX94" s="60"/>
      <c r="HY94" s="60"/>
      <c r="HZ94" s="60"/>
      <c r="IA94" s="60"/>
      <c r="IB94" s="60"/>
      <c r="IC94" s="60"/>
      <c r="ID94" s="60"/>
      <c r="IE94" s="60"/>
      <c r="IF94" s="60"/>
      <c r="IG94" s="60"/>
      <c r="IH94" s="60"/>
      <c r="II94" s="60"/>
      <c r="IJ94" s="60"/>
      <c r="IK94" s="60"/>
      <c r="IL94" s="60"/>
      <c r="IM94" s="60"/>
      <c r="IN94" s="60"/>
      <c r="IO94" s="60"/>
      <c r="IP94" s="60"/>
      <c r="IQ94" s="60"/>
      <c r="IR94" s="60"/>
      <c r="IS94" s="60"/>
      <c r="IT94" s="60"/>
      <c r="IU94" s="60"/>
      <c r="IV94" s="60"/>
      <c r="IW94" s="60"/>
      <c r="IX94" s="60"/>
      <c r="IY94" s="60"/>
      <c r="IZ94" s="60"/>
      <c r="JA94" s="60"/>
      <c r="JB94" s="60"/>
      <c r="JC94" s="60"/>
      <c r="JD94" s="60"/>
      <c r="JE94" s="60"/>
      <c r="JF94" s="60"/>
      <c r="JG94" s="60"/>
      <c r="JH94" s="60"/>
      <c r="JI94" s="60"/>
      <c r="JJ94" s="60"/>
      <c r="JK94" s="60"/>
      <c r="JL94" s="60"/>
      <c r="JM94" s="60"/>
      <c r="JN94" s="60"/>
      <c r="JO94" s="60"/>
      <c r="JP94" s="60"/>
      <c r="JQ94" s="60"/>
      <c r="JR94" s="60"/>
      <c r="JS94" s="60"/>
      <c r="JT94" s="60"/>
      <c r="JU94" s="60"/>
      <c r="JV94" s="60"/>
      <c r="JW94" s="60"/>
      <c r="JX94" s="60"/>
      <c r="JY94" s="60"/>
      <c r="JZ94" s="60"/>
      <c r="KA94" s="60"/>
      <c r="KB94" s="60"/>
      <c r="KC94" s="60"/>
      <c r="KD94" s="60"/>
      <c r="KE94" s="60"/>
      <c r="KF94" s="60"/>
      <c r="KG94" s="60"/>
      <c r="KH94" s="60"/>
      <c r="KI94" s="60"/>
      <c r="KJ94" s="60"/>
      <c r="KK94" s="60"/>
      <c r="KL94" s="60"/>
      <c r="KM94" s="60"/>
      <c r="KN94" s="60"/>
      <c r="KO94" s="60"/>
      <c r="KP94" s="60"/>
      <c r="KQ94" s="60"/>
      <c r="KR94" s="60"/>
      <c r="KS94" s="60"/>
      <c r="KT94" s="60"/>
      <c r="KU94" s="60"/>
      <c r="KV94" s="60"/>
      <c r="KW94" s="60"/>
      <c r="KX94" s="60"/>
      <c r="KY94" s="60"/>
      <c r="KZ94" s="60"/>
      <c r="LA94" s="60"/>
      <c r="LB94" s="60"/>
      <c r="LC94" s="60"/>
      <c r="LD94" s="60"/>
      <c r="LE94" s="60"/>
      <c r="LF94" s="60"/>
      <c r="LG94" s="60"/>
      <c r="LH94" s="60"/>
    </row>
    <row r="95" spans="1:320" s="17" customFormat="1" x14ac:dyDescent="0.25">
      <c r="A95" s="147"/>
      <c r="E95" s="156"/>
      <c r="F95" s="156"/>
      <c r="G95" s="156"/>
      <c r="H95" s="156"/>
      <c r="I95" s="156"/>
      <c r="J95" s="156"/>
      <c r="K95" s="156"/>
      <c r="L95" s="156"/>
      <c r="M95" s="156"/>
      <c r="N95" s="156"/>
      <c r="O95" s="156"/>
      <c r="P95" s="156"/>
      <c r="Q95" s="156"/>
      <c r="R95" s="156"/>
      <c r="S95" s="156"/>
      <c r="AC95" s="60"/>
      <c r="AD95" s="60"/>
      <c r="AE95" s="60"/>
      <c r="AF95" s="60"/>
      <c r="AG95" s="60"/>
      <c r="AH95" s="60"/>
      <c r="AI95" s="60"/>
      <c r="AJ95" s="60"/>
      <c r="AK95" s="60"/>
      <c r="AL95" s="60"/>
      <c r="AM95" s="60"/>
      <c r="AN95" s="60"/>
      <c r="AO95" s="60"/>
      <c r="AP95" s="60"/>
      <c r="AQ95" s="60"/>
      <c r="AR95" s="60"/>
      <c r="AS95" s="60"/>
      <c r="AT95" s="60"/>
      <c r="AU95" s="60"/>
      <c r="AV95" s="60"/>
      <c r="AW95" s="60"/>
      <c r="AX95" s="60"/>
      <c r="AY95" s="60"/>
      <c r="AZ95" s="60"/>
      <c r="BA95" s="60"/>
      <c r="BB95" s="60"/>
      <c r="BC95" s="60"/>
      <c r="BD95" s="60"/>
      <c r="BE95" s="60"/>
      <c r="BF95" s="60"/>
      <c r="BG95" s="60"/>
      <c r="BH95" s="60"/>
      <c r="BI95" s="60"/>
      <c r="BJ95" s="60"/>
      <c r="BK95" s="60"/>
      <c r="BL95" s="60"/>
      <c r="BM95" s="60"/>
      <c r="BN95" s="60"/>
      <c r="BO95" s="60"/>
      <c r="BP95" s="60"/>
      <c r="BQ95" s="60"/>
      <c r="BR95" s="60"/>
      <c r="BS95" s="60"/>
      <c r="BT95" s="60"/>
      <c r="BU95" s="60"/>
      <c r="BV95" s="60"/>
      <c r="BW95" s="60"/>
      <c r="BX95" s="60"/>
      <c r="BY95" s="60"/>
      <c r="BZ95" s="60"/>
      <c r="CA95" s="60"/>
      <c r="CB95" s="60"/>
      <c r="CC95" s="60"/>
      <c r="CD95" s="60"/>
      <c r="CE95" s="60"/>
      <c r="CF95" s="60"/>
      <c r="CG95" s="60"/>
      <c r="CH95" s="60"/>
      <c r="CI95" s="60"/>
      <c r="CJ95" s="60"/>
      <c r="CK95" s="60"/>
      <c r="CL95" s="60"/>
      <c r="CM95" s="60"/>
      <c r="CN95" s="60"/>
      <c r="CO95" s="60"/>
      <c r="CP95" s="60"/>
      <c r="CQ95" s="60"/>
      <c r="CR95" s="60"/>
      <c r="CS95" s="60"/>
      <c r="CT95" s="60"/>
      <c r="CU95" s="60"/>
      <c r="CV95" s="60"/>
      <c r="CW95" s="60"/>
      <c r="CX95" s="60"/>
      <c r="CY95" s="60"/>
      <c r="CZ95" s="60"/>
      <c r="DA95" s="60"/>
      <c r="DB95" s="60"/>
      <c r="DC95" s="60"/>
      <c r="DD95" s="60"/>
      <c r="DE95" s="60"/>
      <c r="DF95" s="60"/>
      <c r="DG95" s="60"/>
      <c r="DH95" s="60"/>
      <c r="DI95" s="60"/>
      <c r="DJ95" s="60"/>
      <c r="DK95" s="60"/>
      <c r="DL95" s="60"/>
      <c r="DM95" s="60"/>
      <c r="DN95" s="60"/>
      <c r="DO95" s="60"/>
      <c r="DP95" s="60"/>
      <c r="DQ95" s="60"/>
      <c r="DR95" s="60"/>
      <c r="DS95" s="60"/>
      <c r="DT95" s="60"/>
      <c r="DU95" s="60"/>
      <c r="DV95" s="60"/>
      <c r="DW95" s="60"/>
      <c r="DX95" s="60"/>
      <c r="DY95" s="60"/>
      <c r="DZ95" s="60"/>
      <c r="EA95" s="60"/>
      <c r="EB95" s="60"/>
      <c r="EC95" s="60"/>
      <c r="ED95" s="60"/>
      <c r="EE95" s="60"/>
      <c r="EF95" s="60"/>
      <c r="EG95" s="60"/>
      <c r="EH95" s="60"/>
      <c r="EI95" s="60"/>
      <c r="EJ95" s="60"/>
      <c r="EK95" s="60"/>
      <c r="EL95" s="60"/>
      <c r="EM95" s="60"/>
      <c r="EN95" s="60"/>
      <c r="EO95" s="60"/>
      <c r="EP95" s="60"/>
      <c r="EQ95" s="60"/>
      <c r="ER95" s="60"/>
      <c r="ES95" s="60"/>
      <c r="ET95" s="60"/>
      <c r="EU95" s="60"/>
      <c r="EV95" s="60"/>
      <c r="EW95" s="60"/>
      <c r="EX95" s="60"/>
      <c r="EY95" s="60"/>
      <c r="EZ95" s="60"/>
      <c r="FA95" s="60"/>
      <c r="FB95" s="60"/>
      <c r="FC95" s="60"/>
      <c r="FD95" s="60"/>
      <c r="FE95" s="60"/>
      <c r="FF95" s="60"/>
      <c r="FG95" s="60"/>
      <c r="FH95" s="60"/>
      <c r="FI95" s="60"/>
      <c r="FJ95" s="60"/>
      <c r="FK95" s="60"/>
      <c r="FL95" s="60"/>
      <c r="FM95" s="60"/>
      <c r="FN95" s="60"/>
      <c r="FO95" s="60"/>
      <c r="FP95" s="60"/>
      <c r="FQ95" s="60"/>
      <c r="FR95" s="60"/>
      <c r="FS95" s="60"/>
      <c r="FT95" s="60"/>
      <c r="FU95" s="60"/>
      <c r="FV95" s="60"/>
      <c r="FW95" s="60"/>
      <c r="FX95" s="60"/>
      <c r="FY95" s="60"/>
      <c r="FZ95" s="60"/>
      <c r="GA95" s="60"/>
      <c r="GB95" s="60"/>
      <c r="GC95" s="60"/>
      <c r="GD95" s="60"/>
      <c r="GE95" s="60"/>
      <c r="GF95" s="60"/>
      <c r="GG95" s="60"/>
      <c r="GH95" s="60"/>
      <c r="GI95" s="60"/>
      <c r="GJ95" s="60"/>
      <c r="GK95" s="60"/>
      <c r="GL95" s="60"/>
      <c r="GM95" s="60"/>
      <c r="GN95" s="60"/>
      <c r="GO95" s="60"/>
      <c r="GP95" s="60"/>
      <c r="GQ95" s="60"/>
      <c r="GR95" s="60"/>
      <c r="GS95" s="60"/>
      <c r="GT95" s="60"/>
      <c r="GU95" s="60"/>
      <c r="GV95" s="60"/>
      <c r="GW95" s="60"/>
      <c r="GX95" s="60"/>
      <c r="GY95" s="60"/>
      <c r="GZ95" s="60"/>
      <c r="HA95" s="60"/>
      <c r="HB95" s="60"/>
      <c r="HC95" s="60"/>
      <c r="HD95" s="60"/>
      <c r="HE95" s="60"/>
      <c r="HF95" s="60"/>
      <c r="HG95" s="60"/>
      <c r="HH95" s="60"/>
      <c r="HI95" s="60"/>
      <c r="HJ95" s="60"/>
      <c r="HK95" s="60"/>
      <c r="HL95" s="60"/>
      <c r="HM95" s="60"/>
      <c r="HN95" s="60"/>
      <c r="HO95" s="60"/>
      <c r="HP95" s="60"/>
      <c r="HQ95" s="60"/>
      <c r="HR95" s="60"/>
      <c r="HS95" s="60"/>
      <c r="HT95" s="60"/>
      <c r="HU95" s="60"/>
      <c r="HV95" s="60"/>
      <c r="HW95" s="60"/>
      <c r="HX95" s="60"/>
      <c r="HY95" s="60"/>
      <c r="HZ95" s="60"/>
      <c r="IA95" s="60"/>
      <c r="IB95" s="60"/>
      <c r="IC95" s="60"/>
      <c r="ID95" s="60"/>
      <c r="IE95" s="60"/>
      <c r="IF95" s="60"/>
      <c r="IG95" s="60"/>
      <c r="IH95" s="60"/>
      <c r="II95" s="60"/>
      <c r="IJ95" s="60"/>
      <c r="IK95" s="60"/>
      <c r="IL95" s="60"/>
      <c r="IM95" s="60"/>
      <c r="IN95" s="60"/>
      <c r="IO95" s="60"/>
      <c r="IP95" s="60"/>
      <c r="IQ95" s="60"/>
      <c r="IR95" s="60"/>
      <c r="IS95" s="60"/>
      <c r="IT95" s="60"/>
      <c r="IU95" s="60"/>
      <c r="IV95" s="60"/>
      <c r="IW95" s="60"/>
      <c r="IX95" s="60"/>
      <c r="IY95" s="60"/>
      <c r="IZ95" s="60"/>
      <c r="JA95" s="60"/>
      <c r="JB95" s="60"/>
      <c r="JC95" s="60"/>
      <c r="JD95" s="60"/>
      <c r="JE95" s="60"/>
      <c r="JF95" s="60"/>
      <c r="JG95" s="60"/>
      <c r="JH95" s="60"/>
      <c r="JI95" s="60"/>
      <c r="JJ95" s="60"/>
      <c r="JK95" s="60"/>
      <c r="JL95" s="60"/>
      <c r="JM95" s="60"/>
      <c r="JN95" s="60"/>
      <c r="JO95" s="60"/>
      <c r="JP95" s="60"/>
      <c r="JQ95" s="60"/>
      <c r="JR95" s="60"/>
      <c r="JS95" s="60"/>
      <c r="JT95" s="60"/>
      <c r="JU95" s="60"/>
      <c r="JV95" s="60"/>
      <c r="JW95" s="60"/>
      <c r="JX95" s="60"/>
      <c r="JY95" s="60"/>
      <c r="JZ95" s="60"/>
      <c r="KA95" s="60"/>
      <c r="KB95" s="60"/>
      <c r="KC95" s="60"/>
      <c r="KD95" s="60"/>
      <c r="KE95" s="60"/>
      <c r="KF95" s="60"/>
      <c r="KG95" s="60"/>
      <c r="KH95" s="60"/>
      <c r="KI95" s="60"/>
      <c r="KJ95" s="60"/>
      <c r="KK95" s="60"/>
      <c r="KL95" s="60"/>
      <c r="KM95" s="60"/>
      <c r="KN95" s="60"/>
      <c r="KO95" s="60"/>
      <c r="KP95" s="60"/>
      <c r="KQ95" s="60"/>
      <c r="KR95" s="60"/>
      <c r="KS95" s="60"/>
      <c r="KT95" s="60"/>
      <c r="KU95" s="60"/>
      <c r="KV95" s="60"/>
      <c r="KW95" s="60"/>
      <c r="KX95" s="60"/>
      <c r="KY95" s="60"/>
      <c r="KZ95" s="60"/>
      <c r="LA95" s="60"/>
      <c r="LB95" s="60"/>
      <c r="LC95" s="60"/>
      <c r="LD95" s="60"/>
      <c r="LE95" s="60"/>
      <c r="LF95" s="60"/>
      <c r="LG95" s="60"/>
      <c r="LH95" s="60"/>
    </row>
    <row r="96" spans="1:320" s="17" customFormat="1" x14ac:dyDescent="0.25">
      <c r="A96" s="147"/>
      <c r="E96" s="156"/>
      <c r="F96" s="156"/>
      <c r="G96" s="156"/>
      <c r="H96" s="156"/>
      <c r="I96" s="156"/>
      <c r="J96" s="156"/>
      <c r="K96" s="156"/>
      <c r="L96" s="156"/>
      <c r="M96" s="156"/>
      <c r="N96" s="156"/>
      <c r="O96" s="156"/>
      <c r="P96" s="156"/>
      <c r="Q96" s="156"/>
      <c r="R96" s="156"/>
      <c r="S96" s="156"/>
      <c r="AC96" s="60"/>
      <c r="AD96" s="60"/>
      <c r="AE96" s="60"/>
      <c r="AF96" s="60"/>
      <c r="AG96" s="60"/>
      <c r="AH96" s="60"/>
      <c r="AI96" s="60"/>
      <c r="AJ96" s="60"/>
      <c r="AK96" s="60"/>
      <c r="AL96" s="60"/>
      <c r="AM96" s="60"/>
      <c r="AN96" s="60"/>
      <c r="AO96" s="60"/>
      <c r="AP96" s="60"/>
      <c r="AQ96" s="60"/>
      <c r="AR96" s="60"/>
      <c r="AS96" s="60"/>
      <c r="AT96" s="60"/>
      <c r="AU96" s="60"/>
      <c r="AV96" s="60"/>
      <c r="AW96" s="60"/>
      <c r="AX96" s="60"/>
      <c r="AY96" s="60"/>
      <c r="AZ96" s="60"/>
      <c r="BA96" s="60"/>
      <c r="BB96" s="60"/>
      <c r="BC96" s="60"/>
      <c r="BD96" s="60"/>
      <c r="BE96" s="60"/>
      <c r="BF96" s="60"/>
      <c r="BG96" s="60"/>
      <c r="BH96" s="60"/>
      <c r="BI96" s="60"/>
      <c r="BJ96" s="60"/>
      <c r="BK96" s="60"/>
      <c r="BL96" s="60"/>
      <c r="BM96" s="60"/>
      <c r="BN96" s="60"/>
      <c r="BO96" s="60"/>
      <c r="BP96" s="60"/>
      <c r="BQ96" s="60"/>
      <c r="BR96" s="60"/>
      <c r="BS96" s="60"/>
      <c r="BT96" s="60"/>
      <c r="BU96" s="60"/>
      <c r="BV96" s="60"/>
      <c r="BW96" s="60"/>
      <c r="BX96" s="60"/>
      <c r="BY96" s="60"/>
      <c r="BZ96" s="60"/>
      <c r="CA96" s="60"/>
      <c r="CB96" s="60"/>
      <c r="CC96" s="60"/>
      <c r="CD96" s="60"/>
      <c r="CE96" s="60"/>
      <c r="CF96" s="60"/>
      <c r="CG96" s="60"/>
      <c r="CH96" s="60"/>
      <c r="CI96" s="60"/>
      <c r="CJ96" s="60"/>
      <c r="CK96" s="60"/>
      <c r="CL96" s="60"/>
      <c r="CM96" s="60"/>
      <c r="CN96" s="60"/>
      <c r="CO96" s="60"/>
      <c r="CP96" s="60"/>
      <c r="CQ96" s="60"/>
      <c r="CR96" s="60"/>
      <c r="CS96" s="60"/>
      <c r="CT96" s="60"/>
      <c r="CU96" s="60"/>
      <c r="CV96" s="60"/>
      <c r="CW96" s="60"/>
      <c r="CX96" s="60"/>
      <c r="CY96" s="60"/>
      <c r="CZ96" s="60"/>
      <c r="DA96" s="60"/>
      <c r="DB96" s="60"/>
      <c r="DC96" s="60"/>
      <c r="DD96" s="60"/>
      <c r="DE96" s="60"/>
      <c r="DF96" s="60"/>
      <c r="DG96" s="60"/>
      <c r="DH96" s="60"/>
      <c r="DI96" s="60"/>
      <c r="DJ96" s="60"/>
      <c r="DK96" s="60"/>
      <c r="DL96" s="60"/>
      <c r="DM96" s="60"/>
      <c r="DN96" s="60"/>
      <c r="DO96" s="60"/>
      <c r="DP96" s="60"/>
      <c r="DQ96" s="60"/>
      <c r="DR96" s="60"/>
      <c r="DS96" s="60"/>
      <c r="DT96" s="60"/>
      <c r="DU96" s="60"/>
      <c r="DV96" s="60"/>
      <c r="DW96" s="60"/>
      <c r="DX96" s="60"/>
      <c r="DY96" s="60"/>
      <c r="DZ96" s="60"/>
      <c r="EA96" s="60"/>
      <c r="EB96" s="60"/>
      <c r="EC96" s="60"/>
      <c r="ED96" s="60"/>
      <c r="EE96" s="60"/>
      <c r="EF96" s="60"/>
      <c r="EG96" s="60"/>
      <c r="EH96" s="60"/>
      <c r="EI96" s="60"/>
      <c r="EJ96" s="60"/>
      <c r="EK96" s="60"/>
      <c r="EL96" s="60"/>
      <c r="EM96" s="60"/>
      <c r="EN96" s="60"/>
      <c r="EO96" s="60"/>
      <c r="EP96" s="60"/>
      <c r="EQ96" s="60"/>
      <c r="ER96" s="60"/>
      <c r="ES96" s="60"/>
      <c r="ET96" s="60"/>
      <c r="EU96" s="60"/>
      <c r="EV96" s="60"/>
      <c r="EW96" s="60"/>
      <c r="EX96" s="60"/>
      <c r="EY96" s="60"/>
      <c r="EZ96" s="60"/>
      <c r="FA96" s="60"/>
      <c r="FB96" s="60"/>
      <c r="FC96" s="60"/>
      <c r="FD96" s="60"/>
      <c r="FE96" s="60"/>
      <c r="FF96" s="60"/>
      <c r="FG96" s="60"/>
      <c r="FH96" s="60"/>
      <c r="FI96" s="60"/>
      <c r="FJ96" s="60"/>
      <c r="FK96" s="60"/>
      <c r="FL96" s="60"/>
      <c r="FM96" s="60"/>
      <c r="FN96" s="60"/>
      <c r="FO96" s="60"/>
      <c r="FP96" s="60"/>
      <c r="FQ96" s="60"/>
      <c r="FR96" s="60"/>
      <c r="FS96" s="60"/>
      <c r="FT96" s="60"/>
      <c r="FU96" s="60"/>
      <c r="FV96" s="60"/>
      <c r="FW96" s="60"/>
      <c r="FX96" s="60"/>
      <c r="FY96" s="60"/>
      <c r="FZ96" s="60"/>
      <c r="GA96" s="60"/>
      <c r="GB96" s="60"/>
      <c r="GC96" s="60"/>
      <c r="GD96" s="60"/>
      <c r="GE96" s="60"/>
      <c r="GF96" s="60"/>
      <c r="GG96" s="60"/>
      <c r="GH96" s="60"/>
      <c r="GI96" s="60"/>
      <c r="GJ96" s="60"/>
      <c r="GK96" s="60"/>
      <c r="GL96" s="60"/>
      <c r="GM96" s="60"/>
      <c r="GN96" s="60"/>
      <c r="GO96" s="60"/>
      <c r="GP96" s="60"/>
      <c r="GQ96" s="60"/>
      <c r="GR96" s="60"/>
      <c r="GS96" s="60"/>
      <c r="GT96" s="60"/>
      <c r="GU96" s="60"/>
      <c r="GV96" s="60"/>
      <c r="GW96" s="60"/>
      <c r="GX96" s="60"/>
      <c r="GY96" s="60"/>
      <c r="GZ96" s="60"/>
      <c r="HA96" s="60"/>
      <c r="HB96" s="60"/>
      <c r="HC96" s="60"/>
      <c r="HD96" s="60"/>
      <c r="HE96" s="60"/>
      <c r="HF96" s="60"/>
      <c r="HG96" s="60"/>
      <c r="HH96" s="60"/>
      <c r="HI96" s="60"/>
      <c r="HJ96" s="60"/>
      <c r="HK96" s="60"/>
      <c r="HL96" s="60"/>
      <c r="HM96" s="60"/>
      <c r="HN96" s="60"/>
      <c r="HO96" s="60"/>
      <c r="HP96" s="60"/>
      <c r="HQ96" s="60"/>
      <c r="HR96" s="60"/>
      <c r="HS96" s="60"/>
      <c r="HT96" s="60"/>
      <c r="HU96" s="60"/>
      <c r="HV96" s="60"/>
      <c r="HW96" s="60"/>
      <c r="HX96" s="60"/>
      <c r="HY96" s="60"/>
      <c r="HZ96" s="60"/>
      <c r="IA96" s="60"/>
      <c r="IB96" s="60"/>
      <c r="IC96" s="60"/>
      <c r="ID96" s="60"/>
      <c r="IE96" s="60"/>
      <c r="IF96" s="60"/>
      <c r="IG96" s="60"/>
      <c r="IH96" s="60"/>
      <c r="II96" s="60"/>
      <c r="IJ96" s="60"/>
      <c r="IK96" s="60"/>
      <c r="IL96" s="60"/>
      <c r="IM96" s="60"/>
      <c r="IN96" s="60"/>
      <c r="IO96" s="60"/>
      <c r="IP96" s="60"/>
      <c r="IQ96" s="60"/>
      <c r="IR96" s="60"/>
      <c r="IS96" s="60"/>
      <c r="IT96" s="60"/>
      <c r="IU96" s="60"/>
      <c r="IV96" s="60"/>
      <c r="IW96" s="60"/>
      <c r="IX96" s="60"/>
      <c r="IY96" s="60"/>
      <c r="IZ96" s="60"/>
      <c r="JA96" s="60"/>
      <c r="JB96" s="60"/>
      <c r="JC96" s="60"/>
      <c r="JD96" s="60"/>
      <c r="JE96" s="60"/>
      <c r="JF96" s="60"/>
      <c r="JG96" s="60"/>
      <c r="JH96" s="60"/>
      <c r="JI96" s="60"/>
      <c r="JJ96" s="60"/>
      <c r="JK96" s="60"/>
      <c r="JL96" s="60"/>
      <c r="JM96" s="60"/>
      <c r="JN96" s="60"/>
      <c r="JO96" s="60"/>
      <c r="JP96" s="60"/>
      <c r="JQ96" s="60"/>
      <c r="JR96" s="60"/>
      <c r="JS96" s="60"/>
      <c r="JT96" s="60"/>
      <c r="JU96" s="60"/>
      <c r="JV96" s="60"/>
      <c r="JW96" s="60"/>
      <c r="JX96" s="60"/>
      <c r="JY96" s="60"/>
      <c r="JZ96" s="60"/>
      <c r="KA96" s="60"/>
      <c r="KB96" s="60"/>
      <c r="KC96" s="60"/>
      <c r="KD96" s="60"/>
      <c r="KE96" s="60"/>
      <c r="KF96" s="60"/>
      <c r="KG96" s="60"/>
      <c r="KH96" s="60"/>
      <c r="KI96" s="60"/>
      <c r="KJ96" s="60"/>
      <c r="KK96" s="60"/>
      <c r="KL96" s="60"/>
      <c r="KM96" s="60"/>
      <c r="KN96" s="60"/>
      <c r="KO96" s="60"/>
      <c r="KP96" s="60"/>
      <c r="KQ96" s="60"/>
      <c r="KR96" s="60"/>
      <c r="KS96" s="60"/>
      <c r="KT96" s="60"/>
      <c r="KU96" s="60"/>
      <c r="KV96" s="60"/>
      <c r="KW96" s="60"/>
      <c r="KX96" s="60"/>
      <c r="KY96" s="60"/>
      <c r="KZ96" s="60"/>
      <c r="LA96" s="60"/>
      <c r="LB96" s="60"/>
      <c r="LC96" s="60"/>
      <c r="LD96" s="60"/>
      <c r="LE96" s="60"/>
      <c r="LF96" s="60"/>
      <c r="LG96" s="60"/>
      <c r="LH96" s="60"/>
    </row>
    <row r="97" spans="1:320" s="17" customFormat="1" x14ac:dyDescent="0.25">
      <c r="A97" s="147"/>
      <c r="E97" s="156"/>
      <c r="F97" s="156"/>
      <c r="G97" s="156"/>
      <c r="H97" s="156"/>
      <c r="I97" s="156"/>
      <c r="J97" s="156"/>
      <c r="K97" s="156"/>
      <c r="L97" s="156"/>
      <c r="M97" s="156"/>
      <c r="N97" s="156"/>
      <c r="O97" s="156"/>
      <c r="P97" s="156"/>
      <c r="Q97" s="156"/>
      <c r="R97" s="156"/>
      <c r="S97" s="156"/>
      <c r="AC97" s="60"/>
      <c r="AD97" s="60"/>
      <c r="AE97" s="60"/>
      <c r="AF97" s="60"/>
      <c r="AG97" s="60"/>
      <c r="AH97" s="60"/>
      <c r="AI97" s="60"/>
      <c r="AJ97" s="60"/>
      <c r="AK97" s="60"/>
      <c r="AL97" s="60"/>
      <c r="AM97" s="60"/>
      <c r="AN97" s="60"/>
      <c r="AO97" s="60"/>
      <c r="AP97" s="60"/>
      <c r="AQ97" s="60"/>
      <c r="AR97" s="60"/>
      <c r="AS97" s="60"/>
      <c r="AT97" s="60"/>
      <c r="AU97" s="60"/>
      <c r="AV97" s="60"/>
      <c r="AW97" s="60"/>
      <c r="AX97" s="60"/>
      <c r="AY97" s="60"/>
      <c r="AZ97" s="60"/>
      <c r="BA97" s="60"/>
      <c r="BB97" s="60"/>
      <c r="BC97" s="60"/>
      <c r="BD97" s="60"/>
      <c r="BE97" s="60"/>
      <c r="BF97" s="60"/>
      <c r="BG97" s="60"/>
      <c r="BH97" s="60"/>
      <c r="BI97" s="60"/>
      <c r="BJ97" s="60"/>
      <c r="BK97" s="60"/>
      <c r="BL97" s="60"/>
      <c r="BM97" s="60"/>
      <c r="BN97" s="60"/>
      <c r="BO97" s="60"/>
      <c r="BP97" s="60"/>
      <c r="BQ97" s="60"/>
      <c r="BR97" s="60"/>
      <c r="BS97" s="60"/>
      <c r="BT97" s="60"/>
      <c r="BU97" s="60"/>
      <c r="BV97" s="60"/>
      <c r="BW97" s="60"/>
      <c r="BX97" s="60"/>
      <c r="BY97" s="60"/>
      <c r="BZ97" s="60"/>
      <c r="CA97" s="60"/>
      <c r="CB97" s="60"/>
      <c r="CC97" s="60"/>
      <c r="CD97" s="60"/>
      <c r="CE97" s="60"/>
      <c r="CF97" s="60"/>
      <c r="CG97" s="60"/>
      <c r="CH97" s="60"/>
      <c r="CI97" s="60"/>
      <c r="CJ97" s="60"/>
      <c r="CK97" s="60"/>
      <c r="CL97" s="60"/>
      <c r="CM97" s="60"/>
      <c r="CN97" s="60"/>
      <c r="CO97" s="60"/>
      <c r="CP97" s="60"/>
      <c r="CQ97" s="60"/>
      <c r="CR97" s="60"/>
      <c r="CS97" s="60"/>
      <c r="CT97" s="60"/>
      <c r="CU97" s="60"/>
      <c r="CV97" s="60"/>
      <c r="CW97" s="60"/>
      <c r="CX97" s="60"/>
      <c r="CY97" s="60"/>
      <c r="CZ97" s="60"/>
      <c r="DA97" s="60"/>
      <c r="DB97" s="60"/>
      <c r="DC97" s="60"/>
      <c r="DD97" s="60"/>
      <c r="DE97" s="60"/>
      <c r="DF97" s="60"/>
      <c r="DG97" s="60"/>
      <c r="DH97" s="60"/>
      <c r="DI97" s="60"/>
      <c r="DJ97" s="60"/>
      <c r="DK97" s="60"/>
      <c r="DL97" s="60"/>
      <c r="DM97" s="60"/>
      <c r="DN97" s="60"/>
      <c r="DO97" s="60"/>
      <c r="DP97" s="60"/>
      <c r="DQ97" s="60"/>
      <c r="DR97" s="60"/>
      <c r="DS97" s="60"/>
      <c r="DT97" s="60"/>
      <c r="DU97" s="60"/>
      <c r="DV97" s="60"/>
      <c r="DW97" s="60"/>
      <c r="DX97" s="60"/>
      <c r="DY97" s="60"/>
      <c r="DZ97" s="60"/>
      <c r="EA97" s="60"/>
      <c r="EB97" s="60"/>
      <c r="EC97" s="60"/>
      <c r="ED97" s="60"/>
      <c r="EE97" s="60"/>
      <c r="EF97" s="60"/>
      <c r="EG97" s="60"/>
      <c r="EH97" s="60"/>
      <c r="EI97" s="60"/>
      <c r="EJ97" s="60"/>
      <c r="EK97" s="60"/>
      <c r="EL97" s="60"/>
      <c r="EM97" s="60"/>
      <c r="EN97" s="60"/>
      <c r="EO97" s="60"/>
      <c r="EP97" s="60"/>
      <c r="EQ97" s="60"/>
      <c r="ER97" s="60"/>
      <c r="ES97" s="60"/>
      <c r="ET97" s="60"/>
      <c r="EU97" s="60"/>
      <c r="EV97" s="60"/>
      <c r="EW97" s="60"/>
      <c r="EX97" s="60"/>
      <c r="EY97" s="60"/>
      <c r="EZ97" s="60"/>
      <c r="FA97" s="60"/>
      <c r="FB97" s="60"/>
      <c r="FC97" s="60"/>
      <c r="FD97" s="60"/>
      <c r="FE97" s="60"/>
      <c r="FF97" s="60"/>
      <c r="FG97" s="60"/>
      <c r="FH97" s="60"/>
      <c r="FI97" s="60"/>
      <c r="FJ97" s="60"/>
      <c r="FK97" s="60"/>
      <c r="FL97" s="60"/>
      <c r="FM97" s="60"/>
      <c r="FN97" s="60"/>
      <c r="FO97" s="60"/>
      <c r="FP97" s="60"/>
      <c r="FQ97" s="60"/>
      <c r="FR97" s="60"/>
      <c r="FS97" s="60"/>
      <c r="FT97" s="60"/>
      <c r="FU97" s="60"/>
      <c r="FV97" s="60"/>
      <c r="FW97" s="60"/>
      <c r="FX97" s="60"/>
      <c r="FY97" s="60"/>
      <c r="FZ97" s="60"/>
      <c r="GA97" s="60"/>
      <c r="GB97" s="60"/>
      <c r="GC97" s="60"/>
      <c r="GD97" s="60"/>
      <c r="GE97" s="60"/>
      <c r="GF97" s="60"/>
      <c r="GG97" s="60"/>
      <c r="GH97" s="60"/>
      <c r="GI97" s="60"/>
      <c r="GJ97" s="60"/>
      <c r="GK97" s="60"/>
      <c r="GL97" s="60"/>
      <c r="GM97" s="60"/>
      <c r="GN97" s="60"/>
      <c r="GO97" s="60"/>
      <c r="GP97" s="60"/>
      <c r="GQ97" s="60"/>
      <c r="GR97" s="60"/>
      <c r="GS97" s="60"/>
      <c r="GT97" s="60"/>
      <c r="GU97" s="60"/>
      <c r="GV97" s="60"/>
      <c r="GW97" s="60"/>
      <c r="GX97" s="60"/>
      <c r="GY97" s="60"/>
      <c r="GZ97" s="60"/>
      <c r="HA97" s="60"/>
      <c r="HB97" s="60"/>
      <c r="HC97" s="60"/>
      <c r="HD97" s="60"/>
      <c r="HE97" s="60"/>
      <c r="HF97" s="60"/>
      <c r="HG97" s="60"/>
      <c r="HH97" s="60"/>
      <c r="HI97" s="60"/>
      <c r="HJ97" s="60"/>
      <c r="HK97" s="60"/>
      <c r="HL97" s="60"/>
      <c r="HM97" s="60"/>
      <c r="HN97" s="60"/>
      <c r="HO97" s="60"/>
      <c r="HP97" s="60"/>
      <c r="HQ97" s="60"/>
      <c r="HR97" s="60"/>
      <c r="HS97" s="60"/>
      <c r="HT97" s="60"/>
      <c r="HU97" s="60"/>
      <c r="HV97" s="60"/>
      <c r="HW97" s="60"/>
      <c r="HX97" s="60"/>
      <c r="HY97" s="60"/>
      <c r="HZ97" s="60"/>
      <c r="IA97" s="60"/>
      <c r="IB97" s="60"/>
      <c r="IC97" s="60"/>
      <c r="ID97" s="60"/>
      <c r="IE97" s="60"/>
      <c r="IF97" s="60"/>
      <c r="IG97" s="60"/>
      <c r="IH97" s="60"/>
      <c r="II97" s="60"/>
      <c r="IJ97" s="60"/>
      <c r="IK97" s="60"/>
      <c r="IL97" s="60"/>
      <c r="IM97" s="60"/>
      <c r="IN97" s="60"/>
      <c r="IO97" s="60"/>
      <c r="IP97" s="60"/>
      <c r="IQ97" s="60"/>
      <c r="IR97" s="60"/>
      <c r="IS97" s="60"/>
      <c r="IT97" s="60"/>
      <c r="IU97" s="60"/>
      <c r="IV97" s="60"/>
      <c r="IW97" s="60"/>
      <c r="IX97" s="60"/>
      <c r="IY97" s="60"/>
      <c r="IZ97" s="60"/>
      <c r="JA97" s="60"/>
      <c r="JB97" s="60"/>
      <c r="JC97" s="60"/>
      <c r="JD97" s="60"/>
      <c r="JE97" s="60"/>
      <c r="JF97" s="60"/>
      <c r="JG97" s="60"/>
      <c r="JH97" s="60"/>
      <c r="JI97" s="60"/>
      <c r="JJ97" s="60"/>
      <c r="JK97" s="60"/>
      <c r="JL97" s="60"/>
      <c r="JM97" s="60"/>
      <c r="JN97" s="60"/>
      <c r="JO97" s="60"/>
      <c r="JP97" s="60"/>
      <c r="JQ97" s="60"/>
      <c r="JR97" s="60"/>
      <c r="JS97" s="60"/>
      <c r="JT97" s="60"/>
      <c r="JU97" s="60"/>
      <c r="JV97" s="60"/>
      <c r="JW97" s="60"/>
      <c r="JX97" s="60"/>
      <c r="JY97" s="60"/>
      <c r="JZ97" s="60"/>
      <c r="KA97" s="60"/>
      <c r="KB97" s="60"/>
      <c r="KC97" s="60"/>
      <c r="KD97" s="60"/>
      <c r="KE97" s="60"/>
      <c r="KF97" s="60"/>
      <c r="KG97" s="60"/>
      <c r="KH97" s="60"/>
      <c r="KI97" s="60"/>
      <c r="KJ97" s="60"/>
      <c r="KK97" s="60"/>
      <c r="KL97" s="60"/>
      <c r="KM97" s="60"/>
      <c r="KN97" s="60"/>
      <c r="KO97" s="60"/>
      <c r="KP97" s="60"/>
      <c r="KQ97" s="60"/>
      <c r="KR97" s="60"/>
      <c r="KS97" s="60"/>
      <c r="KT97" s="60"/>
      <c r="KU97" s="60"/>
      <c r="KV97" s="60"/>
      <c r="KW97" s="60"/>
      <c r="KX97" s="60"/>
      <c r="KY97" s="60"/>
      <c r="KZ97" s="60"/>
      <c r="LA97" s="60"/>
      <c r="LB97" s="60"/>
      <c r="LC97" s="60"/>
      <c r="LD97" s="60"/>
      <c r="LE97" s="60"/>
      <c r="LF97" s="60"/>
      <c r="LG97" s="60"/>
      <c r="LH97" s="60"/>
    </row>
    <row r="98" spans="1:320" s="17" customFormat="1" x14ac:dyDescent="0.25">
      <c r="A98" s="147"/>
      <c r="E98" s="156"/>
      <c r="F98" s="156"/>
      <c r="G98" s="156"/>
      <c r="H98" s="156"/>
      <c r="I98" s="156"/>
      <c r="J98" s="156"/>
      <c r="K98" s="156"/>
      <c r="L98" s="156"/>
      <c r="M98" s="156"/>
      <c r="N98" s="156"/>
      <c r="O98" s="156"/>
      <c r="P98" s="156"/>
      <c r="Q98" s="156"/>
      <c r="R98" s="156"/>
      <c r="S98" s="156"/>
      <c r="AC98" s="60"/>
      <c r="AD98" s="60"/>
      <c r="AE98" s="60"/>
      <c r="AF98" s="60"/>
      <c r="AG98" s="60"/>
      <c r="AH98" s="60"/>
      <c r="AI98" s="60"/>
      <c r="AJ98" s="60"/>
      <c r="AK98" s="60"/>
      <c r="AL98" s="60"/>
      <c r="AM98" s="60"/>
      <c r="AN98" s="60"/>
      <c r="AO98" s="60"/>
      <c r="AP98" s="60"/>
      <c r="AQ98" s="60"/>
      <c r="AR98" s="60"/>
      <c r="AS98" s="60"/>
      <c r="AT98" s="60"/>
      <c r="AU98" s="60"/>
      <c r="AV98" s="60"/>
      <c r="AW98" s="60"/>
      <c r="AX98" s="60"/>
      <c r="AY98" s="60"/>
      <c r="AZ98" s="60"/>
      <c r="BA98" s="60"/>
      <c r="BB98" s="60"/>
      <c r="BC98" s="60"/>
      <c r="BD98" s="60"/>
      <c r="BE98" s="60"/>
      <c r="BF98" s="60"/>
      <c r="BG98" s="60"/>
      <c r="BH98" s="60"/>
      <c r="BI98" s="60"/>
      <c r="BJ98" s="60"/>
      <c r="BK98" s="60"/>
      <c r="BL98" s="60"/>
      <c r="BM98" s="60"/>
      <c r="BN98" s="60"/>
      <c r="BO98" s="60"/>
      <c r="BP98" s="60"/>
      <c r="BQ98" s="60"/>
      <c r="BR98" s="60"/>
      <c r="BS98" s="60"/>
      <c r="BT98" s="60"/>
      <c r="BU98" s="60"/>
      <c r="BV98" s="60"/>
      <c r="BW98" s="60"/>
      <c r="BX98" s="60"/>
      <c r="BY98" s="60"/>
      <c r="BZ98" s="60"/>
      <c r="CA98" s="60"/>
      <c r="CB98" s="60"/>
      <c r="CC98" s="60"/>
      <c r="CD98" s="60"/>
      <c r="CE98" s="60"/>
      <c r="CF98" s="60"/>
      <c r="CG98" s="60"/>
      <c r="CH98" s="60"/>
      <c r="CI98" s="60"/>
      <c r="CJ98" s="60"/>
      <c r="CK98" s="60"/>
      <c r="CL98" s="60"/>
      <c r="CM98" s="60"/>
      <c r="CN98" s="60"/>
      <c r="CO98" s="60"/>
      <c r="CP98" s="60"/>
      <c r="CQ98" s="60"/>
      <c r="CR98" s="60"/>
      <c r="CS98" s="60"/>
      <c r="CT98" s="60"/>
      <c r="CU98" s="60"/>
      <c r="CV98" s="60"/>
      <c r="CW98" s="60"/>
      <c r="CX98" s="60"/>
      <c r="CY98" s="60"/>
      <c r="CZ98" s="60"/>
      <c r="DA98" s="60"/>
      <c r="DB98" s="60"/>
      <c r="DC98" s="60"/>
      <c r="DD98" s="60"/>
      <c r="DE98" s="60"/>
      <c r="DF98" s="60"/>
      <c r="DG98" s="60"/>
      <c r="DH98" s="60"/>
      <c r="DI98" s="60"/>
      <c r="DJ98" s="60"/>
      <c r="DK98" s="60"/>
      <c r="DL98" s="60"/>
      <c r="DM98" s="60"/>
      <c r="DN98" s="60"/>
      <c r="DO98" s="60"/>
      <c r="DP98" s="60"/>
      <c r="DQ98" s="60"/>
      <c r="DR98" s="60"/>
      <c r="DS98" s="60"/>
      <c r="DT98" s="60"/>
      <c r="DU98" s="60"/>
      <c r="DV98" s="60"/>
      <c r="DW98" s="60"/>
      <c r="DX98" s="60"/>
      <c r="DY98" s="60"/>
      <c r="DZ98" s="60"/>
      <c r="EA98" s="60"/>
      <c r="EB98" s="60"/>
      <c r="EC98" s="60"/>
      <c r="ED98" s="60"/>
      <c r="EE98" s="60"/>
      <c r="EF98" s="60"/>
      <c r="EG98" s="60"/>
      <c r="EH98" s="60"/>
      <c r="EI98" s="60"/>
      <c r="EJ98" s="60"/>
      <c r="EK98" s="60"/>
      <c r="EL98" s="60"/>
      <c r="EM98" s="60"/>
      <c r="EN98" s="60"/>
      <c r="EO98" s="60"/>
      <c r="EP98" s="60"/>
      <c r="EQ98" s="60"/>
      <c r="ER98" s="60"/>
      <c r="ES98" s="60"/>
      <c r="ET98" s="60"/>
      <c r="EU98" s="60"/>
      <c r="EV98" s="60"/>
      <c r="EW98" s="60"/>
      <c r="EX98" s="60"/>
      <c r="EY98" s="60"/>
      <c r="EZ98" s="60"/>
      <c r="FA98" s="60"/>
      <c r="FB98" s="60"/>
      <c r="FC98" s="60"/>
      <c r="FD98" s="60"/>
      <c r="FE98" s="60"/>
      <c r="FF98" s="60"/>
      <c r="FG98" s="60"/>
      <c r="FH98" s="60"/>
      <c r="FI98" s="60"/>
      <c r="FJ98" s="60"/>
      <c r="FK98" s="60"/>
      <c r="FL98" s="60"/>
      <c r="FM98" s="60"/>
      <c r="FN98" s="60"/>
      <c r="FO98" s="60"/>
      <c r="FP98" s="60"/>
      <c r="FQ98" s="60"/>
      <c r="FR98" s="60"/>
      <c r="FS98" s="60"/>
      <c r="FT98" s="60"/>
      <c r="FU98" s="60"/>
      <c r="FV98" s="60"/>
      <c r="FW98" s="60"/>
      <c r="FX98" s="60"/>
      <c r="FY98" s="60"/>
      <c r="FZ98" s="60"/>
      <c r="GA98" s="60"/>
      <c r="GB98" s="60"/>
      <c r="GC98" s="60"/>
      <c r="GD98" s="60"/>
      <c r="GE98" s="60"/>
      <c r="GF98" s="60"/>
      <c r="GG98" s="60"/>
      <c r="GH98" s="60"/>
      <c r="GI98" s="60"/>
      <c r="GJ98" s="60"/>
      <c r="GK98" s="60"/>
      <c r="GL98" s="60"/>
      <c r="GM98" s="60"/>
      <c r="GN98" s="60"/>
      <c r="GO98" s="60"/>
      <c r="GP98" s="60"/>
      <c r="GQ98" s="60"/>
      <c r="GR98" s="60"/>
      <c r="GS98" s="60"/>
      <c r="GT98" s="60"/>
      <c r="GU98" s="60"/>
      <c r="GV98" s="60"/>
      <c r="GW98" s="60"/>
      <c r="GX98" s="60"/>
      <c r="GY98" s="60"/>
      <c r="GZ98" s="60"/>
      <c r="HA98" s="60"/>
      <c r="HB98" s="60"/>
      <c r="HC98" s="60"/>
      <c r="HD98" s="60"/>
      <c r="HE98" s="60"/>
      <c r="HF98" s="60"/>
      <c r="HG98" s="60"/>
      <c r="HH98" s="60"/>
      <c r="HI98" s="60"/>
      <c r="HJ98" s="60"/>
      <c r="HK98" s="60"/>
      <c r="HL98" s="60"/>
      <c r="HM98" s="60"/>
      <c r="HN98" s="60"/>
      <c r="HO98" s="60"/>
      <c r="HP98" s="60"/>
      <c r="HQ98" s="60"/>
      <c r="HR98" s="60"/>
      <c r="HS98" s="60"/>
      <c r="HT98" s="60"/>
      <c r="HU98" s="60"/>
      <c r="HV98" s="60"/>
      <c r="HW98" s="60"/>
      <c r="HX98" s="60"/>
      <c r="HY98" s="60"/>
      <c r="HZ98" s="60"/>
      <c r="IA98" s="60"/>
      <c r="IB98" s="60"/>
      <c r="IC98" s="60"/>
      <c r="ID98" s="60"/>
      <c r="IE98" s="60"/>
      <c r="IF98" s="60"/>
      <c r="IG98" s="60"/>
      <c r="IH98" s="60"/>
      <c r="II98" s="60"/>
      <c r="IJ98" s="60"/>
      <c r="IK98" s="60"/>
      <c r="IL98" s="60"/>
      <c r="IM98" s="60"/>
      <c r="IN98" s="60"/>
      <c r="IO98" s="60"/>
      <c r="IP98" s="60"/>
      <c r="IQ98" s="60"/>
      <c r="IR98" s="60"/>
      <c r="IS98" s="60"/>
      <c r="IT98" s="60"/>
      <c r="IU98" s="60"/>
      <c r="IV98" s="60"/>
      <c r="IW98" s="60"/>
      <c r="IX98" s="60"/>
      <c r="IY98" s="60"/>
      <c r="IZ98" s="60"/>
      <c r="JA98" s="60"/>
      <c r="JB98" s="60"/>
      <c r="JC98" s="60"/>
      <c r="JD98" s="60"/>
      <c r="JE98" s="60"/>
      <c r="JF98" s="60"/>
      <c r="JG98" s="60"/>
      <c r="JH98" s="60"/>
      <c r="JI98" s="60"/>
      <c r="JJ98" s="60"/>
      <c r="JK98" s="60"/>
      <c r="JL98" s="60"/>
      <c r="JM98" s="60"/>
      <c r="JN98" s="60"/>
      <c r="JO98" s="60"/>
      <c r="JP98" s="60"/>
      <c r="JQ98" s="60"/>
      <c r="JR98" s="60"/>
      <c r="JS98" s="60"/>
      <c r="JT98" s="60"/>
      <c r="JU98" s="60"/>
      <c r="JV98" s="60"/>
      <c r="JW98" s="60"/>
      <c r="JX98" s="60"/>
      <c r="JY98" s="60"/>
      <c r="JZ98" s="60"/>
      <c r="KA98" s="60"/>
      <c r="KB98" s="60"/>
      <c r="KC98" s="60"/>
      <c r="KD98" s="60"/>
      <c r="KE98" s="60"/>
      <c r="KF98" s="60"/>
      <c r="KG98" s="60"/>
      <c r="KH98" s="60"/>
      <c r="KI98" s="60"/>
      <c r="KJ98" s="60"/>
      <c r="KK98" s="60"/>
      <c r="KL98" s="60"/>
      <c r="KM98" s="60"/>
      <c r="KN98" s="60"/>
      <c r="KO98" s="60"/>
      <c r="KP98" s="60"/>
      <c r="KQ98" s="60"/>
      <c r="KR98" s="60"/>
      <c r="KS98" s="60"/>
      <c r="KT98" s="60"/>
      <c r="KU98" s="60"/>
      <c r="KV98" s="60"/>
      <c r="KW98" s="60"/>
      <c r="KX98" s="60"/>
      <c r="KY98" s="60"/>
      <c r="KZ98" s="60"/>
      <c r="LA98" s="60"/>
      <c r="LB98" s="60"/>
      <c r="LC98" s="60"/>
      <c r="LD98" s="60"/>
      <c r="LE98" s="60"/>
      <c r="LF98" s="60"/>
      <c r="LG98" s="60"/>
      <c r="LH98" s="60"/>
    </row>
    <row r="99" spans="1:320" s="17" customFormat="1" x14ac:dyDescent="0.25">
      <c r="A99" s="147"/>
      <c r="E99" s="156"/>
      <c r="F99" s="156"/>
      <c r="G99" s="156"/>
      <c r="H99" s="156"/>
      <c r="I99" s="156"/>
      <c r="J99" s="156"/>
      <c r="K99" s="156"/>
      <c r="L99" s="156"/>
      <c r="M99" s="156"/>
      <c r="N99" s="156"/>
      <c r="O99" s="156"/>
      <c r="P99" s="156"/>
      <c r="Q99" s="156"/>
      <c r="R99" s="156"/>
      <c r="S99" s="156"/>
      <c r="AC99" s="60"/>
      <c r="AD99" s="60"/>
      <c r="AE99" s="60"/>
      <c r="AF99" s="60"/>
      <c r="AG99" s="60"/>
      <c r="AH99" s="60"/>
      <c r="AI99" s="60"/>
      <c r="AJ99" s="60"/>
      <c r="AK99" s="60"/>
      <c r="AL99" s="60"/>
      <c r="AM99" s="60"/>
      <c r="AN99" s="60"/>
      <c r="AO99" s="60"/>
      <c r="AP99" s="60"/>
      <c r="AQ99" s="60"/>
      <c r="AR99" s="60"/>
      <c r="AS99" s="60"/>
      <c r="AT99" s="60"/>
      <c r="AU99" s="60"/>
      <c r="AV99" s="60"/>
      <c r="AW99" s="60"/>
      <c r="AX99" s="60"/>
      <c r="AY99" s="60"/>
      <c r="AZ99" s="60"/>
      <c r="BA99" s="60"/>
      <c r="BB99" s="60"/>
      <c r="BC99" s="60"/>
      <c r="BD99" s="60"/>
      <c r="BE99" s="60"/>
      <c r="BF99" s="60"/>
      <c r="BG99" s="60"/>
      <c r="BH99" s="60"/>
      <c r="BI99" s="60"/>
      <c r="BJ99" s="60"/>
      <c r="BK99" s="60"/>
      <c r="BL99" s="60"/>
      <c r="BM99" s="60"/>
      <c r="BN99" s="60"/>
      <c r="BO99" s="60"/>
      <c r="BP99" s="60"/>
      <c r="BQ99" s="60"/>
      <c r="BR99" s="60"/>
      <c r="BS99" s="60"/>
      <c r="BT99" s="60"/>
      <c r="BU99" s="60"/>
      <c r="BV99" s="60"/>
      <c r="BW99" s="60"/>
      <c r="BX99" s="60"/>
      <c r="BY99" s="60"/>
      <c r="BZ99" s="60"/>
      <c r="CA99" s="60"/>
      <c r="CB99" s="60"/>
      <c r="CC99" s="60"/>
      <c r="CD99" s="60"/>
      <c r="CE99" s="60"/>
      <c r="CF99" s="60"/>
      <c r="CG99" s="60"/>
      <c r="CH99" s="60"/>
      <c r="CI99" s="60"/>
      <c r="CJ99" s="60"/>
      <c r="CK99" s="60"/>
      <c r="CL99" s="60"/>
      <c r="CM99" s="60"/>
      <c r="CN99" s="60"/>
      <c r="CO99" s="60"/>
      <c r="CP99" s="60"/>
      <c r="CQ99" s="60"/>
      <c r="CR99" s="60"/>
      <c r="CS99" s="60"/>
      <c r="CT99" s="60"/>
      <c r="CU99" s="60"/>
      <c r="CV99" s="60"/>
      <c r="CW99" s="60"/>
      <c r="CX99" s="60"/>
      <c r="CY99" s="60"/>
      <c r="CZ99" s="60"/>
      <c r="DA99" s="60"/>
      <c r="DB99" s="60"/>
      <c r="DC99" s="60"/>
      <c r="DD99" s="60"/>
      <c r="DE99" s="60"/>
      <c r="DF99" s="60"/>
      <c r="DG99" s="60"/>
      <c r="DH99" s="60"/>
      <c r="DI99" s="60"/>
      <c r="DJ99" s="60"/>
      <c r="DK99" s="60"/>
      <c r="DL99" s="60"/>
      <c r="DM99" s="60"/>
      <c r="DN99" s="60"/>
      <c r="DO99" s="60"/>
      <c r="DP99" s="60"/>
      <c r="DQ99" s="60"/>
      <c r="DR99" s="60"/>
      <c r="DS99" s="60"/>
      <c r="DT99" s="60"/>
      <c r="DU99" s="60"/>
      <c r="DV99" s="60"/>
      <c r="DW99" s="60"/>
      <c r="DX99" s="60"/>
      <c r="DY99" s="60"/>
      <c r="DZ99" s="60"/>
      <c r="EA99" s="60"/>
      <c r="EB99" s="60"/>
      <c r="EC99" s="60"/>
      <c r="ED99" s="60"/>
      <c r="EE99" s="60"/>
      <c r="EF99" s="60"/>
      <c r="EG99" s="60"/>
      <c r="EH99" s="60"/>
      <c r="EI99" s="60"/>
      <c r="EJ99" s="60"/>
      <c r="EK99" s="60"/>
      <c r="EL99" s="60"/>
      <c r="EM99" s="60"/>
      <c r="EN99" s="60"/>
      <c r="EO99" s="60"/>
      <c r="EP99" s="60"/>
      <c r="EQ99" s="60"/>
      <c r="ER99" s="60"/>
      <c r="ES99" s="60"/>
      <c r="ET99" s="60"/>
      <c r="EU99" s="60"/>
      <c r="EV99" s="60"/>
      <c r="EW99" s="60"/>
      <c r="EX99" s="60"/>
      <c r="EY99" s="60"/>
      <c r="EZ99" s="60"/>
      <c r="FA99" s="60"/>
      <c r="FB99" s="60"/>
      <c r="FC99" s="60"/>
      <c r="FD99" s="60"/>
      <c r="FE99" s="60"/>
      <c r="FF99" s="60"/>
      <c r="FG99" s="60"/>
      <c r="FH99" s="60"/>
      <c r="FI99" s="60"/>
      <c r="FJ99" s="60"/>
      <c r="FK99" s="60"/>
      <c r="FL99" s="60"/>
      <c r="FM99" s="60"/>
      <c r="FN99" s="60"/>
      <c r="FO99" s="60"/>
      <c r="FP99" s="60"/>
      <c r="FQ99" s="60"/>
      <c r="FR99" s="60"/>
      <c r="FS99" s="60"/>
      <c r="FT99" s="60"/>
      <c r="FU99" s="60"/>
      <c r="FV99" s="60"/>
      <c r="FW99" s="60"/>
      <c r="FX99" s="60"/>
      <c r="FY99" s="60"/>
      <c r="FZ99" s="60"/>
      <c r="GA99" s="60"/>
      <c r="GB99" s="60"/>
      <c r="GC99" s="60"/>
      <c r="GD99" s="60"/>
      <c r="GE99" s="60"/>
      <c r="GF99" s="60"/>
      <c r="GG99" s="60"/>
      <c r="GH99" s="60"/>
      <c r="GI99" s="60"/>
      <c r="GJ99" s="60"/>
      <c r="GK99" s="60"/>
      <c r="GL99" s="60"/>
      <c r="GM99" s="60"/>
      <c r="GN99" s="60"/>
      <c r="GO99" s="60"/>
      <c r="GP99" s="60"/>
      <c r="GQ99" s="60"/>
      <c r="GR99" s="60"/>
      <c r="GS99" s="60"/>
      <c r="GT99" s="60"/>
      <c r="GU99" s="60"/>
      <c r="GV99" s="60"/>
      <c r="GW99" s="60"/>
      <c r="GX99" s="60"/>
      <c r="GY99" s="60"/>
      <c r="GZ99" s="60"/>
      <c r="HA99" s="60"/>
      <c r="HB99" s="60"/>
      <c r="HC99" s="60"/>
      <c r="HD99" s="60"/>
      <c r="HE99" s="60"/>
      <c r="HF99" s="60"/>
      <c r="HG99" s="60"/>
      <c r="HH99" s="60"/>
      <c r="HI99" s="60"/>
      <c r="HJ99" s="60"/>
      <c r="HK99" s="60"/>
      <c r="HL99" s="60"/>
      <c r="HM99" s="60"/>
      <c r="HN99" s="60"/>
      <c r="HO99" s="60"/>
      <c r="HP99" s="60"/>
      <c r="HQ99" s="60"/>
      <c r="HR99" s="60"/>
      <c r="HS99" s="60"/>
      <c r="HT99" s="60"/>
      <c r="HU99" s="60"/>
      <c r="HV99" s="60"/>
      <c r="HW99" s="60"/>
      <c r="HX99" s="60"/>
      <c r="HY99" s="60"/>
      <c r="HZ99" s="60"/>
      <c r="IA99" s="60"/>
      <c r="IB99" s="60"/>
      <c r="IC99" s="60"/>
      <c r="ID99" s="60"/>
      <c r="IE99" s="60"/>
      <c r="IF99" s="60"/>
      <c r="IG99" s="60"/>
      <c r="IH99" s="60"/>
      <c r="II99" s="60"/>
      <c r="IJ99" s="60"/>
      <c r="IK99" s="60"/>
      <c r="IL99" s="60"/>
      <c r="IM99" s="60"/>
      <c r="IN99" s="60"/>
      <c r="IO99" s="60"/>
      <c r="IP99" s="60"/>
      <c r="IQ99" s="60"/>
      <c r="IR99" s="60"/>
      <c r="IS99" s="60"/>
      <c r="IT99" s="60"/>
      <c r="IU99" s="60"/>
      <c r="IV99" s="60"/>
      <c r="IW99" s="60"/>
      <c r="IX99" s="60"/>
      <c r="IY99" s="60"/>
      <c r="IZ99" s="60"/>
      <c r="JA99" s="60"/>
      <c r="JB99" s="60"/>
      <c r="JC99" s="60"/>
      <c r="JD99" s="60"/>
      <c r="JE99" s="60"/>
      <c r="JF99" s="60"/>
      <c r="JG99" s="60"/>
      <c r="JH99" s="60"/>
      <c r="JI99" s="60"/>
      <c r="JJ99" s="60"/>
      <c r="JK99" s="60"/>
      <c r="JL99" s="60"/>
      <c r="JM99" s="60"/>
      <c r="JN99" s="60"/>
      <c r="JO99" s="60"/>
      <c r="JP99" s="60"/>
      <c r="JQ99" s="60"/>
      <c r="JR99" s="60"/>
      <c r="JS99" s="60"/>
      <c r="JT99" s="60"/>
      <c r="JU99" s="60"/>
      <c r="JV99" s="60"/>
      <c r="JW99" s="60"/>
      <c r="JX99" s="60"/>
      <c r="JY99" s="60"/>
      <c r="JZ99" s="60"/>
      <c r="KA99" s="60"/>
      <c r="KB99" s="60"/>
      <c r="KC99" s="60"/>
      <c r="KD99" s="60"/>
      <c r="KE99" s="60"/>
      <c r="KF99" s="60"/>
      <c r="KG99" s="60"/>
      <c r="KH99" s="60"/>
      <c r="KI99" s="60"/>
      <c r="KJ99" s="60"/>
      <c r="KK99" s="60"/>
      <c r="KL99" s="60"/>
      <c r="KM99" s="60"/>
      <c r="KN99" s="60"/>
      <c r="KO99" s="60"/>
      <c r="KP99" s="60"/>
      <c r="KQ99" s="60"/>
      <c r="KR99" s="60"/>
      <c r="KS99" s="60"/>
      <c r="KT99" s="60"/>
      <c r="KU99" s="60"/>
      <c r="KV99" s="60"/>
      <c r="KW99" s="60"/>
      <c r="KX99" s="60"/>
      <c r="KY99" s="60"/>
      <c r="KZ99" s="60"/>
      <c r="LA99" s="60"/>
      <c r="LB99" s="60"/>
      <c r="LC99" s="60"/>
      <c r="LD99" s="60"/>
      <c r="LE99" s="60"/>
      <c r="LF99" s="60"/>
      <c r="LG99" s="60"/>
      <c r="LH99" s="60"/>
    </row>
    <row r="100" spans="1:320" s="17" customFormat="1" x14ac:dyDescent="0.25">
      <c r="A100" s="147"/>
      <c r="E100" s="156"/>
      <c r="F100" s="156"/>
      <c r="G100" s="156"/>
      <c r="H100" s="156"/>
      <c r="I100" s="156"/>
      <c r="J100" s="156"/>
      <c r="K100" s="156"/>
      <c r="L100" s="156"/>
      <c r="M100" s="156"/>
      <c r="N100" s="156"/>
      <c r="O100" s="156"/>
      <c r="P100" s="156"/>
      <c r="Q100" s="156"/>
      <c r="R100" s="156"/>
      <c r="S100" s="156"/>
      <c r="AC100" s="60"/>
      <c r="AD100" s="60"/>
      <c r="AE100" s="60"/>
      <c r="AF100" s="60"/>
      <c r="AG100" s="60"/>
      <c r="AH100" s="60"/>
      <c r="AI100" s="60"/>
      <c r="AJ100" s="60"/>
      <c r="AK100" s="60"/>
      <c r="AL100" s="60"/>
      <c r="AM100" s="60"/>
      <c r="AN100" s="60"/>
      <c r="AO100" s="60"/>
      <c r="AP100" s="60"/>
      <c r="AQ100" s="60"/>
      <c r="AR100" s="60"/>
      <c r="AS100" s="60"/>
      <c r="AT100" s="60"/>
      <c r="AU100" s="60"/>
      <c r="AV100" s="60"/>
      <c r="AW100" s="60"/>
      <c r="AX100" s="60"/>
      <c r="AY100" s="60"/>
      <c r="AZ100" s="60"/>
      <c r="BA100" s="60"/>
      <c r="BB100" s="60"/>
      <c r="BC100" s="60"/>
      <c r="BD100" s="60"/>
      <c r="BE100" s="60"/>
      <c r="BF100" s="60"/>
      <c r="BG100" s="60"/>
      <c r="BH100" s="60"/>
      <c r="BI100" s="60"/>
      <c r="BJ100" s="60"/>
      <c r="BK100" s="60"/>
      <c r="BL100" s="60"/>
      <c r="BM100" s="60"/>
      <c r="BN100" s="60"/>
      <c r="BO100" s="60"/>
      <c r="BP100" s="60"/>
      <c r="BQ100" s="60"/>
      <c r="BR100" s="60"/>
      <c r="BS100" s="60"/>
      <c r="BT100" s="60"/>
      <c r="BU100" s="60"/>
      <c r="BV100" s="60"/>
      <c r="BW100" s="60"/>
      <c r="BX100" s="60"/>
      <c r="BY100" s="60"/>
      <c r="BZ100" s="60"/>
      <c r="CA100" s="60"/>
      <c r="CB100" s="60"/>
      <c r="CC100" s="60"/>
      <c r="CD100" s="60"/>
      <c r="CE100" s="60"/>
      <c r="CF100" s="60"/>
      <c r="CG100" s="60"/>
      <c r="CH100" s="60"/>
      <c r="CI100" s="60"/>
      <c r="CJ100" s="60"/>
      <c r="CK100" s="60"/>
      <c r="CL100" s="60"/>
      <c r="CM100" s="60"/>
      <c r="CN100" s="60"/>
      <c r="CO100" s="60"/>
      <c r="CP100" s="60"/>
      <c r="CQ100" s="60"/>
      <c r="CR100" s="60"/>
      <c r="CS100" s="60"/>
      <c r="CT100" s="60"/>
      <c r="CU100" s="60"/>
      <c r="CV100" s="60"/>
      <c r="CW100" s="60"/>
      <c r="CX100" s="60"/>
      <c r="CY100" s="60"/>
      <c r="CZ100" s="60"/>
      <c r="DA100" s="60"/>
      <c r="DB100" s="60"/>
      <c r="DC100" s="60"/>
      <c r="DD100" s="60"/>
      <c r="DE100" s="60"/>
      <c r="DF100" s="60"/>
      <c r="DG100" s="60"/>
      <c r="DH100" s="60"/>
      <c r="DI100" s="60"/>
      <c r="DJ100" s="60"/>
      <c r="DK100" s="60"/>
      <c r="DL100" s="60"/>
      <c r="DM100" s="60"/>
      <c r="DN100" s="60"/>
      <c r="DO100" s="60"/>
      <c r="DP100" s="60"/>
      <c r="DQ100" s="60"/>
      <c r="DR100" s="60"/>
      <c r="DS100" s="60"/>
      <c r="DT100" s="60"/>
      <c r="DU100" s="60"/>
      <c r="DV100" s="60"/>
      <c r="DW100" s="60"/>
      <c r="DX100" s="60"/>
      <c r="DY100" s="60"/>
      <c r="DZ100" s="60"/>
      <c r="EA100" s="60"/>
      <c r="EB100" s="60"/>
      <c r="EC100" s="60"/>
      <c r="ED100" s="60"/>
      <c r="EE100" s="60"/>
      <c r="EF100" s="60"/>
      <c r="EG100" s="60"/>
      <c r="EH100" s="60"/>
      <c r="EI100" s="60"/>
      <c r="EJ100" s="60"/>
      <c r="EK100" s="60"/>
      <c r="EL100" s="60"/>
      <c r="EM100" s="60"/>
      <c r="EN100" s="60"/>
      <c r="EO100" s="60"/>
      <c r="EP100" s="60"/>
      <c r="EQ100" s="60"/>
      <c r="ER100" s="60"/>
      <c r="ES100" s="60"/>
      <c r="ET100" s="60"/>
      <c r="EU100" s="60"/>
      <c r="EV100" s="60"/>
      <c r="EW100" s="60"/>
      <c r="EX100" s="60"/>
      <c r="EY100" s="60"/>
      <c r="EZ100" s="60"/>
      <c r="FA100" s="60"/>
      <c r="FB100" s="60"/>
      <c r="FC100" s="60"/>
      <c r="FD100" s="60"/>
      <c r="FE100" s="60"/>
      <c r="FF100" s="60"/>
      <c r="FG100" s="60"/>
      <c r="FH100" s="60"/>
      <c r="FI100" s="60"/>
      <c r="FJ100" s="60"/>
      <c r="FK100" s="60"/>
      <c r="FL100" s="60"/>
      <c r="FM100" s="60"/>
      <c r="FN100" s="60"/>
      <c r="FO100" s="60"/>
      <c r="FP100" s="60"/>
      <c r="FQ100" s="60"/>
      <c r="FR100" s="60"/>
      <c r="FS100" s="60"/>
      <c r="FT100" s="60"/>
      <c r="FU100" s="60"/>
      <c r="FV100" s="60"/>
      <c r="FW100" s="60"/>
      <c r="FX100" s="60"/>
      <c r="FY100" s="60"/>
      <c r="FZ100" s="60"/>
      <c r="GA100" s="60"/>
      <c r="GB100" s="60"/>
      <c r="GC100" s="60"/>
      <c r="GD100" s="60"/>
      <c r="GE100" s="60"/>
      <c r="GF100" s="60"/>
      <c r="GG100" s="60"/>
      <c r="GH100" s="60"/>
      <c r="GI100" s="60"/>
      <c r="GJ100" s="60"/>
      <c r="GK100" s="60"/>
      <c r="GL100" s="60"/>
      <c r="GM100" s="60"/>
      <c r="GN100" s="60"/>
      <c r="GO100" s="60"/>
      <c r="GP100" s="60"/>
      <c r="GQ100" s="60"/>
      <c r="GR100" s="60"/>
      <c r="GS100" s="60"/>
      <c r="GT100" s="60"/>
      <c r="GU100" s="60"/>
      <c r="GV100" s="60"/>
      <c r="GW100" s="60"/>
      <c r="GX100" s="60"/>
      <c r="GY100" s="60"/>
      <c r="GZ100" s="60"/>
      <c r="HA100" s="60"/>
      <c r="HB100" s="60"/>
      <c r="HC100" s="60"/>
      <c r="HD100" s="60"/>
      <c r="HE100" s="60"/>
      <c r="HF100" s="60"/>
      <c r="HG100" s="60"/>
      <c r="HH100" s="60"/>
      <c r="HI100" s="60"/>
      <c r="HJ100" s="60"/>
      <c r="HK100" s="60"/>
      <c r="HL100" s="60"/>
      <c r="HM100" s="60"/>
      <c r="HN100" s="60"/>
      <c r="HO100" s="60"/>
      <c r="HP100" s="60"/>
      <c r="HQ100" s="60"/>
      <c r="HR100" s="60"/>
      <c r="HS100" s="60"/>
      <c r="HT100" s="60"/>
      <c r="HU100" s="60"/>
      <c r="HV100" s="60"/>
      <c r="HW100" s="60"/>
      <c r="HX100" s="60"/>
      <c r="HY100" s="60"/>
      <c r="HZ100" s="60"/>
      <c r="IA100" s="60"/>
      <c r="IB100" s="60"/>
      <c r="IC100" s="60"/>
      <c r="ID100" s="60"/>
      <c r="IE100" s="60"/>
      <c r="IF100" s="60"/>
      <c r="IG100" s="60"/>
      <c r="IH100" s="60"/>
      <c r="II100" s="60"/>
      <c r="IJ100" s="60"/>
      <c r="IK100" s="60"/>
      <c r="IL100" s="60"/>
      <c r="IM100" s="60"/>
      <c r="IN100" s="60"/>
      <c r="IO100" s="60"/>
      <c r="IP100" s="60"/>
      <c r="IQ100" s="60"/>
      <c r="IR100" s="60"/>
      <c r="IS100" s="60"/>
      <c r="IT100" s="60"/>
      <c r="IU100" s="60"/>
      <c r="IV100" s="60"/>
      <c r="IW100" s="60"/>
      <c r="IX100" s="60"/>
      <c r="IY100" s="60"/>
      <c r="IZ100" s="60"/>
      <c r="JA100" s="60"/>
      <c r="JB100" s="60"/>
      <c r="JC100" s="60"/>
      <c r="JD100" s="60"/>
      <c r="JE100" s="60"/>
      <c r="JF100" s="60"/>
      <c r="JG100" s="60"/>
      <c r="JH100" s="60"/>
      <c r="JI100" s="60"/>
      <c r="JJ100" s="60"/>
      <c r="JK100" s="60"/>
      <c r="JL100" s="60"/>
      <c r="JM100" s="60"/>
      <c r="JN100" s="60"/>
      <c r="JO100" s="60"/>
      <c r="JP100" s="60"/>
      <c r="JQ100" s="60"/>
      <c r="JR100" s="60"/>
      <c r="JS100" s="60"/>
      <c r="JT100" s="60"/>
      <c r="JU100" s="60"/>
      <c r="JV100" s="60"/>
      <c r="JW100" s="60"/>
      <c r="JX100" s="60"/>
      <c r="JY100" s="60"/>
      <c r="JZ100" s="60"/>
      <c r="KA100" s="60"/>
      <c r="KB100" s="60"/>
      <c r="KC100" s="60"/>
      <c r="KD100" s="60"/>
      <c r="KE100" s="60"/>
      <c r="KF100" s="60"/>
      <c r="KG100" s="60"/>
      <c r="KH100" s="60"/>
      <c r="KI100" s="60"/>
      <c r="KJ100" s="60"/>
      <c r="KK100" s="60"/>
      <c r="KL100" s="60"/>
      <c r="KM100" s="60"/>
      <c r="KN100" s="60"/>
      <c r="KO100" s="60"/>
      <c r="KP100" s="60"/>
      <c r="KQ100" s="60"/>
      <c r="KR100" s="60"/>
      <c r="KS100" s="60"/>
      <c r="KT100" s="60"/>
      <c r="KU100" s="60"/>
      <c r="KV100" s="60"/>
      <c r="KW100" s="60"/>
      <c r="KX100" s="60"/>
      <c r="KY100" s="60"/>
      <c r="KZ100" s="60"/>
      <c r="LA100" s="60"/>
      <c r="LB100" s="60"/>
      <c r="LC100" s="60"/>
      <c r="LD100" s="60"/>
      <c r="LE100" s="60"/>
      <c r="LF100" s="60"/>
      <c r="LG100" s="60"/>
      <c r="LH100" s="60"/>
    </row>
    <row r="101" spans="1:320" s="17" customFormat="1" x14ac:dyDescent="0.25">
      <c r="A101" s="147"/>
      <c r="E101" s="156"/>
      <c r="F101" s="156"/>
      <c r="G101" s="156"/>
      <c r="H101" s="156"/>
      <c r="I101" s="156"/>
      <c r="J101" s="156"/>
      <c r="K101" s="156"/>
      <c r="L101" s="156"/>
      <c r="M101" s="156"/>
      <c r="N101" s="156"/>
      <c r="O101" s="156"/>
      <c r="P101" s="156"/>
      <c r="Q101" s="156"/>
      <c r="R101" s="156"/>
      <c r="S101" s="156"/>
      <c r="AC101" s="60"/>
      <c r="AD101" s="60"/>
      <c r="AE101" s="60"/>
      <c r="AF101" s="60"/>
      <c r="AG101" s="60"/>
      <c r="AH101" s="60"/>
      <c r="AI101" s="60"/>
      <c r="AJ101" s="60"/>
      <c r="AK101" s="60"/>
      <c r="AL101" s="60"/>
      <c r="AM101" s="60"/>
      <c r="AN101" s="60"/>
      <c r="AO101" s="60"/>
      <c r="AP101" s="60"/>
      <c r="AQ101" s="60"/>
      <c r="AR101" s="60"/>
      <c r="AS101" s="60"/>
      <c r="AT101" s="60"/>
      <c r="AU101" s="60"/>
      <c r="AV101" s="60"/>
      <c r="AW101" s="60"/>
      <c r="AX101" s="60"/>
      <c r="AY101" s="60"/>
      <c r="AZ101" s="60"/>
      <c r="BA101" s="60"/>
      <c r="BB101" s="60"/>
      <c r="BC101" s="60"/>
      <c r="BD101" s="60"/>
      <c r="BE101" s="60"/>
      <c r="BF101" s="60"/>
      <c r="BG101" s="60"/>
      <c r="BH101" s="60"/>
      <c r="BI101" s="60"/>
      <c r="BJ101" s="60"/>
      <c r="BK101" s="60"/>
      <c r="BL101" s="60"/>
      <c r="BM101" s="60"/>
      <c r="BN101" s="60"/>
      <c r="BO101" s="60"/>
      <c r="BP101" s="60"/>
      <c r="BQ101" s="60"/>
      <c r="BR101" s="60"/>
      <c r="BS101" s="60"/>
      <c r="BT101" s="60"/>
      <c r="BU101" s="60"/>
      <c r="BV101" s="60"/>
      <c r="BW101" s="60"/>
      <c r="BX101" s="60"/>
      <c r="BY101" s="60"/>
      <c r="BZ101" s="60"/>
      <c r="CA101" s="60"/>
      <c r="CB101" s="60"/>
      <c r="CC101" s="60"/>
      <c r="CD101" s="60"/>
      <c r="CE101" s="60"/>
      <c r="CF101" s="60"/>
      <c r="CG101" s="60"/>
      <c r="CH101" s="60"/>
      <c r="CI101" s="60"/>
      <c r="CJ101" s="60"/>
      <c r="CK101" s="60"/>
      <c r="CL101" s="60"/>
      <c r="CM101" s="60"/>
      <c r="CN101" s="60"/>
      <c r="CO101" s="60"/>
      <c r="CP101" s="60"/>
      <c r="CQ101" s="60"/>
      <c r="CR101" s="60"/>
      <c r="CS101" s="60"/>
      <c r="CT101" s="60"/>
      <c r="CU101" s="60"/>
      <c r="CV101" s="60"/>
      <c r="CW101" s="60"/>
      <c r="CX101" s="60"/>
      <c r="CY101" s="60"/>
      <c r="CZ101" s="60"/>
      <c r="DA101" s="60"/>
      <c r="DB101" s="60"/>
      <c r="DC101" s="60"/>
      <c r="DD101" s="60"/>
      <c r="DE101" s="60"/>
      <c r="DF101" s="60"/>
      <c r="DG101" s="60"/>
      <c r="DH101" s="60"/>
      <c r="DI101" s="60"/>
      <c r="DJ101" s="60"/>
      <c r="DK101" s="60"/>
      <c r="DL101" s="60"/>
      <c r="DM101" s="60"/>
      <c r="DN101" s="60"/>
      <c r="DO101" s="60"/>
      <c r="DP101" s="60"/>
      <c r="DQ101" s="60"/>
      <c r="DR101" s="60"/>
      <c r="DS101" s="60"/>
      <c r="DT101" s="60"/>
      <c r="DU101" s="60"/>
      <c r="DV101" s="60"/>
      <c r="DW101" s="60"/>
      <c r="DX101" s="60"/>
      <c r="DY101" s="60"/>
      <c r="DZ101" s="60"/>
      <c r="EA101" s="60"/>
      <c r="EB101" s="60"/>
      <c r="EC101" s="60"/>
      <c r="ED101" s="60"/>
      <c r="EE101" s="60"/>
      <c r="EF101" s="60"/>
      <c r="EG101" s="60"/>
      <c r="EH101" s="60"/>
      <c r="EI101" s="60"/>
      <c r="EJ101" s="60"/>
      <c r="EK101" s="60"/>
      <c r="EL101" s="60"/>
      <c r="EM101" s="60"/>
      <c r="EN101" s="60"/>
      <c r="EO101" s="60"/>
      <c r="EP101" s="60"/>
      <c r="EQ101" s="60"/>
      <c r="ER101" s="60"/>
      <c r="ES101" s="60"/>
      <c r="ET101" s="60"/>
      <c r="EU101" s="60"/>
      <c r="EV101" s="60"/>
      <c r="EW101" s="60"/>
      <c r="EX101" s="60"/>
      <c r="EY101" s="60"/>
      <c r="EZ101" s="60"/>
      <c r="FA101" s="60"/>
      <c r="FB101" s="60"/>
      <c r="FC101" s="60"/>
      <c r="FD101" s="60"/>
      <c r="FE101" s="60"/>
      <c r="FF101" s="60"/>
      <c r="FG101" s="60"/>
      <c r="FH101" s="60"/>
      <c r="FI101" s="60"/>
      <c r="FJ101" s="60"/>
      <c r="FK101" s="60"/>
      <c r="FL101" s="60"/>
      <c r="FM101" s="60"/>
      <c r="FN101" s="60"/>
      <c r="FO101" s="60"/>
      <c r="FP101" s="60"/>
      <c r="FQ101" s="60"/>
      <c r="FR101" s="60"/>
      <c r="FS101" s="60"/>
      <c r="FT101" s="60"/>
      <c r="FU101" s="60"/>
      <c r="FV101" s="60"/>
      <c r="FW101" s="60"/>
      <c r="FX101" s="60"/>
      <c r="FY101" s="60"/>
      <c r="FZ101" s="60"/>
      <c r="GA101" s="60"/>
      <c r="GB101" s="60"/>
      <c r="GC101" s="60"/>
      <c r="GD101" s="60"/>
      <c r="GE101" s="60"/>
      <c r="GF101" s="60"/>
      <c r="GG101" s="60"/>
      <c r="GH101" s="60"/>
      <c r="GI101" s="60"/>
      <c r="GJ101" s="60"/>
      <c r="GK101" s="60"/>
      <c r="GL101" s="60"/>
      <c r="GM101" s="60"/>
      <c r="GN101" s="60"/>
      <c r="GO101" s="60"/>
      <c r="GP101" s="60"/>
      <c r="GQ101" s="60"/>
      <c r="GR101" s="60"/>
      <c r="GS101" s="60"/>
      <c r="GT101" s="60"/>
      <c r="GU101" s="60"/>
      <c r="GV101" s="60"/>
      <c r="GW101" s="60"/>
      <c r="GX101" s="60"/>
      <c r="GY101" s="60"/>
      <c r="GZ101" s="60"/>
      <c r="HA101" s="60"/>
      <c r="HB101" s="60"/>
      <c r="HC101" s="60"/>
      <c r="HD101" s="60"/>
      <c r="HE101" s="60"/>
      <c r="HF101" s="60"/>
      <c r="HG101" s="60"/>
      <c r="HH101" s="60"/>
      <c r="HI101" s="60"/>
      <c r="HJ101" s="60"/>
      <c r="HK101" s="60"/>
      <c r="HL101" s="60"/>
      <c r="HM101" s="60"/>
      <c r="HN101" s="60"/>
      <c r="HO101" s="60"/>
      <c r="HP101" s="60"/>
      <c r="HQ101" s="60"/>
      <c r="HR101" s="60"/>
      <c r="HS101" s="60"/>
      <c r="HT101" s="60"/>
      <c r="HU101" s="60"/>
      <c r="HV101" s="60"/>
      <c r="HW101" s="60"/>
      <c r="HX101" s="60"/>
      <c r="HY101" s="60"/>
      <c r="HZ101" s="60"/>
      <c r="IA101" s="60"/>
      <c r="IB101" s="60"/>
      <c r="IC101" s="60"/>
      <c r="ID101" s="60"/>
      <c r="IE101" s="60"/>
      <c r="IF101" s="60"/>
      <c r="IG101" s="60"/>
      <c r="IH101" s="60"/>
      <c r="II101" s="60"/>
      <c r="IJ101" s="60"/>
      <c r="IK101" s="60"/>
      <c r="IL101" s="60"/>
      <c r="IM101" s="60"/>
      <c r="IN101" s="60"/>
      <c r="IO101" s="60"/>
      <c r="IP101" s="60"/>
      <c r="IQ101" s="60"/>
      <c r="IR101" s="60"/>
      <c r="IS101" s="60"/>
      <c r="IT101" s="60"/>
      <c r="IU101" s="60"/>
      <c r="IV101" s="60"/>
      <c r="IW101" s="60"/>
      <c r="IX101" s="60"/>
      <c r="IY101" s="60"/>
      <c r="IZ101" s="60"/>
      <c r="JA101" s="60"/>
      <c r="JB101" s="60"/>
      <c r="JC101" s="60"/>
      <c r="JD101" s="60"/>
      <c r="JE101" s="60"/>
      <c r="JF101" s="60"/>
      <c r="JG101" s="60"/>
      <c r="JH101" s="60"/>
      <c r="JI101" s="60"/>
      <c r="JJ101" s="60"/>
      <c r="JK101" s="60"/>
      <c r="JL101" s="60"/>
      <c r="JM101" s="60"/>
      <c r="JN101" s="60"/>
      <c r="JO101" s="60"/>
      <c r="JP101" s="60"/>
      <c r="JQ101" s="60"/>
      <c r="JR101" s="60"/>
      <c r="JS101" s="60"/>
      <c r="JT101" s="60"/>
      <c r="JU101" s="60"/>
      <c r="JV101" s="60"/>
      <c r="JW101" s="60"/>
      <c r="JX101" s="60"/>
      <c r="JY101" s="60"/>
      <c r="JZ101" s="60"/>
      <c r="KA101" s="60"/>
      <c r="KB101" s="60"/>
      <c r="KC101" s="60"/>
      <c r="KD101" s="60"/>
      <c r="KE101" s="60"/>
      <c r="KF101" s="60"/>
      <c r="KG101" s="60"/>
      <c r="KH101" s="60"/>
      <c r="KI101" s="60"/>
      <c r="KJ101" s="60"/>
      <c r="KK101" s="60"/>
      <c r="KL101" s="60"/>
      <c r="KM101" s="60"/>
      <c r="KN101" s="60"/>
      <c r="KO101" s="60"/>
      <c r="KP101" s="60"/>
      <c r="KQ101" s="60"/>
      <c r="KR101" s="60"/>
      <c r="KS101" s="60"/>
      <c r="KT101" s="60"/>
      <c r="KU101" s="60"/>
      <c r="KV101" s="60"/>
      <c r="KW101" s="60"/>
      <c r="KX101" s="60"/>
      <c r="KY101" s="60"/>
      <c r="KZ101" s="60"/>
      <c r="LA101" s="60"/>
      <c r="LB101" s="60"/>
      <c r="LC101" s="60"/>
      <c r="LD101" s="60"/>
      <c r="LE101" s="60"/>
      <c r="LF101" s="60"/>
      <c r="LG101" s="60"/>
      <c r="LH101" s="60"/>
    </row>
    <row r="102" spans="1:320" s="17" customFormat="1" x14ac:dyDescent="0.25">
      <c r="A102" s="147"/>
      <c r="E102" s="156"/>
      <c r="F102" s="156"/>
      <c r="G102" s="156"/>
      <c r="H102" s="156"/>
      <c r="I102" s="156"/>
      <c r="J102" s="156"/>
      <c r="K102" s="156"/>
      <c r="L102" s="156"/>
      <c r="M102" s="156"/>
      <c r="N102" s="156"/>
      <c r="O102" s="156"/>
      <c r="P102" s="156"/>
      <c r="Q102" s="156"/>
      <c r="R102" s="156"/>
      <c r="S102" s="156"/>
      <c r="AC102" s="60"/>
      <c r="AD102" s="60"/>
      <c r="AE102" s="60"/>
      <c r="AF102" s="60"/>
      <c r="AG102" s="60"/>
      <c r="AH102" s="60"/>
      <c r="AI102" s="60"/>
      <c r="AJ102" s="60"/>
      <c r="AK102" s="60"/>
      <c r="AL102" s="60"/>
      <c r="AM102" s="60"/>
      <c r="AN102" s="60"/>
      <c r="AO102" s="60"/>
      <c r="AP102" s="60"/>
      <c r="AQ102" s="60"/>
      <c r="AR102" s="60"/>
      <c r="AS102" s="60"/>
      <c r="AT102" s="60"/>
      <c r="AU102" s="60"/>
      <c r="AV102" s="60"/>
      <c r="AW102" s="60"/>
      <c r="AX102" s="60"/>
      <c r="AY102" s="60"/>
      <c r="AZ102" s="60"/>
      <c r="BA102" s="60"/>
      <c r="BB102" s="60"/>
      <c r="BC102" s="60"/>
      <c r="BD102" s="60"/>
      <c r="BE102" s="60"/>
      <c r="BF102" s="60"/>
      <c r="BG102" s="60"/>
      <c r="BH102" s="60"/>
      <c r="BI102" s="60"/>
      <c r="BJ102" s="60"/>
      <c r="BK102" s="60"/>
      <c r="BL102" s="60"/>
      <c r="BM102" s="60"/>
      <c r="BN102" s="60"/>
      <c r="BO102" s="60"/>
      <c r="BP102" s="60"/>
      <c r="BQ102" s="60"/>
      <c r="BR102" s="60"/>
      <c r="BS102" s="60"/>
      <c r="BT102" s="60"/>
      <c r="BU102" s="60"/>
      <c r="BV102" s="60"/>
      <c r="BW102" s="60"/>
      <c r="BX102" s="60"/>
      <c r="BY102" s="60"/>
      <c r="BZ102" s="60"/>
      <c r="CA102" s="60"/>
      <c r="CB102" s="60"/>
      <c r="CC102" s="60"/>
      <c r="CD102" s="60"/>
      <c r="CE102" s="60"/>
      <c r="CF102" s="60"/>
      <c r="CG102" s="60"/>
      <c r="CH102" s="60"/>
      <c r="CI102" s="60"/>
      <c r="CJ102" s="60"/>
      <c r="CK102" s="60"/>
      <c r="CL102" s="60"/>
      <c r="CM102" s="60"/>
      <c r="CN102" s="60"/>
      <c r="CO102" s="60"/>
      <c r="CP102" s="60"/>
      <c r="CQ102" s="60"/>
      <c r="CR102" s="60"/>
      <c r="CS102" s="60"/>
      <c r="CT102" s="60"/>
      <c r="CU102" s="60"/>
      <c r="CV102" s="60"/>
      <c r="CW102" s="60"/>
      <c r="CX102" s="60"/>
      <c r="CY102" s="60"/>
      <c r="CZ102" s="60"/>
      <c r="DA102" s="60"/>
      <c r="DB102" s="60"/>
      <c r="DC102" s="60"/>
      <c r="DD102" s="60"/>
      <c r="DE102" s="60"/>
      <c r="DF102" s="60"/>
      <c r="DG102" s="60"/>
      <c r="DH102" s="60"/>
      <c r="DI102" s="60"/>
      <c r="DJ102" s="60"/>
      <c r="DK102" s="60"/>
      <c r="DL102" s="60"/>
      <c r="DM102" s="60"/>
      <c r="DN102" s="60"/>
      <c r="DO102" s="60"/>
      <c r="DP102" s="60"/>
      <c r="DQ102" s="60"/>
      <c r="DR102" s="60"/>
      <c r="DS102" s="60"/>
      <c r="DT102" s="60"/>
      <c r="DU102" s="60"/>
      <c r="DV102" s="60"/>
      <c r="DW102" s="60"/>
      <c r="DX102" s="60"/>
      <c r="DY102" s="60"/>
      <c r="DZ102" s="60"/>
      <c r="EA102" s="60"/>
      <c r="EB102" s="60"/>
      <c r="EC102" s="60"/>
      <c r="ED102" s="60"/>
      <c r="EE102" s="60"/>
      <c r="EF102" s="60"/>
      <c r="EG102" s="60"/>
      <c r="EH102" s="60"/>
      <c r="EI102" s="60"/>
      <c r="EJ102" s="60"/>
      <c r="EK102" s="60"/>
      <c r="EL102" s="60"/>
      <c r="EM102" s="60"/>
      <c r="EN102" s="60"/>
      <c r="EO102" s="60"/>
      <c r="EP102" s="60"/>
      <c r="EQ102" s="60"/>
      <c r="ER102" s="60"/>
      <c r="ES102" s="60"/>
      <c r="ET102" s="60"/>
      <c r="EU102" s="60"/>
      <c r="EV102" s="60"/>
      <c r="EW102" s="60"/>
      <c r="EX102" s="60"/>
      <c r="EY102" s="60"/>
      <c r="EZ102" s="60"/>
      <c r="FA102" s="60"/>
      <c r="FB102" s="60"/>
      <c r="FC102" s="60"/>
      <c r="FD102" s="60"/>
      <c r="FE102" s="60"/>
      <c r="FF102" s="60"/>
      <c r="FG102" s="60"/>
      <c r="FH102" s="60"/>
      <c r="FI102" s="60"/>
      <c r="FJ102" s="60"/>
      <c r="FK102" s="60"/>
      <c r="FL102" s="60"/>
      <c r="FM102" s="60"/>
      <c r="FN102" s="60"/>
      <c r="FO102" s="60"/>
      <c r="FP102" s="60"/>
      <c r="FQ102" s="60"/>
      <c r="FR102" s="60"/>
      <c r="FS102" s="60"/>
      <c r="FT102" s="60"/>
      <c r="FU102" s="60"/>
      <c r="FV102" s="60"/>
      <c r="FW102" s="60"/>
      <c r="FX102" s="60"/>
      <c r="FY102" s="60"/>
      <c r="FZ102" s="60"/>
      <c r="GA102" s="60"/>
      <c r="GB102" s="60"/>
      <c r="GC102" s="60"/>
      <c r="GD102" s="60"/>
      <c r="GE102" s="60"/>
      <c r="GF102" s="60"/>
      <c r="GG102" s="60"/>
      <c r="GH102" s="60"/>
      <c r="GI102" s="60"/>
      <c r="GJ102" s="60"/>
      <c r="GK102" s="60"/>
      <c r="GL102" s="60"/>
      <c r="GM102" s="60"/>
      <c r="GN102" s="60"/>
      <c r="GO102" s="60"/>
      <c r="GP102" s="60"/>
      <c r="GQ102" s="60"/>
      <c r="GR102" s="60"/>
      <c r="GS102" s="60"/>
      <c r="GT102" s="60"/>
      <c r="GU102" s="60"/>
      <c r="GV102" s="60"/>
      <c r="GW102" s="60"/>
      <c r="GX102" s="60"/>
      <c r="GY102" s="60"/>
      <c r="GZ102" s="60"/>
      <c r="HA102" s="60"/>
      <c r="HB102" s="60"/>
      <c r="HC102" s="60"/>
      <c r="HD102" s="60"/>
      <c r="HE102" s="60"/>
      <c r="HF102" s="60"/>
      <c r="HG102" s="60"/>
      <c r="HH102" s="60"/>
      <c r="HI102" s="60"/>
      <c r="HJ102" s="60"/>
      <c r="HK102" s="60"/>
      <c r="HL102" s="60"/>
      <c r="HM102" s="60"/>
      <c r="HN102" s="60"/>
      <c r="HO102" s="60"/>
      <c r="HP102" s="60"/>
      <c r="HQ102" s="60"/>
      <c r="HR102" s="60"/>
      <c r="HS102" s="60"/>
      <c r="HT102" s="60"/>
      <c r="HU102" s="60"/>
      <c r="HV102" s="60"/>
      <c r="HW102" s="60"/>
      <c r="HX102" s="60"/>
      <c r="HY102" s="60"/>
      <c r="HZ102" s="60"/>
      <c r="IA102" s="60"/>
      <c r="IB102" s="60"/>
      <c r="IC102" s="60"/>
      <c r="ID102" s="60"/>
      <c r="IE102" s="60"/>
      <c r="IF102" s="60"/>
      <c r="IG102" s="60"/>
      <c r="IH102" s="60"/>
      <c r="II102" s="60"/>
      <c r="IJ102" s="60"/>
      <c r="IK102" s="60"/>
      <c r="IL102" s="60"/>
      <c r="IM102" s="60"/>
      <c r="IN102" s="60"/>
      <c r="IO102" s="60"/>
      <c r="IP102" s="60"/>
      <c r="IQ102" s="60"/>
      <c r="IR102" s="60"/>
      <c r="IS102" s="60"/>
      <c r="IT102" s="60"/>
      <c r="IU102" s="60"/>
      <c r="IV102" s="60"/>
      <c r="IW102" s="60"/>
      <c r="IX102" s="60"/>
      <c r="IY102" s="60"/>
      <c r="IZ102" s="60"/>
      <c r="JA102" s="60"/>
      <c r="JB102" s="60"/>
      <c r="JC102" s="60"/>
      <c r="JD102" s="60"/>
      <c r="JE102" s="60"/>
      <c r="JF102" s="60"/>
      <c r="JG102" s="60"/>
      <c r="JH102" s="60"/>
      <c r="JI102" s="60"/>
      <c r="JJ102" s="60"/>
      <c r="JK102" s="60"/>
      <c r="JL102" s="60"/>
      <c r="JM102" s="60"/>
      <c r="JN102" s="60"/>
      <c r="JO102" s="60"/>
      <c r="JP102" s="60"/>
      <c r="JQ102" s="60"/>
      <c r="JR102" s="60"/>
      <c r="JS102" s="60"/>
      <c r="JT102" s="60"/>
      <c r="JU102" s="60"/>
      <c r="JV102" s="60"/>
      <c r="JW102" s="60"/>
      <c r="JX102" s="60"/>
      <c r="JY102" s="60"/>
      <c r="JZ102" s="60"/>
      <c r="KA102" s="60"/>
      <c r="KB102" s="60"/>
      <c r="KC102" s="60"/>
      <c r="KD102" s="60"/>
      <c r="KE102" s="60"/>
      <c r="KF102" s="60"/>
      <c r="KG102" s="60"/>
      <c r="KH102" s="60"/>
      <c r="KI102" s="60"/>
      <c r="KJ102" s="60"/>
      <c r="KK102" s="60"/>
      <c r="KL102" s="60"/>
      <c r="KM102" s="60"/>
      <c r="KN102" s="60"/>
      <c r="KO102" s="60"/>
      <c r="KP102" s="60"/>
      <c r="KQ102" s="60"/>
      <c r="KR102" s="60"/>
      <c r="KS102" s="60"/>
      <c r="KT102" s="60"/>
      <c r="KU102" s="60"/>
      <c r="KV102" s="60"/>
      <c r="KW102" s="60"/>
      <c r="KX102" s="60"/>
      <c r="KY102" s="60"/>
      <c r="KZ102" s="60"/>
      <c r="LA102" s="60"/>
      <c r="LB102" s="60"/>
      <c r="LC102" s="60"/>
      <c r="LD102" s="60"/>
      <c r="LE102" s="60"/>
      <c r="LF102" s="60"/>
      <c r="LG102" s="60"/>
      <c r="LH102" s="60"/>
    </row>
    <row r="103" spans="1:320" s="17" customFormat="1" x14ac:dyDescent="0.25">
      <c r="A103" s="147"/>
      <c r="E103" s="156"/>
      <c r="F103" s="156"/>
      <c r="G103" s="156"/>
      <c r="H103" s="156"/>
      <c r="I103" s="156"/>
      <c r="J103" s="156"/>
      <c r="K103" s="156"/>
      <c r="L103" s="156"/>
      <c r="M103" s="156"/>
      <c r="N103" s="156"/>
      <c r="O103" s="156"/>
      <c r="P103" s="156"/>
      <c r="Q103" s="156"/>
      <c r="R103" s="156"/>
      <c r="S103" s="156"/>
      <c r="AC103" s="60"/>
      <c r="AD103" s="60"/>
      <c r="AE103" s="60"/>
      <c r="AF103" s="60"/>
      <c r="AG103" s="60"/>
      <c r="AH103" s="60"/>
      <c r="AI103" s="60"/>
      <c r="AJ103" s="60"/>
      <c r="AK103" s="60"/>
      <c r="AL103" s="60"/>
      <c r="AM103" s="60"/>
      <c r="AN103" s="60"/>
      <c r="AO103" s="60"/>
      <c r="AP103" s="60"/>
      <c r="AQ103" s="60"/>
      <c r="AR103" s="60"/>
      <c r="AS103" s="60"/>
      <c r="AT103" s="60"/>
      <c r="AU103" s="60"/>
      <c r="AV103" s="60"/>
      <c r="AW103" s="60"/>
      <c r="AX103" s="60"/>
      <c r="AY103" s="60"/>
      <c r="AZ103" s="60"/>
      <c r="BA103" s="60"/>
      <c r="BB103" s="60"/>
      <c r="BC103" s="60"/>
      <c r="BD103" s="60"/>
      <c r="BE103" s="60"/>
      <c r="BF103" s="60"/>
      <c r="BG103" s="60"/>
      <c r="BH103" s="60"/>
      <c r="BI103" s="60"/>
      <c r="BJ103" s="60"/>
      <c r="BK103" s="60"/>
      <c r="BL103" s="60"/>
      <c r="BM103" s="60"/>
      <c r="BN103" s="60"/>
      <c r="BO103" s="60"/>
      <c r="BP103" s="60"/>
      <c r="BQ103" s="60"/>
      <c r="BR103" s="60"/>
      <c r="BS103" s="60"/>
      <c r="BT103" s="60"/>
      <c r="BU103" s="60"/>
      <c r="BV103" s="60"/>
      <c r="BW103" s="60"/>
      <c r="BX103" s="60"/>
      <c r="BY103" s="60"/>
      <c r="BZ103" s="60"/>
      <c r="CA103" s="60"/>
      <c r="CB103" s="60"/>
      <c r="CC103" s="60"/>
      <c r="CD103" s="60"/>
      <c r="CE103" s="60"/>
      <c r="CF103" s="60"/>
      <c r="CG103" s="60"/>
      <c r="CH103" s="60"/>
      <c r="CI103" s="60"/>
      <c r="CJ103" s="60"/>
      <c r="CK103" s="60"/>
      <c r="CL103" s="60"/>
      <c r="CM103" s="60"/>
      <c r="CN103" s="60"/>
      <c r="CO103" s="60"/>
      <c r="CP103" s="60"/>
      <c r="CQ103" s="60"/>
      <c r="CR103" s="60"/>
      <c r="CS103" s="60"/>
      <c r="CT103" s="60"/>
      <c r="CU103" s="60"/>
      <c r="CV103" s="60"/>
      <c r="CW103" s="60"/>
      <c r="CX103" s="60"/>
      <c r="CY103" s="60"/>
      <c r="CZ103" s="60"/>
      <c r="DA103" s="60"/>
      <c r="DB103" s="60"/>
      <c r="DC103" s="60"/>
      <c r="DD103" s="60"/>
      <c r="DE103" s="60"/>
      <c r="DF103" s="60"/>
      <c r="DG103" s="60"/>
      <c r="DH103" s="60"/>
      <c r="DI103" s="60"/>
      <c r="DJ103" s="60"/>
      <c r="DK103" s="60"/>
      <c r="DL103" s="60"/>
      <c r="DM103" s="60"/>
      <c r="DN103" s="60"/>
      <c r="DO103" s="60"/>
      <c r="DP103" s="60"/>
      <c r="DQ103" s="60"/>
      <c r="DR103" s="60"/>
      <c r="DS103" s="60"/>
      <c r="DT103" s="60"/>
      <c r="DU103" s="60"/>
      <c r="DV103" s="60"/>
      <c r="DW103" s="60"/>
      <c r="DX103" s="60"/>
      <c r="DY103" s="60"/>
      <c r="DZ103" s="60"/>
      <c r="EA103" s="60"/>
      <c r="EB103" s="60"/>
      <c r="EC103" s="60"/>
      <c r="ED103" s="60"/>
      <c r="EE103" s="60"/>
      <c r="EF103" s="60"/>
      <c r="EG103" s="60"/>
      <c r="EH103" s="60"/>
      <c r="EI103" s="60"/>
      <c r="EJ103" s="60"/>
      <c r="EK103" s="60"/>
      <c r="EL103" s="60"/>
      <c r="EM103" s="60"/>
      <c r="EN103" s="60"/>
      <c r="EO103" s="60"/>
      <c r="EP103" s="60"/>
      <c r="EQ103" s="60"/>
      <c r="ER103" s="60"/>
      <c r="ES103" s="60"/>
      <c r="ET103" s="60"/>
      <c r="EU103" s="60"/>
      <c r="EV103" s="60"/>
      <c r="EW103" s="60"/>
      <c r="EX103" s="60"/>
      <c r="EY103" s="60"/>
      <c r="EZ103" s="60"/>
      <c r="FA103" s="60"/>
      <c r="FB103" s="60"/>
      <c r="FC103" s="60"/>
      <c r="FD103" s="60"/>
      <c r="FE103" s="60"/>
      <c r="FF103" s="60"/>
      <c r="FG103" s="60"/>
      <c r="FH103" s="60"/>
      <c r="FI103" s="60"/>
      <c r="FJ103" s="60"/>
      <c r="FK103" s="60"/>
      <c r="FL103" s="60"/>
      <c r="FM103" s="60"/>
      <c r="FN103" s="60"/>
      <c r="FO103" s="60"/>
      <c r="FP103" s="60"/>
      <c r="FQ103" s="60"/>
      <c r="FR103" s="60"/>
      <c r="FS103" s="60"/>
      <c r="FT103" s="60"/>
      <c r="FU103" s="60"/>
      <c r="FV103" s="60"/>
      <c r="FW103" s="60"/>
      <c r="FX103" s="60"/>
      <c r="FY103" s="60"/>
      <c r="FZ103" s="60"/>
      <c r="GA103" s="60"/>
      <c r="GB103" s="60"/>
      <c r="GC103" s="60"/>
      <c r="GD103" s="60"/>
      <c r="GE103" s="60"/>
      <c r="GF103" s="60"/>
      <c r="GG103" s="60"/>
      <c r="GH103" s="60"/>
      <c r="GI103" s="60"/>
      <c r="GJ103" s="60"/>
      <c r="GK103" s="60"/>
      <c r="GL103" s="60"/>
      <c r="GM103" s="60"/>
      <c r="GN103" s="60"/>
      <c r="GO103" s="60"/>
      <c r="GP103" s="60"/>
      <c r="GQ103" s="60"/>
      <c r="GR103" s="60"/>
      <c r="GS103" s="60"/>
      <c r="GT103" s="60"/>
      <c r="GU103" s="60"/>
      <c r="GV103" s="60"/>
      <c r="GW103" s="60"/>
      <c r="GX103" s="60"/>
      <c r="GY103" s="60"/>
      <c r="GZ103" s="60"/>
      <c r="HA103" s="60"/>
      <c r="HB103" s="60"/>
      <c r="HC103" s="60"/>
      <c r="HD103" s="60"/>
      <c r="HE103" s="60"/>
      <c r="HF103" s="60"/>
      <c r="HG103" s="60"/>
      <c r="HH103" s="60"/>
      <c r="HI103" s="60"/>
      <c r="HJ103" s="60"/>
      <c r="HK103" s="60"/>
      <c r="HL103" s="60"/>
      <c r="HM103" s="60"/>
      <c r="HN103" s="60"/>
      <c r="HO103" s="60"/>
      <c r="HP103" s="60"/>
      <c r="HQ103" s="60"/>
      <c r="HR103" s="60"/>
      <c r="HS103" s="60"/>
      <c r="HT103" s="60"/>
      <c r="HU103" s="60"/>
      <c r="HV103" s="60"/>
      <c r="HW103" s="60"/>
      <c r="HX103" s="60"/>
      <c r="HY103" s="60"/>
      <c r="HZ103" s="60"/>
      <c r="IA103" s="60"/>
      <c r="IB103" s="60"/>
      <c r="IC103" s="60"/>
      <c r="ID103" s="60"/>
      <c r="IE103" s="60"/>
      <c r="IF103" s="60"/>
      <c r="IG103" s="60"/>
      <c r="IH103" s="60"/>
      <c r="II103" s="60"/>
      <c r="IJ103" s="60"/>
      <c r="IK103" s="60"/>
      <c r="IL103" s="60"/>
      <c r="IM103" s="60"/>
      <c r="IN103" s="60"/>
      <c r="IO103" s="60"/>
      <c r="IP103" s="60"/>
      <c r="IQ103" s="60"/>
      <c r="IR103" s="60"/>
      <c r="IS103" s="60"/>
      <c r="IT103" s="60"/>
      <c r="IU103" s="60"/>
      <c r="IV103" s="60"/>
      <c r="IW103" s="60"/>
      <c r="IX103" s="60"/>
      <c r="IY103" s="60"/>
      <c r="IZ103" s="60"/>
      <c r="JA103" s="60"/>
      <c r="JB103" s="60"/>
      <c r="JC103" s="60"/>
      <c r="JD103" s="60"/>
      <c r="JE103" s="60"/>
      <c r="JF103" s="60"/>
      <c r="JG103" s="60"/>
      <c r="JH103" s="60"/>
      <c r="JI103" s="60"/>
      <c r="JJ103" s="60"/>
      <c r="JK103" s="60"/>
      <c r="JL103" s="60"/>
      <c r="JM103" s="60"/>
      <c r="JN103" s="60"/>
      <c r="JO103" s="60"/>
      <c r="JP103" s="60"/>
      <c r="JQ103" s="60"/>
      <c r="JR103" s="60"/>
      <c r="JS103" s="60"/>
      <c r="JT103" s="60"/>
      <c r="JU103" s="60"/>
      <c r="JV103" s="60"/>
      <c r="JW103" s="60"/>
      <c r="JX103" s="60"/>
      <c r="JY103" s="60"/>
      <c r="JZ103" s="60"/>
      <c r="KA103" s="60"/>
      <c r="KB103" s="60"/>
      <c r="KC103" s="60"/>
      <c r="KD103" s="60"/>
      <c r="KE103" s="60"/>
      <c r="KF103" s="60"/>
      <c r="KG103" s="60"/>
      <c r="KH103" s="60"/>
      <c r="KI103" s="60"/>
      <c r="KJ103" s="60"/>
      <c r="KK103" s="60"/>
      <c r="KL103" s="60"/>
      <c r="KM103" s="60"/>
      <c r="KN103" s="60"/>
      <c r="KO103" s="60"/>
      <c r="KP103" s="60"/>
      <c r="KQ103" s="60"/>
      <c r="KR103" s="60"/>
      <c r="KS103" s="60"/>
      <c r="KT103" s="60"/>
      <c r="KU103" s="60"/>
      <c r="KV103" s="60"/>
      <c r="KW103" s="60"/>
      <c r="KX103" s="60"/>
      <c r="KY103" s="60"/>
      <c r="KZ103" s="60"/>
      <c r="LA103" s="60"/>
      <c r="LB103" s="60"/>
      <c r="LC103" s="60"/>
      <c r="LD103" s="60"/>
      <c r="LE103" s="60"/>
      <c r="LF103" s="60"/>
      <c r="LG103" s="60"/>
      <c r="LH103" s="60"/>
    </row>
    <row r="104" spans="1:320" s="17" customFormat="1" x14ac:dyDescent="0.25">
      <c r="A104" s="147"/>
      <c r="E104" s="156"/>
      <c r="F104" s="156"/>
      <c r="G104" s="156"/>
      <c r="H104" s="156"/>
      <c r="I104" s="156"/>
      <c r="J104" s="156"/>
      <c r="K104" s="156"/>
      <c r="L104" s="156"/>
      <c r="M104" s="156"/>
      <c r="N104" s="156"/>
      <c r="O104" s="156"/>
      <c r="P104" s="156"/>
      <c r="Q104" s="156"/>
      <c r="R104" s="156"/>
      <c r="S104" s="156"/>
      <c r="AC104" s="60"/>
      <c r="AD104" s="60"/>
      <c r="AE104" s="60"/>
      <c r="AF104" s="60"/>
      <c r="AG104" s="60"/>
      <c r="AH104" s="60"/>
      <c r="AI104" s="60"/>
      <c r="AJ104" s="60"/>
      <c r="AK104" s="60"/>
      <c r="AL104" s="60"/>
      <c r="AM104" s="60"/>
      <c r="AN104" s="60"/>
      <c r="AO104" s="60"/>
      <c r="AP104" s="60"/>
      <c r="AQ104" s="60"/>
      <c r="AR104" s="60"/>
      <c r="AS104" s="60"/>
      <c r="AT104" s="60"/>
      <c r="AU104" s="60"/>
      <c r="AV104" s="60"/>
      <c r="AW104" s="60"/>
      <c r="AX104" s="60"/>
      <c r="AY104" s="60"/>
      <c r="AZ104" s="60"/>
      <c r="BA104" s="60"/>
      <c r="BB104" s="60"/>
      <c r="BC104" s="60"/>
      <c r="BD104" s="60"/>
      <c r="BE104" s="60"/>
      <c r="BF104" s="60"/>
      <c r="BG104" s="60"/>
      <c r="BH104" s="60"/>
      <c r="BI104" s="60"/>
      <c r="BJ104" s="60"/>
      <c r="BK104" s="60"/>
      <c r="BL104" s="60"/>
      <c r="BM104" s="60"/>
      <c r="BN104" s="60"/>
      <c r="BO104" s="60"/>
      <c r="BP104" s="60"/>
      <c r="BQ104" s="60"/>
      <c r="BR104" s="60"/>
      <c r="BS104" s="60"/>
      <c r="BT104" s="60"/>
      <c r="BU104" s="60"/>
      <c r="BV104" s="60"/>
      <c r="BW104" s="60"/>
      <c r="BX104" s="60"/>
      <c r="BY104" s="60"/>
      <c r="BZ104" s="60"/>
      <c r="CA104" s="60"/>
      <c r="CB104" s="60"/>
      <c r="CC104" s="60"/>
      <c r="CD104" s="60"/>
      <c r="CE104" s="60"/>
      <c r="CF104" s="60"/>
      <c r="CG104" s="60"/>
      <c r="CH104" s="60"/>
      <c r="CI104" s="60"/>
      <c r="CJ104" s="60"/>
      <c r="CK104" s="60"/>
      <c r="CL104" s="60"/>
      <c r="CM104" s="60"/>
      <c r="CN104" s="60"/>
      <c r="CO104" s="60"/>
      <c r="CP104" s="60"/>
      <c r="CQ104" s="60"/>
      <c r="CR104" s="60"/>
      <c r="CS104" s="60"/>
      <c r="CT104" s="60"/>
      <c r="CU104" s="60"/>
      <c r="CV104" s="60"/>
      <c r="CW104" s="60"/>
      <c r="CX104" s="60"/>
      <c r="CY104" s="60"/>
      <c r="CZ104" s="60"/>
      <c r="DA104" s="60"/>
      <c r="DB104" s="60"/>
      <c r="DC104" s="60"/>
      <c r="DD104" s="60"/>
      <c r="DE104" s="60"/>
      <c r="DF104" s="60"/>
      <c r="DG104" s="60"/>
      <c r="DH104" s="60"/>
      <c r="DI104" s="60"/>
      <c r="DJ104" s="60"/>
      <c r="DK104" s="60"/>
      <c r="DL104" s="60"/>
      <c r="DM104" s="60"/>
      <c r="DN104" s="60"/>
      <c r="DO104" s="60"/>
      <c r="DP104" s="60"/>
      <c r="DQ104" s="60"/>
      <c r="DR104" s="60"/>
      <c r="DS104" s="60"/>
      <c r="DT104" s="60"/>
      <c r="DU104" s="60"/>
      <c r="DV104" s="60"/>
      <c r="DW104" s="60"/>
      <c r="DX104" s="60"/>
      <c r="DY104" s="60"/>
      <c r="DZ104" s="60"/>
      <c r="EA104" s="60"/>
      <c r="EB104" s="60"/>
      <c r="EC104" s="60"/>
      <c r="ED104" s="60"/>
      <c r="EE104" s="60"/>
      <c r="EF104" s="60"/>
      <c r="EG104" s="60"/>
      <c r="EH104" s="60"/>
      <c r="EI104" s="60"/>
      <c r="EJ104" s="60"/>
      <c r="EK104" s="60"/>
      <c r="EL104" s="60"/>
      <c r="EM104" s="60"/>
      <c r="EN104" s="60"/>
      <c r="EO104" s="60"/>
      <c r="EP104" s="60"/>
      <c r="EQ104" s="60"/>
      <c r="ER104" s="60"/>
      <c r="ES104" s="60"/>
      <c r="ET104" s="60"/>
      <c r="EU104" s="60"/>
      <c r="EV104" s="60"/>
      <c r="EW104" s="60"/>
      <c r="EX104" s="60"/>
      <c r="EY104" s="60"/>
      <c r="EZ104" s="60"/>
      <c r="FA104" s="60"/>
      <c r="FB104" s="60"/>
      <c r="FC104" s="60"/>
      <c r="FD104" s="60"/>
      <c r="FE104" s="60"/>
      <c r="FF104" s="60"/>
      <c r="FG104" s="60"/>
      <c r="FH104" s="60"/>
      <c r="FI104" s="60"/>
      <c r="FJ104" s="60"/>
      <c r="FK104" s="60"/>
      <c r="FL104" s="60"/>
      <c r="FM104" s="60"/>
      <c r="FN104" s="60"/>
      <c r="FO104" s="60"/>
      <c r="FP104" s="60"/>
      <c r="FQ104" s="60"/>
      <c r="FR104" s="60"/>
      <c r="FS104" s="60"/>
      <c r="FT104" s="60"/>
      <c r="FU104" s="60"/>
      <c r="FV104" s="60"/>
      <c r="FW104" s="60"/>
      <c r="FX104" s="60"/>
      <c r="FY104" s="60"/>
      <c r="FZ104" s="60"/>
      <c r="GA104" s="60"/>
      <c r="GB104" s="60"/>
      <c r="GC104" s="60"/>
      <c r="GD104" s="60"/>
      <c r="GE104" s="60"/>
      <c r="GF104" s="60"/>
      <c r="GG104" s="60"/>
      <c r="GH104" s="60"/>
      <c r="GI104" s="60"/>
      <c r="GJ104" s="60"/>
      <c r="GK104" s="60"/>
      <c r="GL104" s="60"/>
      <c r="GM104" s="60"/>
      <c r="GN104" s="60"/>
      <c r="GO104" s="60"/>
      <c r="GP104" s="60"/>
      <c r="GQ104" s="60"/>
      <c r="GR104" s="60"/>
      <c r="GS104" s="60"/>
      <c r="GT104" s="60"/>
      <c r="GU104" s="60"/>
      <c r="GV104" s="60"/>
      <c r="GW104" s="60"/>
      <c r="GX104" s="60"/>
      <c r="GY104" s="60"/>
      <c r="GZ104" s="60"/>
      <c r="HA104" s="60"/>
      <c r="HB104" s="60"/>
      <c r="HC104" s="60"/>
      <c r="HD104" s="60"/>
      <c r="HE104" s="60"/>
      <c r="HF104" s="60"/>
      <c r="HG104" s="60"/>
      <c r="HH104" s="60"/>
      <c r="HI104" s="60"/>
      <c r="HJ104" s="60"/>
      <c r="HK104" s="60"/>
      <c r="HL104" s="60"/>
      <c r="HM104" s="60"/>
      <c r="HN104" s="60"/>
      <c r="HO104" s="60"/>
      <c r="HP104" s="60"/>
      <c r="HQ104" s="60"/>
      <c r="HR104" s="60"/>
      <c r="HS104" s="60"/>
      <c r="HT104" s="60"/>
      <c r="HU104" s="60"/>
      <c r="HV104" s="60"/>
      <c r="HW104" s="60"/>
      <c r="HX104" s="60"/>
      <c r="HY104" s="60"/>
      <c r="HZ104" s="60"/>
      <c r="IA104" s="60"/>
      <c r="IB104" s="60"/>
      <c r="IC104" s="60"/>
      <c r="ID104" s="60"/>
      <c r="IE104" s="60"/>
      <c r="IF104" s="60"/>
      <c r="IG104" s="60"/>
      <c r="IH104" s="60"/>
      <c r="II104" s="60"/>
      <c r="IJ104" s="60"/>
      <c r="IK104" s="60"/>
      <c r="IL104" s="60"/>
      <c r="IM104" s="60"/>
      <c r="IN104" s="60"/>
      <c r="IO104" s="60"/>
      <c r="IP104" s="60"/>
      <c r="IQ104" s="60"/>
      <c r="IR104" s="60"/>
      <c r="IS104" s="60"/>
      <c r="IT104" s="60"/>
      <c r="IU104" s="60"/>
      <c r="IV104" s="60"/>
      <c r="IW104" s="60"/>
      <c r="IX104" s="60"/>
      <c r="IY104" s="60"/>
      <c r="IZ104" s="60"/>
      <c r="JA104" s="60"/>
      <c r="JB104" s="60"/>
      <c r="JC104" s="60"/>
      <c r="JD104" s="60"/>
      <c r="JE104" s="60"/>
      <c r="JF104" s="60"/>
      <c r="JG104" s="60"/>
      <c r="JH104" s="60"/>
      <c r="JI104" s="60"/>
      <c r="JJ104" s="60"/>
      <c r="JK104" s="60"/>
      <c r="JL104" s="60"/>
      <c r="JM104" s="60"/>
      <c r="JN104" s="60"/>
      <c r="JO104" s="60"/>
      <c r="JP104" s="60"/>
      <c r="JQ104" s="60"/>
      <c r="JR104" s="60"/>
      <c r="JS104" s="60"/>
      <c r="JT104" s="60"/>
      <c r="JU104" s="60"/>
      <c r="JV104" s="60"/>
      <c r="JW104" s="60"/>
      <c r="JX104" s="60"/>
      <c r="JY104" s="60"/>
      <c r="JZ104" s="60"/>
      <c r="KA104" s="60"/>
      <c r="KB104" s="60"/>
      <c r="KC104" s="60"/>
      <c r="KD104" s="60"/>
      <c r="KE104" s="60"/>
      <c r="KF104" s="60"/>
      <c r="KG104" s="60"/>
      <c r="KH104" s="60"/>
      <c r="KI104" s="60"/>
      <c r="KJ104" s="60"/>
      <c r="KK104" s="60"/>
      <c r="KL104" s="60"/>
      <c r="KM104" s="60"/>
      <c r="KN104" s="60"/>
      <c r="KO104" s="60"/>
      <c r="KP104" s="60"/>
      <c r="KQ104" s="60"/>
      <c r="KR104" s="60"/>
      <c r="KS104" s="60"/>
      <c r="KT104" s="60"/>
      <c r="KU104" s="60"/>
      <c r="KV104" s="60"/>
      <c r="KW104" s="60"/>
      <c r="KX104" s="60"/>
      <c r="KY104" s="60"/>
      <c r="KZ104" s="60"/>
      <c r="LA104" s="60"/>
      <c r="LB104" s="60"/>
      <c r="LC104" s="60"/>
      <c r="LD104" s="60"/>
      <c r="LE104" s="60"/>
      <c r="LF104" s="60"/>
      <c r="LG104" s="60"/>
      <c r="LH104" s="60"/>
    </row>
    <row r="105" spans="1:320" s="17" customFormat="1" x14ac:dyDescent="0.25">
      <c r="A105" s="147"/>
      <c r="E105" s="156"/>
      <c r="F105" s="156"/>
      <c r="G105" s="156"/>
      <c r="H105" s="156"/>
      <c r="I105" s="156"/>
      <c r="J105" s="156"/>
      <c r="K105" s="156"/>
      <c r="L105" s="156"/>
      <c r="M105" s="156"/>
      <c r="N105" s="156"/>
      <c r="O105" s="156"/>
      <c r="P105" s="156"/>
      <c r="Q105" s="156"/>
      <c r="R105" s="156"/>
      <c r="S105" s="156"/>
      <c r="AC105" s="60"/>
      <c r="AD105" s="60"/>
      <c r="AE105" s="60"/>
      <c r="AF105" s="60"/>
      <c r="AG105" s="60"/>
      <c r="AH105" s="60"/>
      <c r="AI105" s="60"/>
      <c r="AJ105" s="60"/>
      <c r="AK105" s="60"/>
      <c r="AL105" s="60"/>
      <c r="AM105" s="60"/>
      <c r="AN105" s="60"/>
      <c r="AO105" s="60"/>
      <c r="AP105" s="60"/>
      <c r="AQ105" s="60"/>
      <c r="AR105" s="60"/>
      <c r="AS105" s="60"/>
      <c r="AT105" s="60"/>
      <c r="AU105" s="60"/>
      <c r="AV105" s="60"/>
      <c r="AW105" s="60"/>
      <c r="AX105" s="60"/>
      <c r="AY105" s="60"/>
      <c r="AZ105" s="60"/>
      <c r="BA105" s="60"/>
      <c r="BB105" s="60"/>
      <c r="BC105" s="60"/>
      <c r="BD105" s="60"/>
      <c r="BE105" s="60"/>
      <c r="BF105" s="60"/>
      <c r="BG105" s="60"/>
      <c r="BH105" s="60"/>
      <c r="BI105" s="60"/>
      <c r="BJ105" s="60"/>
      <c r="BK105" s="60"/>
      <c r="BL105" s="60"/>
      <c r="BM105" s="60"/>
      <c r="BN105" s="60"/>
      <c r="BO105" s="60"/>
      <c r="BP105" s="60"/>
      <c r="BQ105" s="60"/>
      <c r="BR105" s="60"/>
      <c r="BS105" s="60"/>
      <c r="BT105" s="60"/>
      <c r="BU105" s="60"/>
      <c r="BV105" s="60"/>
      <c r="BW105" s="60"/>
      <c r="BX105" s="60"/>
      <c r="BY105" s="60"/>
      <c r="BZ105" s="60"/>
      <c r="CA105" s="60"/>
      <c r="CB105" s="60"/>
      <c r="CC105" s="60"/>
      <c r="CD105" s="60"/>
      <c r="CE105" s="60"/>
      <c r="CF105" s="60"/>
      <c r="CG105" s="60"/>
      <c r="CH105" s="60"/>
      <c r="CI105" s="60"/>
      <c r="CJ105" s="60"/>
      <c r="CK105" s="60"/>
      <c r="CL105" s="60"/>
      <c r="CM105" s="60"/>
      <c r="CN105" s="60"/>
      <c r="CO105" s="60"/>
      <c r="CP105" s="60"/>
      <c r="CQ105" s="60"/>
      <c r="CR105" s="60"/>
      <c r="CS105" s="60"/>
      <c r="CT105" s="60"/>
      <c r="CU105" s="60"/>
      <c r="CV105" s="60"/>
      <c r="CW105" s="60"/>
      <c r="CX105" s="60"/>
      <c r="CY105" s="60"/>
      <c r="CZ105" s="60"/>
      <c r="DA105" s="60"/>
      <c r="DB105" s="60"/>
      <c r="DC105" s="60"/>
      <c r="DD105" s="60"/>
      <c r="DE105" s="60"/>
      <c r="DF105" s="60"/>
      <c r="DG105" s="60"/>
      <c r="DH105" s="60"/>
      <c r="DI105" s="60"/>
      <c r="DJ105" s="60"/>
      <c r="DK105" s="60"/>
      <c r="DL105" s="60"/>
      <c r="DM105" s="60"/>
      <c r="DN105" s="60"/>
      <c r="DO105" s="60"/>
      <c r="DP105" s="60"/>
      <c r="DQ105" s="60"/>
      <c r="DR105" s="60"/>
      <c r="DS105" s="60"/>
      <c r="DT105" s="60"/>
      <c r="DU105" s="60"/>
      <c r="DV105" s="60"/>
      <c r="DW105" s="60"/>
      <c r="DX105" s="60"/>
      <c r="DY105" s="60"/>
      <c r="DZ105" s="60"/>
      <c r="EA105" s="60"/>
      <c r="EB105" s="60"/>
      <c r="EC105" s="60"/>
      <c r="ED105" s="60"/>
      <c r="EE105" s="60"/>
      <c r="EF105" s="60"/>
      <c r="EG105" s="60"/>
      <c r="EH105" s="60"/>
      <c r="EI105" s="60"/>
      <c r="EJ105" s="60"/>
      <c r="EK105" s="60"/>
      <c r="EL105" s="60"/>
      <c r="EM105" s="60"/>
      <c r="EN105" s="60"/>
      <c r="EO105" s="60"/>
      <c r="EP105" s="60"/>
      <c r="EQ105" s="60"/>
      <c r="ER105" s="60"/>
      <c r="ES105" s="60"/>
      <c r="ET105" s="60"/>
      <c r="EU105" s="60"/>
      <c r="EV105" s="60"/>
      <c r="EW105" s="60"/>
      <c r="EX105" s="60"/>
      <c r="EY105" s="60"/>
      <c r="EZ105" s="60"/>
      <c r="FA105" s="60"/>
      <c r="FB105" s="60"/>
      <c r="FC105" s="60"/>
      <c r="FD105" s="60"/>
      <c r="FE105" s="60"/>
      <c r="FF105" s="60"/>
      <c r="FG105" s="60"/>
      <c r="FH105" s="60"/>
      <c r="FI105" s="60"/>
      <c r="FJ105" s="60"/>
      <c r="FK105" s="60"/>
      <c r="FL105" s="60"/>
      <c r="FM105" s="60"/>
      <c r="FN105" s="60"/>
      <c r="FO105" s="60"/>
      <c r="FP105" s="60"/>
      <c r="FQ105" s="60"/>
      <c r="FR105" s="60"/>
      <c r="FS105" s="60"/>
      <c r="FT105" s="60"/>
      <c r="FU105" s="60"/>
      <c r="FV105" s="60"/>
      <c r="FW105" s="60"/>
      <c r="FX105" s="60"/>
      <c r="FY105" s="60"/>
      <c r="FZ105" s="60"/>
      <c r="GA105" s="60"/>
      <c r="GB105" s="60"/>
      <c r="GC105" s="60"/>
      <c r="GD105" s="60"/>
      <c r="GE105" s="60"/>
      <c r="GF105" s="60"/>
      <c r="GG105" s="60"/>
      <c r="GH105" s="60"/>
      <c r="GI105" s="60"/>
      <c r="GJ105" s="60"/>
      <c r="GK105" s="60"/>
      <c r="GL105" s="60"/>
      <c r="GM105" s="60"/>
      <c r="GN105" s="60"/>
      <c r="GO105" s="60"/>
      <c r="GP105" s="60"/>
      <c r="GQ105" s="60"/>
      <c r="GR105" s="60"/>
      <c r="GS105" s="60"/>
      <c r="GT105" s="60"/>
      <c r="GU105" s="60"/>
      <c r="GV105" s="60"/>
      <c r="GW105" s="60"/>
      <c r="GX105" s="60"/>
      <c r="GY105" s="60"/>
      <c r="GZ105" s="60"/>
      <c r="HA105" s="60"/>
      <c r="HB105" s="60"/>
      <c r="HC105" s="60"/>
      <c r="HD105" s="60"/>
      <c r="HE105" s="60"/>
      <c r="HF105" s="60"/>
      <c r="HG105" s="60"/>
      <c r="HH105" s="60"/>
      <c r="HI105" s="60"/>
      <c r="HJ105" s="60"/>
      <c r="HK105" s="60"/>
      <c r="HL105" s="60"/>
      <c r="HM105" s="60"/>
      <c r="HN105" s="60"/>
      <c r="HO105" s="60"/>
      <c r="HP105" s="60"/>
      <c r="HQ105" s="60"/>
      <c r="HR105" s="60"/>
      <c r="HS105" s="60"/>
      <c r="HT105" s="60"/>
      <c r="HU105" s="60"/>
      <c r="HV105" s="60"/>
      <c r="HW105" s="60"/>
      <c r="HX105" s="60"/>
      <c r="HY105" s="60"/>
      <c r="HZ105" s="60"/>
      <c r="IA105" s="60"/>
      <c r="IB105" s="60"/>
      <c r="IC105" s="60"/>
      <c r="ID105" s="60"/>
      <c r="IE105" s="60"/>
      <c r="IF105" s="60"/>
      <c r="IG105" s="60"/>
      <c r="IH105" s="60"/>
      <c r="II105" s="60"/>
      <c r="IJ105" s="60"/>
      <c r="IK105" s="60"/>
      <c r="IL105" s="60"/>
      <c r="IM105" s="60"/>
      <c r="IN105" s="60"/>
      <c r="IO105" s="60"/>
      <c r="IP105" s="60"/>
      <c r="IQ105" s="60"/>
      <c r="IR105" s="60"/>
      <c r="IS105" s="60"/>
      <c r="IT105" s="60"/>
      <c r="IU105" s="60"/>
      <c r="IV105" s="60"/>
      <c r="IW105" s="60"/>
      <c r="IX105" s="60"/>
      <c r="IY105" s="60"/>
      <c r="IZ105" s="60"/>
      <c r="JA105" s="60"/>
      <c r="JB105" s="60"/>
      <c r="JC105" s="60"/>
      <c r="JD105" s="60"/>
      <c r="JE105" s="60"/>
      <c r="JF105" s="60"/>
      <c r="JG105" s="60"/>
      <c r="JH105" s="60"/>
      <c r="JI105" s="60"/>
      <c r="JJ105" s="60"/>
      <c r="JK105" s="60"/>
      <c r="JL105" s="60"/>
      <c r="JM105" s="60"/>
      <c r="JN105" s="60"/>
      <c r="JO105" s="60"/>
      <c r="JP105" s="60"/>
      <c r="JQ105" s="60"/>
      <c r="JR105" s="60"/>
      <c r="JS105" s="60"/>
      <c r="JT105" s="60"/>
      <c r="JU105" s="60"/>
      <c r="JV105" s="60"/>
      <c r="JW105" s="60"/>
      <c r="JX105" s="60"/>
      <c r="JY105" s="60"/>
      <c r="JZ105" s="60"/>
      <c r="KA105" s="60"/>
      <c r="KB105" s="60"/>
      <c r="KC105" s="60"/>
      <c r="KD105" s="60"/>
      <c r="KE105" s="60"/>
      <c r="KF105" s="60"/>
      <c r="KG105" s="60"/>
      <c r="KH105" s="60"/>
      <c r="KI105" s="60"/>
      <c r="KJ105" s="60"/>
      <c r="KK105" s="60"/>
      <c r="KL105" s="60"/>
      <c r="KM105" s="60"/>
      <c r="KN105" s="60"/>
      <c r="KO105" s="60"/>
      <c r="KP105" s="60"/>
      <c r="KQ105" s="60"/>
      <c r="KR105" s="60"/>
      <c r="KS105" s="60"/>
      <c r="KT105" s="60"/>
      <c r="KU105" s="60"/>
      <c r="KV105" s="60"/>
      <c r="KW105" s="60"/>
      <c r="KX105" s="60"/>
      <c r="KY105" s="60"/>
      <c r="KZ105" s="60"/>
      <c r="LA105" s="60"/>
      <c r="LB105" s="60"/>
      <c r="LC105" s="60"/>
      <c r="LD105" s="60"/>
      <c r="LE105" s="60"/>
      <c r="LF105" s="60"/>
      <c r="LG105" s="60"/>
      <c r="LH105" s="60"/>
    </row>
    <row r="106" spans="1:320" s="17" customFormat="1" x14ac:dyDescent="0.25">
      <c r="A106" s="147"/>
      <c r="E106" s="156"/>
      <c r="F106" s="156"/>
      <c r="G106" s="156"/>
      <c r="H106" s="156"/>
      <c r="I106" s="156"/>
      <c r="J106" s="156"/>
      <c r="K106" s="156"/>
      <c r="L106" s="156"/>
      <c r="M106" s="156"/>
      <c r="N106" s="156"/>
      <c r="O106" s="156"/>
      <c r="P106" s="156"/>
      <c r="Q106" s="156"/>
      <c r="R106" s="156"/>
      <c r="S106" s="156"/>
      <c r="AC106" s="60"/>
      <c r="AD106" s="60"/>
      <c r="AE106" s="60"/>
      <c r="AF106" s="60"/>
      <c r="AG106" s="60"/>
      <c r="AH106" s="60"/>
      <c r="AI106" s="60"/>
      <c r="AJ106" s="60"/>
      <c r="AK106" s="60"/>
      <c r="AL106" s="60"/>
      <c r="AM106" s="60"/>
      <c r="AN106" s="60"/>
      <c r="AO106" s="60"/>
      <c r="AP106" s="60"/>
      <c r="AQ106" s="60"/>
      <c r="AR106" s="60"/>
      <c r="AS106" s="60"/>
      <c r="AT106" s="60"/>
      <c r="AU106" s="60"/>
      <c r="AV106" s="60"/>
      <c r="AW106" s="60"/>
      <c r="AX106" s="60"/>
      <c r="AY106" s="60"/>
      <c r="AZ106" s="60"/>
      <c r="BA106" s="60"/>
      <c r="BB106" s="60"/>
      <c r="BC106" s="60"/>
      <c r="BD106" s="60"/>
      <c r="BE106" s="60"/>
      <c r="BF106" s="60"/>
      <c r="BG106" s="60"/>
      <c r="BH106" s="60"/>
      <c r="BI106" s="60"/>
      <c r="BJ106" s="60"/>
      <c r="BK106" s="60"/>
      <c r="BL106" s="60"/>
      <c r="BM106" s="60"/>
      <c r="BN106" s="60"/>
      <c r="BO106" s="60"/>
      <c r="BP106" s="60"/>
      <c r="BQ106" s="60"/>
      <c r="BR106" s="60"/>
      <c r="BS106" s="60"/>
      <c r="BT106" s="60"/>
      <c r="BU106" s="60"/>
      <c r="BV106" s="60"/>
      <c r="BW106" s="60"/>
      <c r="BX106" s="60"/>
      <c r="BY106" s="60"/>
      <c r="BZ106" s="60"/>
      <c r="CA106" s="60"/>
      <c r="CB106" s="60"/>
      <c r="CC106" s="60"/>
      <c r="CD106" s="60"/>
      <c r="CE106" s="60"/>
      <c r="CF106" s="60"/>
      <c r="CG106" s="60"/>
      <c r="CH106" s="60"/>
      <c r="CI106" s="60"/>
      <c r="CJ106" s="60"/>
      <c r="CK106" s="60"/>
      <c r="CL106" s="60"/>
      <c r="CM106" s="60"/>
      <c r="CN106" s="60"/>
      <c r="CO106" s="60"/>
      <c r="CP106" s="60"/>
      <c r="CQ106" s="60"/>
      <c r="CR106" s="60"/>
      <c r="CS106" s="60"/>
      <c r="CT106" s="60"/>
      <c r="CU106" s="60"/>
      <c r="CV106" s="60"/>
      <c r="CW106" s="60"/>
      <c r="CX106" s="60"/>
      <c r="CY106" s="60"/>
      <c r="CZ106" s="60"/>
      <c r="DA106" s="60"/>
      <c r="DB106" s="60"/>
      <c r="DC106" s="60"/>
      <c r="DD106" s="60"/>
      <c r="DE106" s="60"/>
      <c r="DF106" s="60"/>
      <c r="DG106" s="60"/>
      <c r="DH106" s="60"/>
      <c r="DI106" s="60"/>
      <c r="DJ106" s="60"/>
      <c r="DK106" s="60"/>
      <c r="DL106" s="60"/>
      <c r="DM106" s="60"/>
      <c r="DN106" s="60"/>
      <c r="DO106" s="60"/>
      <c r="DP106" s="60"/>
      <c r="DQ106" s="60"/>
      <c r="DR106" s="60"/>
      <c r="DS106" s="60"/>
      <c r="DT106" s="60"/>
      <c r="DU106" s="60"/>
      <c r="DV106" s="60"/>
      <c r="DW106" s="60"/>
      <c r="DX106" s="60"/>
      <c r="DY106" s="60"/>
      <c r="DZ106" s="60"/>
      <c r="EA106" s="60"/>
      <c r="EB106" s="60"/>
      <c r="EC106" s="60"/>
      <c r="ED106" s="60"/>
      <c r="EE106" s="60"/>
      <c r="EF106" s="60"/>
      <c r="EG106" s="60"/>
      <c r="EH106" s="60"/>
      <c r="EI106" s="60"/>
      <c r="EJ106" s="60"/>
      <c r="EK106" s="60"/>
      <c r="EL106" s="60"/>
      <c r="EM106" s="60"/>
      <c r="EN106" s="60"/>
      <c r="EO106" s="60"/>
      <c r="EP106" s="60"/>
      <c r="EQ106" s="60"/>
      <c r="ER106" s="60"/>
      <c r="ES106" s="60"/>
      <c r="ET106" s="60"/>
      <c r="EU106" s="60"/>
      <c r="EV106" s="60"/>
      <c r="EW106" s="60"/>
      <c r="EX106" s="60"/>
      <c r="EY106" s="60"/>
      <c r="EZ106" s="60"/>
      <c r="FA106" s="60"/>
      <c r="FB106" s="60"/>
      <c r="FC106" s="60"/>
      <c r="FD106" s="60"/>
      <c r="FE106" s="60"/>
      <c r="FF106" s="60"/>
      <c r="FG106" s="60"/>
      <c r="FH106" s="60"/>
      <c r="FI106" s="60"/>
      <c r="FJ106" s="60"/>
      <c r="FK106" s="60"/>
      <c r="FL106" s="60"/>
      <c r="FM106" s="60"/>
      <c r="FN106" s="60"/>
      <c r="FO106" s="60"/>
      <c r="FP106" s="60"/>
      <c r="FQ106" s="60"/>
      <c r="FR106" s="60"/>
      <c r="FS106" s="60"/>
      <c r="FT106" s="60"/>
      <c r="FU106" s="60"/>
      <c r="FV106" s="60"/>
      <c r="FW106" s="60"/>
      <c r="FX106" s="60"/>
      <c r="FY106" s="60"/>
      <c r="FZ106" s="60"/>
      <c r="GA106" s="60"/>
      <c r="GB106" s="60"/>
      <c r="GC106" s="60"/>
      <c r="GD106" s="60"/>
      <c r="GE106" s="60"/>
      <c r="GF106" s="60"/>
      <c r="GG106" s="60"/>
      <c r="GH106" s="60"/>
      <c r="GI106" s="60"/>
      <c r="GJ106" s="60"/>
      <c r="GK106" s="60"/>
      <c r="GL106" s="60"/>
      <c r="GM106" s="60"/>
      <c r="GN106" s="60"/>
      <c r="GO106" s="60"/>
      <c r="GP106" s="60"/>
      <c r="GQ106" s="60"/>
      <c r="GR106" s="60"/>
      <c r="GS106" s="60"/>
      <c r="GT106" s="60"/>
      <c r="GU106" s="60"/>
      <c r="GV106" s="60"/>
      <c r="GW106" s="60"/>
      <c r="GX106" s="60"/>
      <c r="GY106" s="60"/>
      <c r="GZ106" s="60"/>
      <c r="HA106" s="60"/>
      <c r="HB106" s="60"/>
      <c r="HC106" s="60"/>
      <c r="HD106" s="60"/>
      <c r="HE106" s="60"/>
      <c r="HF106" s="60"/>
      <c r="HG106" s="60"/>
      <c r="HH106" s="60"/>
      <c r="HI106" s="60"/>
      <c r="HJ106" s="60"/>
      <c r="HK106" s="60"/>
      <c r="HL106" s="60"/>
      <c r="HM106" s="60"/>
      <c r="HN106" s="60"/>
      <c r="HO106" s="60"/>
      <c r="HP106" s="60"/>
      <c r="HQ106" s="60"/>
      <c r="HR106" s="60"/>
      <c r="HS106" s="60"/>
      <c r="HT106" s="60"/>
      <c r="HU106" s="60"/>
      <c r="HV106" s="60"/>
      <c r="HW106" s="60"/>
      <c r="HX106" s="60"/>
      <c r="HY106" s="60"/>
      <c r="HZ106" s="60"/>
      <c r="IA106" s="60"/>
      <c r="IB106" s="60"/>
      <c r="IC106" s="60"/>
      <c r="ID106" s="60"/>
      <c r="IE106" s="60"/>
      <c r="IF106" s="60"/>
      <c r="IG106" s="60"/>
      <c r="IH106" s="60"/>
      <c r="II106" s="60"/>
      <c r="IJ106" s="60"/>
      <c r="IK106" s="60"/>
      <c r="IL106" s="60"/>
      <c r="IM106" s="60"/>
      <c r="IN106" s="60"/>
      <c r="IO106" s="60"/>
      <c r="IP106" s="60"/>
      <c r="IQ106" s="60"/>
      <c r="IR106" s="60"/>
      <c r="IS106" s="60"/>
      <c r="IT106" s="60"/>
      <c r="IU106" s="60"/>
      <c r="IV106" s="60"/>
      <c r="IW106" s="60"/>
      <c r="IX106" s="60"/>
      <c r="IY106" s="60"/>
      <c r="IZ106" s="60"/>
      <c r="JA106" s="60"/>
      <c r="JB106" s="60"/>
      <c r="JC106" s="60"/>
      <c r="JD106" s="60"/>
      <c r="JE106" s="60"/>
      <c r="JF106" s="60"/>
      <c r="JG106" s="60"/>
      <c r="JH106" s="60"/>
      <c r="JI106" s="60"/>
      <c r="JJ106" s="60"/>
      <c r="JK106" s="60"/>
      <c r="JL106" s="60"/>
      <c r="JM106" s="60"/>
      <c r="JN106" s="60"/>
      <c r="JO106" s="60"/>
      <c r="JP106" s="60"/>
      <c r="JQ106" s="60"/>
      <c r="JR106" s="60"/>
      <c r="JS106" s="60"/>
      <c r="JT106" s="60"/>
      <c r="JU106" s="60"/>
      <c r="JV106" s="60"/>
      <c r="JW106" s="60"/>
      <c r="JX106" s="60"/>
      <c r="JY106" s="60"/>
      <c r="JZ106" s="60"/>
      <c r="KA106" s="60"/>
      <c r="KB106" s="60"/>
      <c r="KC106" s="60"/>
      <c r="KD106" s="60"/>
      <c r="KE106" s="60"/>
      <c r="KF106" s="60"/>
      <c r="KG106" s="60"/>
      <c r="KH106" s="60"/>
      <c r="KI106" s="60"/>
      <c r="KJ106" s="60"/>
      <c r="KK106" s="60"/>
      <c r="KL106" s="60"/>
      <c r="KM106" s="60"/>
      <c r="KN106" s="60"/>
      <c r="KO106" s="60"/>
      <c r="KP106" s="60"/>
      <c r="KQ106" s="60"/>
      <c r="KR106" s="60"/>
      <c r="KS106" s="60"/>
      <c r="KT106" s="60"/>
      <c r="KU106" s="60"/>
      <c r="KV106" s="60"/>
      <c r="KW106" s="60"/>
      <c r="KX106" s="60"/>
      <c r="KY106" s="60"/>
      <c r="KZ106" s="60"/>
      <c r="LA106" s="60"/>
      <c r="LB106" s="60"/>
      <c r="LC106" s="60"/>
      <c r="LD106" s="60"/>
      <c r="LE106" s="60"/>
      <c r="LF106" s="60"/>
      <c r="LG106" s="60"/>
      <c r="LH106" s="60"/>
    </row>
    <row r="107" spans="1:320" s="17" customFormat="1" x14ac:dyDescent="0.25">
      <c r="A107" s="147"/>
      <c r="E107" s="156"/>
      <c r="F107" s="156"/>
      <c r="G107" s="156"/>
      <c r="H107" s="156"/>
      <c r="I107" s="156"/>
      <c r="J107" s="156"/>
      <c r="K107" s="156"/>
      <c r="L107" s="156"/>
      <c r="M107" s="156"/>
      <c r="N107" s="156"/>
      <c r="O107" s="156"/>
      <c r="P107" s="156"/>
      <c r="Q107" s="156"/>
      <c r="R107" s="156"/>
      <c r="S107" s="156"/>
      <c r="AC107" s="60"/>
      <c r="AD107" s="60"/>
      <c r="AE107" s="60"/>
      <c r="AF107" s="60"/>
      <c r="AG107" s="60"/>
      <c r="AH107" s="60"/>
      <c r="AI107" s="60"/>
      <c r="AJ107" s="60"/>
      <c r="AK107" s="60"/>
      <c r="AL107" s="60"/>
      <c r="AM107" s="60"/>
      <c r="AN107" s="60"/>
      <c r="AO107" s="60"/>
      <c r="AP107" s="60"/>
      <c r="AQ107" s="60"/>
      <c r="AR107" s="60"/>
      <c r="AS107" s="60"/>
      <c r="AT107" s="60"/>
      <c r="AU107" s="60"/>
      <c r="AV107" s="60"/>
      <c r="AW107" s="60"/>
      <c r="AX107" s="60"/>
      <c r="AY107" s="60"/>
      <c r="AZ107" s="60"/>
      <c r="BA107" s="60"/>
      <c r="BB107" s="60"/>
      <c r="BC107" s="60"/>
      <c r="BD107" s="60"/>
      <c r="BE107" s="60"/>
      <c r="BF107" s="60"/>
      <c r="BG107" s="60"/>
      <c r="BH107" s="60"/>
      <c r="BI107" s="60"/>
      <c r="BJ107" s="60"/>
      <c r="BK107" s="60"/>
      <c r="BL107" s="60"/>
      <c r="BM107" s="60"/>
      <c r="BN107" s="60"/>
      <c r="BO107" s="60"/>
      <c r="BP107" s="60"/>
      <c r="BQ107" s="60"/>
      <c r="BR107" s="60"/>
      <c r="BS107" s="60"/>
      <c r="BT107" s="60"/>
      <c r="BU107" s="60"/>
      <c r="BV107" s="60"/>
      <c r="BW107" s="60"/>
      <c r="BX107" s="60"/>
      <c r="BY107" s="60"/>
      <c r="BZ107" s="60"/>
      <c r="CA107" s="60"/>
      <c r="CB107" s="60"/>
      <c r="CC107" s="60"/>
      <c r="CD107" s="60"/>
      <c r="CE107" s="60"/>
      <c r="CF107" s="60"/>
      <c r="CG107" s="60"/>
      <c r="CH107" s="60"/>
      <c r="CI107" s="60"/>
      <c r="CJ107" s="60"/>
      <c r="CK107" s="60"/>
      <c r="CL107" s="60"/>
      <c r="CM107" s="60"/>
      <c r="CN107" s="60"/>
      <c r="CO107" s="60"/>
      <c r="CP107" s="60"/>
      <c r="CQ107" s="60"/>
      <c r="CR107" s="60"/>
      <c r="CS107" s="60"/>
      <c r="CT107" s="60"/>
      <c r="CU107" s="60"/>
      <c r="CV107" s="60"/>
      <c r="CW107" s="60"/>
      <c r="CX107" s="60"/>
      <c r="CY107" s="60"/>
      <c r="CZ107" s="60"/>
      <c r="DA107" s="60"/>
      <c r="DB107" s="60"/>
      <c r="DC107" s="60"/>
      <c r="DD107" s="60"/>
      <c r="DE107" s="60"/>
      <c r="DF107" s="60"/>
      <c r="DG107" s="60"/>
      <c r="DH107" s="60"/>
      <c r="DI107" s="60"/>
      <c r="DJ107" s="60"/>
      <c r="DK107" s="60"/>
      <c r="DL107" s="60"/>
      <c r="DM107" s="60"/>
      <c r="DN107" s="60"/>
      <c r="DO107" s="60"/>
      <c r="DP107" s="60"/>
      <c r="DQ107" s="60"/>
      <c r="DR107" s="60"/>
      <c r="DS107" s="60"/>
      <c r="DT107" s="60"/>
      <c r="DU107" s="60"/>
      <c r="DV107" s="60"/>
      <c r="DW107" s="60"/>
      <c r="DX107" s="60"/>
      <c r="DY107" s="60"/>
      <c r="DZ107" s="60"/>
      <c r="EA107" s="60"/>
      <c r="EB107" s="60"/>
      <c r="EC107" s="60"/>
      <c r="ED107" s="60"/>
      <c r="EE107" s="60"/>
      <c r="EF107" s="60"/>
      <c r="EG107" s="60"/>
      <c r="EH107" s="60"/>
      <c r="EI107" s="60"/>
      <c r="EJ107" s="60"/>
      <c r="EK107" s="60"/>
      <c r="EL107" s="60"/>
      <c r="EM107" s="60"/>
      <c r="EN107" s="60"/>
      <c r="EO107" s="60"/>
      <c r="EP107" s="60"/>
      <c r="EQ107" s="60"/>
      <c r="ER107" s="60"/>
      <c r="ES107" s="60"/>
      <c r="ET107" s="60"/>
      <c r="EU107" s="60"/>
      <c r="EV107" s="60"/>
      <c r="EW107" s="60"/>
      <c r="EX107" s="60"/>
      <c r="EY107" s="60"/>
      <c r="EZ107" s="60"/>
      <c r="FA107" s="60"/>
      <c r="FB107" s="60"/>
      <c r="FC107" s="60"/>
      <c r="FD107" s="60"/>
      <c r="FE107" s="60"/>
      <c r="FF107" s="60"/>
      <c r="FG107" s="60"/>
      <c r="FH107" s="60"/>
      <c r="FI107" s="60"/>
      <c r="FJ107" s="60"/>
      <c r="FK107" s="60"/>
      <c r="FL107" s="60"/>
      <c r="FM107" s="60"/>
      <c r="FN107" s="60"/>
      <c r="FO107" s="60"/>
      <c r="FP107" s="60"/>
      <c r="FQ107" s="60"/>
      <c r="FR107" s="60"/>
      <c r="FS107" s="60"/>
      <c r="FT107" s="60"/>
      <c r="FU107" s="60"/>
      <c r="FV107" s="60"/>
      <c r="FW107" s="60"/>
      <c r="FX107" s="60"/>
      <c r="FY107" s="60"/>
      <c r="FZ107" s="60"/>
      <c r="GA107" s="60"/>
      <c r="GB107" s="60"/>
      <c r="GC107" s="60"/>
      <c r="GD107" s="60"/>
      <c r="GE107" s="60"/>
      <c r="GF107" s="60"/>
      <c r="GG107" s="60"/>
      <c r="GH107" s="60"/>
      <c r="GI107" s="60"/>
      <c r="GJ107" s="60"/>
      <c r="GK107" s="60"/>
      <c r="GL107" s="60"/>
      <c r="GM107" s="60"/>
      <c r="GN107" s="60"/>
      <c r="GO107" s="60"/>
      <c r="GP107" s="60"/>
      <c r="GQ107" s="60"/>
      <c r="GR107" s="60"/>
      <c r="GS107" s="60"/>
      <c r="GT107" s="60"/>
      <c r="GU107" s="60"/>
      <c r="GV107" s="60"/>
      <c r="GW107" s="60"/>
      <c r="GX107" s="60"/>
      <c r="GY107" s="60"/>
      <c r="GZ107" s="60"/>
      <c r="HA107" s="60"/>
      <c r="HB107" s="60"/>
      <c r="HC107" s="60"/>
      <c r="HD107" s="60"/>
      <c r="HE107" s="60"/>
      <c r="HF107" s="60"/>
      <c r="HG107" s="60"/>
      <c r="HH107" s="60"/>
      <c r="HI107" s="60"/>
      <c r="HJ107" s="60"/>
      <c r="HK107" s="60"/>
      <c r="HL107" s="60"/>
      <c r="HM107" s="60"/>
      <c r="HN107" s="60"/>
      <c r="HO107" s="60"/>
      <c r="HP107" s="60"/>
      <c r="HQ107" s="60"/>
      <c r="HR107" s="60"/>
      <c r="HS107" s="60"/>
      <c r="HT107" s="60"/>
      <c r="HU107" s="60"/>
      <c r="HV107" s="60"/>
      <c r="HW107" s="60"/>
      <c r="HX107" s="60"/>
      <c r="HY107" s="60"/>
      <c r="HZ107" s="60"/>
      <c r="IA107" s="60"/>
      <c r="IB107" s="60"/>
      <c r="IC107" s="60"/>
      <c r="ID107" s="60"/>
      <c r="IE107" s="60"/>
      <c r="IF107" s="60"/>
      <c r="IG107" s="60"/>
      <c r="IH107" s="60"/>
      <c r="II107" s="60"/>
      <c r="IJ107" s="60"/>
      <c r="IK107" s="60"/>
      <c r="IL107" s="60"/>
      <c r="IM107" s="60"/>
      <c r="IN107" s="60"/>
      <c r="IO107" s="60"/>
      <c r="IP107" s="60"/>
      <c r="IQ107" s="60"/>
      <c r="IR107" s="60"/>
      <c r="IS107" s="60"/>
      <c r="IT107" s="60"/>
      <c r="IU107" s="60"/>
      <c r="IV107" s="60"/>
      <c r="IW107" s="60"/>
      <c r="IX107" s="60"/>
      <c r="IY107" s="60"/>
      <c r="IZ107" s="60"/>
      <c r="JA107" s="60"/>
      <c r="JB107" s="60"/>
      <c r="JC107" s="60"/>
      <c r="JD107" s="60"/>
      <c r="JE107" s="60"/>
      <c r="JF107" s="60"/>
      <c r="JG107" s="60"/>
      <c r="JH107" s="60"/>
      <c r="JI107" s="60"/>
      <c r="JJ107" s="60"/>
      <c r="JK107" s="60"/>
      <c r="JL107" s="60"/>
      <c r="JM107" s="60"/>
      <c r="JN107" s="60"/>
      <c r="JO107" s="60"/>
      <c r="JP107" s="60"/>
      <c r="JQ107" s="60"/>
      <c r="JR107" s="60"/>
      <c r="JS107" s="60"/>
      <c r="JT107" s="60"/>
      <c r="JU107" s="60"/>
      <c r="JV107" s="60"/>
      <c r="JW107" s="60"/>
      <c r="JX107" s="60"/>
      <c r="JY107" s="60"/>
      <c r="JZ107" s="60"/>
      <c r="KA107" s="60"/>
      <c r="KB107" s="60"/>
      <c r="KC107" s="60"/>
      <c r="KD107" s="60"/>
      <c r="KE107" s="60"/>
      <c r="KF107" s="60"/>
      <c r="KG107" s="60"/>
      <c r="KH107" s="60"/>
      <c r="KI107" s="60"/>
      <c r="KJ107" s="60"/>
      <c r="KK107" s="60"/>
      <c r="KL107" s="60"/>
      <c r="KM107" s="60"/>
      <c r="KN107" s="60"/>
      <c r="KO107" s="60"/>
      <c r="KP107" s="60"/>
      <c r="KQ107" s="60"/>
      <c r="KR107" s="60"/>
      <c r="KS107" s="60"/>
      <c r="KT107" s="60"/>
      <c r="KU107" s="60"/>
      <c r="KV107" s="60"/>
      <c r="KW107" s="60"/>
      <c r="KX107" s="60"/>
      <c r="KY107" s="60"/>
      <c r="KZ107" s="60"/>
      <c r="LA107" s="60"/>
      <c r="LB107" s="60"/>
      <c r="LC107" s="60"/>
      <c r="LD107" s="60"/>
      <c r="LE107" s="60"/>
      <c r="LF107" s="60"/>
      <c r="LG107" s="60"/>
      <c r="LH107" s="60"/>
    </row>
    <row r="108" spans="1:320" s="17" customFormat="1" x14ac:dyDescent="0.25">
      <c r="A108" s="147"/>
      <c r="E108" s="156"/>
      <c r="F108" s="156"/>
      <c r="G108" s="156"/>
      <c r="H108" s="156"/>
      <c r="I108" s="156"/>
      <c r="J108" s="156"/>
      <c r="K108" s="156"/>
      <c r="L108" s="156"/>
      <c r="M108" s="156"/>
      <c r="N108" s="156"/>
      <c r="O108" s="156"/>
      <c r="P108" s="156"/>
      <c r="Q108" s="156"/>
      <c r="R108" s="156"/>
      <c r="S108" s="156"/>
      <c r="AC108" s="60"/>
      <c r="AD108" s="60"/>
      <c r="AE108" s="60"/>
      <c r="AF108" s="60"/>
      <c r="AG108" s="60"/>
      <c r="AH108" s="60"/>
      <c r="AI108" s="60"/>
      <c r="AJ108" s="60"/>
      <c r="AK108" s="60"/>
      <c r="AL108" s="60"/>
      <c r="AM108" s="60"/>
      <c r="AN108" s="60"/>
      <c r="AO108" s="60"/>
      <c r="AP108" s="60"/>
      <c r="AQ108" s="60"/>
      <c r="AR108" s="60"/>
      <c r="AS108" s="60"/>
      <c r="AT108" s="60"/>
      <c r="AU108" s="60"/>
      <c r="AV108" s="60"/>
      <c r="AW108" s="60"/>
      <c r="AX108" s="60"/>
      <c r="AY108" s="60"/>
      <c r="AZ108" s="60"/>
      <c r="BA108" s="60"/>
      <c r="BB108" s="60"/>
      <c r="BC108" s="60"/>
      <c r="BD108" s="60"/>
      <c r="BE108" s="60"/>
      <c r="BF108" s="60"/>
      <c r="BG108" s="60"/>
      <c r="BH108" s="60"/>
      <c r="BI108" s="60"/>
      <c r="BJ108" s="60"/>
      <c r="BK108" s="60"/>
      <c r="BL108" s="60"/>
      <c r="BM108" s="60"/>
      <c r="BN108" s="60"/>
      <c r="BO108" s="60"/>
      <c r="BP108" s="60"/>
      <c r="BQ108" s="60"/>
      <c r="BR108" s="60"/>
      <c r="BS108" s="60"/>
      <c r="BT108" s="60"/>
      <c r="BU108" s="60"/>
      <c r="BV108" s="60"/>
      <c r="BW108" s="60"/>
      <c r="BX108" s="60"/>
      <c r="BY108" s="60"/>
      <c r="BZ108" s="60"/>
      <c r="CA108" s="60"/>
      <c r="CB108" s="60"/>
      <c r="CC108" s="60"/>
      <c r="CD108" s="60"/>
      <c r="CE108" s="60"/>
      <c r="CF108" s="60"/>
      <c r="CG108" s="60"/>
      <c r="CH108" s="60"/>
      <c r="CI108" s="60"/>
      <c r="CJ108" s="60"/>
      <c r="CK108" s="60"/>
      <c r="CL108" s="60"/>
      <c r="CM108" s="60"/>
      <c r="CN108" s="60"/>
      <c r="CO108" s="60"/>
      <c r="CP108" s="60"/>
      <c r="CQ108" s="60"/>
      <c r="CR108" s="60"/>
      <c r="CS108" s="60"/>
      <c r="CT108" s="60"/>
      <c r="CU108" s="60"/>
      <c r="CV108" s="60"/>
      <c r="CW108" s="60"/>
      <c r="CX108" s="60"/>
      <c r="CY108" s="60"/>
      <c r="CZ108" s="60"/>
      <c r="DA108" s="60"/>
      <c r="DB108" s="60"/>
      <c r="DC108" s="60"/>
      <c r="DD108" s="60"/>
      <c r="DE108" s="60"/>
      <c r="DF108" s="60"/>
      <c r="DG108" s="60"/>
      <c r="DH108" s="60"/>
      <c r="DI108" s="60"/>
      <c r="DJ108" s="60"/>
      <c r="DK108" s="60"/>
      <c r="DL108" s="60"/>
      <c r="DM108" s="60"/>
      <c r="DN108" s="60"/>
      <c r="DO108" s="60"/>
      <c r="DP108" s="60"/>
      <c r="DQ108" s="60"/>
      <c r="DR108" s="60"/>
      <c r="DS108" s="60"/>
      <c r="DT108" s="60"/>
      <c r="DU108" s="60"/>
      <c r="DV108" s="60"/>
      <c r="DW108" s="60"/>
      <c r="DX108" s="60"/>
      <c r="DY108" s="60"/>
      <c r="DZ108" s="60"/>
      <c r="EA108" s="60"/>
      <c r="EB108" s="60"/>
      <c r="EC108" s="60"/>
      <c r="ED108" s="60"/>
      <c r="EE108" s="60"/>
      <c r="EF108" s="60"/>
      <c r="EG108" s="60"/>
      <c r="EH108" s="60"/>
      <c r="EI108" s="60"/>
      <c r="EJ108" s="60"/>
      <c r="EK108" s="60"/>
      <c r="EL108" s="60"/>
      <c r="EM108" s="60"/>
      <c r="EN108" s="60"/>
      <c r="EO108" s="60"/>
      <c r="EP108" s="60"/>
      <c r="EQ108" s="60"/>
      <c r="ER108" s="60"/>
      <c r="ES108" s="60"/>
      <c r="ET108" s="60"/>
      <c r="EU108" s="60"/>
      <c r="EV108" s="60"/>
      <c r="EW108" s="60"/>
      <c r="EX108" s="60"/>
      <c r="EY108" s="60"/>
      <c r="EZ108" s="60"/>
      <c r="FA108" s="60"/>
      <c r="FB108" s="60"/>
      <c r="FC108" s="60"/>
      <c r="FD108" s="60"/>
      <c r="FE108" s="60"/>
      <c r="FF108" s="60"/>
      <c r="FG108" s="60"/>
      <c r="FH108" s="60"/>
      <c r="FI108" s="60"/>
      <c r="FJ108" s="60"/>
      <c r="FK108" s="60"/>
      <c r="FL108" s="60"/>
      <c r="FM108" s="60"/>
      <c r="FN108" s="60"/>
      <c r="FO108" s="60"/>
      <c r="FP108" s="60"/>
      <c r="FQ108" s="60"/>
      <c r="FR108" s="60"/>
      <c r="FS108" s="60"/>
      <c r="FT108" s="60"/>
      <c r="FU108" s="60"/>
      <c r="FV108" s="60"/>
      <c r="FW108" s="60"/>
      <c r="FX108" s="60"/>
      <c r="FY108" s="60"/>
      <c r="FZ108" s="60"/>
      <c r="GA108" s="60"/>
      <c r="GB108" s="60"/>
      <c r="GC108" s="60"/>
      <c r="GD108" s="60"/>
      <c r="GE108" s="60"/>
      <c r="GF108" s="60"/>
      <c r="GG108" s="60"/>
      <c r="GH108" s="60"/>
      <c r="GI108" s="60"/>
      <c r="GJ108" s="60"/>
      <c r="GK108" s="60"/>
      <c r="GL108" s="60"/>
      <c r="GM108" s="60"/>
      <c r="GN108" s="60"/>
      <c r="GO108" s="60"/>
      <c r="GP108" s="60"/>
      <c r="GQ108" s="60"/>
      <c r="GR108" s="60"/>
      <c r="GS108" s="60"/>
      <c r="GT108" s="60"/>
      <c r="GU108" s="60"/>
      <c r="GV108" s="60"/>
      <c r="GW108" s="60"/>
      <c r="GX108" s="60"/>
      <c r="GY108" s="60"/>
      <c r="GZ108" s="60"/>
      <c r="HA108" s="60"/>
      <c r="HB108" s="60"/>
      <c r="HC108" s="60"/>
      <c r="HD108" s="60"/>
      <c r="HE108" s="60"/>
      <c r="HF108" s="60"/>
      <c r="HG108" s="60"/>
      <c r="HH108" s="60"/>
      <c r="HI108" s="60"/>
      <c r="HJ108" s="60"/>
      <c r="HK108" s="60"/>
      <c r="HL108" s="60"/>
      <c r="HM108" s="60"/>
      <c r="HN108" s="60"/>
      <c r="HO108" s="60"/>
      <c r="HP108" s="60"/>
      <c r="HQ108" s="60"/>
      <c r="HR108" s="60"/>
      <c r="HS108" s="60"/>
      <c r="HT108" s="60"/>
      <c r="HU108" s="60"/>
      <c r="HV108" s="60"/>
      <c r="HW108" s="60"/>
      <c r="HX108" s="60"/>
      <c r="HY108" s="60"/>
      <c r="HZ108" s="60"/>
      <c r="IA108" s="60"/>
      <c r="IB108" s="60"/>
      <c r="IC108" s="60"/>
      <c r="ID108" s="60"/>
      <c r="IE108" s="60"/>
      <c r="IF108" s="60"/>
      <c r="IG108" s="60"/>
      <c r="IH108" s="60"/>
      <c r="II108" s="60"/>
      <c r="IJ108" s="60"/>
      <c r="IK108" s="60"/>
      <c r="IL108" s="60"/>
      <c r="IM108" s="60"/>
      <c r="IN108" s="60"/>
      <c r="IO108" s="60"/>
      <c r="IP108" s="60"/>
      <c r="IQ108" s="60"/>
      <c r="IR108" s="60"/>
      <c r="IS108" s="60"/>
      <c r="IT108" s="60"/>
      <c r="IU108" s="60"/>
      <c r="IV108" s="60"/>
      <c r="IW108" s="60"/>
      <c r="IX108" s="60"/>
      <c r="IY108" s="60"/>
      <c r="IZ108" s="60"/>
      <c r="JA108" s="60"/>
      <c r="JB108" s="60"/>
      <c r="JC108" s="60"/>
      <c r="JD108" s="60"/>
      <c r="JE108" s="60"/>
      <c r="JF108" s="60"/>
      <c r="JG108" s="60"/>
      <c r="JH108" s="60"/>
      <c r="JI108" s="60"/>
      <c r="JJ108" s="60"/>
      <c r="JK108" s="60"/>
      <c r="JL108" s="60"/>
      <c r="JM108" s="60"/>
      <c r="JN108" s="60"/>
      <c r="JO108" s="60"/>
      <c r="JP108" s="60"/>
      <c r="JQ108" s="60"/>
      <c r="JR108" s="60"/>
      <c r="JS108" s="60"/>
      <c r="JT108" s="60"/>
      <c r="JU108" s="60"/>
      <c r="JV108" s="60"/>
      <c r="JW108" s="60"/>
      <c r="JX108" s="60"/>
      <c r="JY108" s="60"/>
      <c r="JZ108" s="60"/>
      <c r="KA108" s="60"/>
      <c r="KB108" s="60"/>
      <c r="KC108" s="60"/>
      <c r="KD108" s="60"/>
      <c r="KE108" s="60"/>
      <c r="KF108" s="60"/>
      <c r="KG108" s="60"/>
      <c r="KH108" s="60"/>
      <c r="KI108" s="60"/>
      <c r="KJ108" s="60"/>
      <c r="KK108" s="60"/>
      <c r="KL108" s="60"/>
      <c r="KM108" s="60"/>
      <c r="KN108" s="60"/>
      <c r="KO108" s="60"/>
      <c r="KP108" s="60"/>
      <c r="KQ108" s="60"/>
      <c r="KR108" s="60"/>
      <c r="KS108" s="60"/>
      <c r="KT108" s="60"/>
      <c r="KU108" s="60"/>
      <c r="KV108" s="60"/>
      <c r="KW108" s="60"/>
      <c r="KX108" s="60"/>
      <c r="KY108" s="60"/>
      <c r="KZ108" s="60"/>
      <c r="LA108" s="60"/>
      <c r="LB108" s="60"/>
      <c r="LC108" s="60"/>
      <c r="LD108" s="60"/>
      <c r="LE108" s="60"/>
      <c r="LF108" s="60"/>
      <c r="LG108" s="60"/>
      <c r="LH108" s="60"/>
    </row>
    <row r="144" spans="2:320" s="147" customFormat="1" ht="14.1" customHeight="1" x14ac:dyDescent="0.25">
      <c r="B144" s="1"/>
      <c r="C144" s="1"/>
      <c r="D144" s="1"/>
      <c r="E144" s="146"/>
      <c r="F144" s="146"/>
      <c r="G144" s="146"/>
      <c r="H144" s="146"/>
      <c r="I144" s="146"/>
      <c r="J144" s="146"/>
      <c r="K144" s="146"/>
      <c r="L144" s="146"/>
      <c r="M144" s="146"/>
      <c r="N144" s="146"/>
      <c r="O144" s="146"/>
      <c r="P144" s="146"/>
      <c r="Q144" s="146"/>
      <c r="R144" s="146"/>
      <c r="S144" s="146"/>
      <c r="T144" s="17"/>
      <c r="U144" s="17"/>
      <c r="V144" s="17"/>
      <c r="W144" s="17"/>
      <c r="X144" s="17"/>
      <c r="Y144" s="17"/>
      <c r="Z144" s="17"/>
      <c r="AA144" s="17"/>
      <c r="AB144" s="17"/>
      <c r="AC144" s="60"/>
      <c r="AD144" s="60"/>
      <c r="AE144" s="60"/>
      <c r="AF144" s="60"/>
      <c r="AG144" s="60"/>
      <c r="AH144" s="60"/>
      <c r="AI144" s="60"/>
      <c r="AJ144" s="60"/>
      <c r="AK144" s="60"/>
      <c r="AL144" s="60"/>
      <c r="AM144" s="60"/>
      <c r="AN144" s="60"/>
      <c r="AO144" s="60"/>
      <c r="AP144" s="60"/>
      <c r="AQ144" s="60"/>
      <c r="AR144" s="60"/>
      <c r="AS144" s="60"/>
      <c r="AT144" s="60"/>
      <c r="AU144" s="60"/>
      <c r="AV144" s="60"/>
      <c r="AW144" s="60"/>
      <c r="AX144" s="60"/>
      <c r="AY144" s="60"/>
      <c r="AZ144" s="60"/>
      <c r="BA144" s="60"/>
      <c r="BB144" s="60"/>
      <c r="BC144" s="60"/>
      <c r="BD144" s="60"/>
      <c r="BE144" s="60"/>
      <c r="BF144" s="60"/>
      <c r="BG144" s="60"/>
      <c r="BH144" s="60"/>
      <c r="BI144" s="60"/>
      <c r="BJ144" s="60"/>
      <c r="BK144" s="60"/>
      <c r="BL144" s="60"/>
      <c r="BM144" s="60"/>
      <c r="BN144" s="60"/>
      <c r="BO144" s="60"/>
      <c r="BP144" s="60"/>
      <c r="BQ144" s="60"/>
      <c r="BR144" s="60"/>
      <c r="BS144" s="60"/>
      <c r="BT144" s="60"/>
      <c r="BU144" s="60"/>
      <c r="BV144" s="60"/>
      <c r="BW144" s="60"/>
      <c r="BX144" s="60"/>
      <c r="BY144" s="60"/>
      <c r="BZ144" s="60"/>
      <c r="CA144" s="60"/>
      <c r="CB144" s="60"/>
      <c r="CC144" s="60"/>
      <c r="CD144" s="60"/>
      <c r="CE144" s="60"/>
      <c r="CF144" s="60"/>
      <c r="CG144" s="60"/>
      <c r="CH144" s="60"/>
      <c r="CI144" s="60"/>
      <c r="CJ144" s="60"/>
      <c r="CK144" s="60"/>
      <c r="CL144" s="60"/>
      <c r="CM144" s="60"/>
      <c r="CN144" s="60"/>
      <c r="CO144" s="60"/>
      <c r="CP144" s="60"/>
      <c r="CQ144" s="60"/>
      <c r="CR144" s="60"/>
      <c r="CS144" s="60"/>
      <c r="CT144" s="60"/>
      <c r="CU144" s="60"/>
      <c r="CV144" s="60"/>
      <c r="CW144" s="60"/>
      <c r="CX144" s="60"/>
      <c r="CY144" s="60"/>
      <c r="CZ144" s="60"/>
      <c r="DA144" s="60"/>
      <c r="DB144" s="60"/>
      <c r="DC144" s="60"/>
      <c r="DD144" s="60"/>
      <c r="DE144" s="60"/>
      <c r="DF144" s="60"/>
      <c r="DG144" s="60"/>
      <c r="DH144" s="60"/>
      <c r="DI144" s="60"/>
      <c r="DJ144" s="60"/>
      <c r="DK144" s="60"/>
      <c r="DL144" s="60"/>
      <c r="DM144" s="60"/>
      <c r="DN144" s="60"/>
      <c r="DO144" s="60"/>
      <c r="DP144" s="60"/>
      <c r="DQ144" s="60"/>
      <c r="DR144" s="60"/>
      <c r="DS144" s="60"/>
      <c r="DT144" s="60"/>
      <c r="DU144" s="60"/>
      <c r="DV144" s="60"/>
      <c r="DW144" s="60"/>
      <c r="DX144" s="60"/>
      <c r="DY144" s="60"/>
      <c r="DZ144" s="60"/>
      <c r="EA144" s="60"/>
      <c r="EB144" s="60"/>
      <c r="EC144" s="60"/>
      <c r="ED144" s="60"/>
      <c r="EE144" s="60"/>
      <c r="EF144" s="60"/>
      <c r="EG144" s="60"/>
      <c r="EH144" s="60"/>
      <c r="EI144" s="60"/>
      <c r="EJ144" s="60"/>
      <c r="EK144" s="60"/>
      <c r="EL144" s="60"/>
      <c r="EM144" s="60"/>
      <c r="EN144" s="60"/>
      <c r="EO144" s="60"/>
      <c r="EP144" s="60"/>
      <c r="EQ144" s="60"/>
      <c r="ER144" s="60"/>
      <c r="ES144" s="60"/>
      <c r="ET144" s="60"/>
      <c r="EU144" s="60"/>
      <c r="EV144" s="60"/>
      <c r="EW144" s="60"/>
      <c r="EX144" s="60"/>
      <c r="EY144" s="60"/>
      <c r="EZ144" s="60"/>
      <c r="FA144" s="60"/>
      <c r="FB144" s="60"/>
      <c r="FC144" s="60"/>
      <c r="FD144" s="60"/>
      <c r="FE144" s="60"/>
      <c r="FF144" s="60"/>
      <c r="FG144" s="60"/>
      <c r="FH144" s="60"/>
      <c r="FI144" s="60"/>
      <c r="FJ144" s="60"/>
      <c r="FK144" s="60"/>
      <c r="FL144" s="60"/>
      <c r="FM144" s="60"/>
      <c r="FN144" s="60"/>
      <c r="FO144" s="60"/>
      <c r="FP144" s="60"/>
      <c r="FQ144" s="60"/>
      <c r="FR144" s="60"/>
      <c r="FS144" s="60"/>
      <c r="FT144" s="60"/>
      <c r="FU144" s="60"/>
      <c r="FV144" s="60"/>
      <c r="FW144" s="60"/>
      <c r="FX144" s="60"/>
      <c r="FY144" s="60"/>
      <c r="FZ144" s="60"/>
      <c r="GA144" s="60"/>
      <c r="GB144" s="60"/>
      <c r="GC144" s="60"/>
      <c r="GD144" s="60"/>
      <c r="GE144" s="60"/>
      <c r="GF144" s="60"/>
      <c r="GG144" s="60"/>
      <c r="GH144" s="60"/>
      <c r="GI144" s="60"/>
      <c r="GJ144" s="60"/>
      <c r="GK144" s="60"/>
      <c r="GL144" s="60"/>
      <c r="GM144" s="60"/>
      <c r="GN144" s="60"/>
      <c r="GO144" s="60"/>
      <c r="GP144" s="60"/>
      <c r="GQ144" s="60"/>
      <c r="GR144" s="60"/>
      <c r="GS144" s="60"/>
      <c r="GT144" s="60"/>
      <c r="GU144" s="60"/>
      <c r="GV144" s="60"/>
      <c r="GW144" s="60"/>
      <c r="GX144" s="60"/>
      <c r="GY144" s="60"/>
      <c r="GZ144" s="60"/>
      <c r="HA144" s="60"/>
      <c r="HB144" s="60"/>
      <c r="HC144" s="60"/>
      <c r="HD144" s="60"/>
      <c r="HE144" s="60"/>
      <c r="HF144" s="60"/>
      <c r="HG144" s="60"/>
      <c r="HH144" s="60"/>
      <c r="HI144" s="60"/>
      <c r="HJ144" s="60"/>
      <c r="HK144" s="60"/>
      <c r="HL144" s="60"/>
      <c r="HM144" s="60"/>
      <c r="HN144" s="60"/>
      <c r="HO144" s="60"/>
      <c r="HP144" s="60"/>
      <c r="HQ144" s="60"/>
      <c r="HR144" s="60"/>
      <c r="HS144" s="60"/>
      <c r="HT144" s="60"/>
      <c r="HU144" s="60"/>
      <c r="HV144" s="60"/>
      <c r="HW144" s="60"/>
      <c r="HX144" s="60"/>
      <c r="HY144" s="60"/>
      <c r="HZ144" s="60"/>
      <c r="IA144" s="60"/>
      <c r="IB144" s="60"/>
      <c r="IC144" s="60"/>
      <c r="ID144" s="60"/>
      <c r="IE144" s="60"/>
      <c r="IF144" s="60"/>
      <c r="IG144" s="60"/>
      <c r="IH144" s="60"/>
      <c r="II144" s="60"/>
      <c r="IJ144" s="60"/>
      <c r="IK144" s="60"/>
      <c r="IL144" s="60"/>
      <c r="IM144" s="60"/>
      <c r="IN144" s="60"/>
      <c r="IO144" s="60"/>
      <c r="IP144" s="60"/>
      <c r="IQ144" s="60"/>
      <c r="IR144" s="60"/>
      <c r="IS144" s="60"/>
      <c r="IT144" s="60"/>
      <c r="IU144" s="60"/>
      <c r="IV144" s="60"/>
      <c r="IW144" s="60"/>
      <c r="IX144" s="60"/>
      <c r="IY144" s="60"/>
      <c r="IZ144" s="60"/>
      <c r="JA144" s="60"/>
      <c r="JB144" s="60"/>
      <c r="JC144" s="60"/>
      <c r="JD144" s="60"/>
      <c r="JE144" s="60"/>
      <c r="JF144" s="60"/>
      <c r="JG144" s="60"/>
      <c r="JH144" s="60"/>
      <c r="JI144" s="60"/>
      <c r="JJ144" s="60"/>
      <c r="JK144" s="60"/>
      <c r="JL144" s="60"/>
      <c r="JM144" s="60"/>
      <c r="JN144" s="60"/>
      <c r="JO144" s="60"/>
      <c r="JP144" s="60"/>
      <c r="JQ144" s="60"/>
      <c r="JR144" s="60"/>
      <c r="JS144" s="60"/>
      <c r="JT144" s="60"/>
      <c r="JU144" s="60"/>
      <c r="JV144" s="60"/>
      <c r="JW144" s="60"/>
      <c r="JX144" s="60"/>
      <c r="JY144" s="60"/>
      <c r="JZ144" s="60"/>
      <c r="KA144" s="60"/>
      <c r="KB144" s="60"/>
      <c r="KC144" s="60"/>
      <c r="KD144" s="60"/>
      <c r="KE144" s="60"/>
      <c r="KF144" s="60"/>
      <c r="KG144" s="60"/>
      <c r="KH144" s="60"/>
      <c r="KI144" s="60"/>
      <c r="KJ144" s="60"/>
      <c r="KK144" s="60"/>
      <c r="KL144" s="60"/>
      <c r="KM144" s="60"/>
      <c r="KN144" s="60"/>
      <c r="KO144" s="60"/>
      <c r="KP144" s="60"/>
      <c r="KQ144" s="60"/>
      <c r="KR144" s="60"/>
      <c r="KS144" s="60"/>
      <c r="KT144" s="60"/>
      <c r="KU144" s="60"/>
      <c r="KV144" s="60"/>
      <c r="KW144" s="60"/>
      <c r="KX144" s="60"/>
      <c r="KY144" s="60"/>
      <c r="KZ144" s="60"/>
      <c r="LA144" s="60"/>
      <c r="LB144" s="60"/>
      <c r="LC144" s="60"/>
      <c r="LD144" s="60"/>
      <c r="LE144" s="60"/>
      <c r="LF144" s="60"/>
      <c r="LG144" s="60"/>
      <c r="LH144" s="60"/>
    </row>
    <row r="145" spans="1:320" s="147" customFormat="1" ht="14.1" customHeight="1" x14ac:dyDescent="0.25">
      <c r="B145" s="1"/>
      <c r="C145" s="1"/>
      <c r="D145" s="1"/>
      <c r="E145" s="146"/>
      <c r="F145" s="146"/>
      <c r="G145" s="146"/>
      <c r="H145" s="146"/>
      <c r="I145" s="146"/>
      <c r="J145" s="146"/>
      <c r="K145" s="146"/>
      <c r="L145" s="146"/>
      <c r="M145" s="146"/>
      <c r="N145" s="146"/>
      <c r="O145" s="146"/>
      <c r="P145" s="146"/>
      <c r="Q145" s="146"/>
      <c r="R145" s="146"/>
      <c r="S145" s="146"/>
      <c r="T145" s="17"/>
      <c r="U145" s="17"/>
      <c r="V145" s="17"/>
      <c r="W145" s="17"/>
      <c r="X145" s="17"/>
      <c r="Y145" s="17"/>
      <c r="Z145" s="17"/>
      <c r="AA145" s="17"/>
      <c r="AB145" s="17"/>
      <c r="AC145" s="60"/>
      <c r="AD145" s="60"/>
      <c r="AE145" s="60"/>
      <c r="AF145" s="60"/>
      <c r="AG145" s="60"/>
      <c r="AH145" s="60"/>
      <c r="AI145" s="60"/>
      <c r="AJ145" s="60"/>
      <c r="AK145" s="60"/>
      <c r="AL145" s="60"/>
      <c r="AM145" s="60"/>
      <c r="AN145" s="60"/>
      <c r="AO145" s="60"/>
      <c r="AP145" s="60"/>
      <c r="AQ145" s="60"/>
      <c r="AR145" s="60"/>
      <c r="AS145" s="60"/>
      <c r="AT145" s="60"/>
      <c r="AU145" s="60"/>
      <c r="AV145" s="60"/>
      <c r="AW145" s="60"/>
      <c r="AX145" s="60"/>
      <c r="AY145" s="60"/>
      <c r="AZ145" s="60"/>
      <c r="BA145" s="60"/>
      <c r="BB145" s="60"/>
      <c r="BC145" s="60"/>
      <c r="BD145" s="60"/>
      <c r="BE145" s="60"/>
      <c r="BF145" s="60"/>
      <c r="BG145" s="60"/>
      <c r="BH145" s="60"/>
      <c r="BI145" s="60"/>
      <c r="BJ145" s="60"/>
      <c r="BK145" s="60"/>
      <c r="BL145" s="60"/>
      <c r="BM145" s="60"/>
      <c r="BN145" s="60"/>
      <c r="BO145" s="60"/>
      <c r="BP145" s="60"/>
      <c r="BQ145" s="60"/>
      <c r="BR145" s="60"/>
      <c r="BS145" s="60"/>
      <c r="BT145" s="60"/>
      <c r="BU145" s="60"/>
      <c r="BV145" s="60"/>
      <c r="BW145" s="60"/>
      <c r="BX145" s="60"/>
      <c r="BY145" s="60"/>
      <c r="BZ145" s="60"/>
      <c r="CA145" s="60"/>
      <c r="CB145" s="60"/>
      <c r="CC145" s="60"/>
      <c r="CD145" s="60"/>
      <c r="CE145" s="60"/>
      <c r="CF145" s="60"/>
      <c r="CG145" s="60"/>
      <c r="CH145" s="60"/>
      <c r="CI145" s="60"/>
      <c r="CJ145" s="60"/>
      <c r="CK145" s="60"/>
      <c r="CL145" s="60"/>
      <c r="CM145" s="60"/>
      <c r="CN145" s="60"/>
      <c r="CO145" s="60"/>
      <c r="CP145" s="60"/>
      <c r="CQ145" s="60"/>
      <c r="CR145" s="60"/>
      <c r="CS145" s="60"/>
      <c r="CT145" s="60"/>
      <c r="CU145" s="60"/>
      <c r="CV145" s="60"/>
      <c r="CW145" s="60"/>
      <c r="CX145" s="60"/>
      <c r="CY145" s="60"/>
      <c r="CZ145" s="60"/>
      <c r="DA145" s="60"/>
      <c r="DB145" s="60"/>
      <c r="DC145" s="60"/>
      <c r="DD145" s="60"/>
      <c r="DE145" s="60"/>
      <c r="DF145" s="60"/>
      <c r="DG145" s="60"/>
      <c r="DH145" s="60"/>
      <c r="DI145" s="60"/>
      <c r="DJ145" s="60"/>
      <c r="DK145" s="60"/>
      <c r="DL145" s="60"/>
      <c r="DM145" s="60"/>
      <c r="DN145" s="60"/>
      <c r="DO145" s="60"/>
      <c r="DP145" s="60"/>
      <c r="DQ145" s="60"/>
      <c r="DR145" s="60"/>
      <c r="DS145" s="60"/>
      <c r="DT145" s="60"/>
      <c r="DU145" s="60"/>
      <c r="DV145" s="60"/>
      <c r="DW145" s="60"/>
      <c r="DX145" s="60"/>
      <c r="DY145" s="60"/>
      <c r="DZ145" s="60"/>
      <c r="EA145" s="60"/>
      <c r="EB145" s="60"/>
      <c r="EC145" s="60"/>
      <c r="ED145" s="60"/>
      <c r="EE145" s="60"/>
      <c r="EF145" s="60"/>
      <c r="EG145" s="60"/>
      <c r="EH145" s="60"/>
      <c r="EI145" s="60"/>
      <c r="EJ145" s="60"/>
      <c r="EK145" s="60"/>
      <c r="EL145" s="60"/>
      <c r="EM145" s="60"/>
      <c r="EN145" s="60"/>
      <c r="EO145" s="60"/>
      <c r="EP145" s="60"/>
      <c r="EQ145" s="60"/>
      <c r="ER145" s="60"/>
      <c r="ES145" s="60"/>
      <c r="ET145" s="60"/>
      <c r="EU145" s="60"/>
      <c r="EV145" s="60"/>
      <c r="EW145" s="60"/>
      <c r="EX145" s="60"/>
      <c r="EY145" s="60"/>
      <c r="EZ145" s="60"/>
      <c r="FA145" s="60"/>
      <c r="FB145" s="60"/>
      <c r="FC145" s="60"/>
      <c r="FD145" s="60"/>
      <c r="FE145" s="60"/>
      <c r="FF145" s="60"/>
      <c r="FG145" s="60"/>
      <c r="FH145" s="60"/>
      <c r="FI145" s="60"/>
      <c r="FJ145" s="60"/>
      <c r="FK145" s="60"/>
      <c r="FL145" s="60"/>
      <c r="FM145" s="60"/>
      <c r="FN145" s="60"/>
      <c r="FO145" s="60"/>
      <c r="FP145" s="60"/>
      <c r="FQ145" s="60"/>
      <c r="FR145" s="60"/>
      <c r="FS145" s="60"/>
      <c r="FT145" s="60"/>
      <c r="FU145" s="60"/>
      <c r="FV145" s="60"/>
      <c r="FW145" s="60"/>
      <c r="FX145" s="60"/>
      <c r="FY145" s="60"/>
      <c r="FZ145" s="60"/>
      <c r="GA145" s="60"/>
      <c r="GB145" s="60"/>
      <c r="GC145" s="60"/>
      <c r="GD145" s="60"/>
      <c r="GE145" s="60"/>
      <c r="GF145" s="60"/>
      <c r="GG145" s="60"/>
      <c r="GH145" s="60"/>
      <c r="GI145" s="60"/>
      <c r="GJ145" s="60"/>
      <c r="GK145" s="60"/>
      <c r="GL145" s="60"/>
      <c r="GM145" s="60"/>
      <c r="GN145" s="60"/>
      <c r="GO145" s="60"/>
      <c r="GP145" s="60"/>
      <c r="GQ145" s="60"/>
      <c r="GR145" s="60"/>
      <c r="GS145" s="60"/>
      <c r="GT145" s="60"/>
      <c r="GU145" s="60"/>
      <c r="GV145" s="60"/>
      <c r="GW145" s="60"/>
      <c r="GX145" s="60"/>
      <c r="GY145" s="60"/>
      <c r="GZ145" s="60"/>
      <c r="HA145" s="60"/>
      <c r="HB145" s="60"/>
      <c r="HC145" s="60"/>
      <c r="HD145" s="60"/>
      <c r="HE145" s="60"/>
      <c r="HF145" s="60"/>
      <c r="HG145" s="60"/>
      <c r="HH145" s="60"/>
      <c r="HI145" s="60"/>
      <c r="HJ145" s="60"/>
      <c r="HK145" s="60"/>
      <c r="HL145" s="60"/>
      <c r="HM145" s="60"/>
      <c r="HN145" s="60"/>
      <c r="HO145" s="60"/>
      <c r="HP145" s="60"/>
      <c r="HQ145" s="60"/>
      <c r="HR145" s="60"/>
      <c r="HS145" s="60"/>
      <c r="HT145" s="60"/>
      <c r="HU145" s="60"/>
      <c r="HV145" s="60"/>
      <c r="HW145" s="60"/>
      <c r="HX145" s="60"/>
      <c r="HY145" s="60"/>
      <c r="HZ145" s="60"/>
      <c r="IA145" s="60"/>
      <c r="IB145" s="60"/>
      <c r="IC145" s="60"/>
      <c r="ID145" s="60"/>
      <c r="IE145" s="60"/>
      <c r="IF145" s="60"/>
      <c r="IG145" s="60"/>
      <c r="IH145" s="60"/>
      <c r="II145" s="60"/>
      <c r="IJ145" s="60"/>
      <c r="IK145" s="60"/>
      <c r="IL145" s="60"/>
      <c r="IM145" s="60"/>
      <c r="IN145" s="60"/>
      <c r="IO145" s="60"/>
      <c r="IP145" s="60"/>
      <c r="IQ145" s="60"/>
      <c r="IR145" s="60"/>
      <c r="IS145" s="60"/>
      <c r="IT145" s="60"/>
      <c r="IU145" s="60"/>
      <c r="IV145" s="60"/>
      <c r="IW145" s="60"/>
      <c r="IX145" s="60"/>
      <c r="IY145" s="60"/>
      <c r="IZ145" s="60"/>
      <c r="JA145" s="60"/>
      <c r="JB145" s="60"/>
      <c r="JC145" s="60"/>
      <c r="JD145" s="60"/>
      <c r="JE145" s="60"/>
      <c r="JF145" s="60"/>
      <c r="JG145" s="60"/>
      <c r="JH145" s="60"/>
      <c r="JI145" s="60"/>
      <c r="JJ145" s="60"/>
      <c r="JK145" s="60"/>
      <c r="JL145" s="60"/>
      <c r="JM145" s="60"/>
      <c r="JN145" s="60"/>
      <c r="JO145" s="60"/>
      <c r="JP145" s="60"/>
      <c r="JQ145" s="60"/>
      <c r="JR145" s="60"/>
      <c r="JS145" s="60"/>
      <c r="JT145" s="60"/>
      <c r="JU145" s="60"/>
      <c r="JV145" s="60"/>
      <c r="JW145" s="60"/>
      <c r="JX145" s="60"/>
      <c r="JY145" s="60"/>
      <c r="JZ145" s="60"/>
      <c r="KA145" s="60"/>
      <c r="KB145" s="60"/>
      <c r="KC145" s="60"/>
      <c r="KD145" s="60"/>
      <c r="KE145" s="60"/>
      <c r="KF145" s="60"/>
      <c r="KG145" s="60"/>
      <c r="KH145" s="60"/>
      <c r="KI145" s="60"/>
      <c r="KJ145" s="60"/>
      <c r="KK145" s="60"/>
      <c r="KL145" s="60"/>
      <c r="KM145" s="60"/>
      <c r="KN145" s="60"/>
      <c r="KO145" s="60"/>
      <c r="KP145" s="60"/>
      <c r="KQ145" s="60"/>
      <c r="KR145" s="60"/>
      <c r="KS145" s="60"/>
      <c r="KT145" s="60"/>
      <c r="KU145" s="60"/>
      <c r="KV145" s="60"/>
      <c r="KW145" s="60"/>
      <c r="KX145" s="60"/>
      <c r="KY145" s="60"/>
      <c r="KZ145" s="60"/>
      <c r="LA145" s="60"/>
      <c r="LB145" s="60"/>
      <c r="LC145" s="60"/>
      <c r="LD145" s="60"/>
      <c r="LE145" s="60"/>
      <c r="LF145" s="60"/>
      <c r="LG145" s="60"/>
      <c r="LH145" s="60"/>
    </row>
    <row r="146" spans="1:320" s="147" customFormat="1" ht="14.1" customHeight="1" x14ac:dyDescent="0.25">
      <c r="B146" s="1"/>
      <c r="C146" s="1"/>
      <c r="D146" s="1"/>
      <c r="E146" s="146"/>
      <c r="F146" s="146"/>
      <c r="G146" s="146"/>
      <c r="H146" s="146"/>
      <c r="I146" s="146"/>
      <c r="J146" s="146"/>
      <c r="K146" s="146"/>
      <c r="L146" s="146"/>
      <c r="M146" s="146"/>
      <c r="N146" s="146"/>
      <c r="O146" s="146"/>
      <c r="P146" s="146"/>
      <c r="Q146" s="146"/>
      <c r="R146" s="146"/>
      <c r="S146" s="146"/>
      <c r="T146" s="17"/>
      <c r="U146" s="17"/>
      <c r="V146" s="17"/>
      <c r="W146" s="17"/>
      <c r="X146" s="17"/>
      <c r="Y146" s="17"/>
      <c r="Z146" s="17"/>
      <c r="AA146" s="17"/>
      <c r="AB146" s="17"/>
      <c r="AC146" s="60"/>
      <c r="AD146" s="60"/>
      <c r="AE146" s="60"/>
      <c r="AF146" s="60"/>
      <c r="AG146" s="60"/>
      <c r="AH146" s="60"/>
      <c r="AI146" s="60"/>
      <c r="AJ146" s="60"/>
      <c r="AK146" s="60"/>
      <c r="AL146" s="60"/>
      <c r="AM146" s="60"/>
      <c r="AN146" s="60"/>
      <c r="AO146" s="60"/>
      <c r="AP146" s="60"/>
      <c r="AQ146" s="60"/>
      <c r="AR146" s="60"/>
      <c r="AS146" s="60"/>
      <c r="AT146" s="60"/>
      <c r="AU146" s="60"/>
      <c r="AV146" s="60"/>
      <c r="AW146" s="60"/>
      <c r="AX146" s="60"/>
      <c r="AY146" s="60"/>
      <c r="AZ146" s="60"/>
      <c r="BA146" s="60"/>
      <c r="BB146" s="60"/>
      <c r="BC146" s="60"/>
      <c r="BD146" s="60"/>
      <c r="BE146" s="60"/>
      <c r="BF146" s="60"/>
      <c r="BG146" s="60"/>
      <c r="BH146" s="60"/>
      <c r="BI146" s="60"/>
      <c r="BJ146" s="60"/>
      <c r="BK146" s="60"/>
      <c r="BL146" s="60"/>
      <c r="BM146" s="60"/>
      <c r="BN146" s="60"/>
      <c r="BO146" s="60"/>
      <c r="BP146" s="60"/>
      <c r="BQ146" s="60"/>
      <c r="BR146" s="60"/>
      <c r="BS146" s="60"/>
      <c r="BT146" s="60"/>
      <c r="BU146" s="60"/>
      <c r="BV146" s="60"/>
      <c r="BW146" s="60"/>
      <c r="BX146" s="60"/>
      <c r="BY146" s="60"/>
      <c r="BZ146" s="60"/>
      <c r="CA146" s="60"/>
      <c r="CB146" s="60"/>
      <c r="CC146" s="60"/>
      <c r="CD146" s="60"/>
      <c r="CE146" s="60"/>
      <c r="CF146" s="60"/>
      <c r="CG146" s="60"/>
      <c r="CH146" s="60"/>
      <c r="CI146" s="60"/>
      <c r="CJ146" s="60"/>
      <c r="CK146" s="60"/>
      <c r="CL146" s="60"/>
      <c r="CM146" s="60"/>
      <c r="CN146" s="60"/>
      <c r="CO146" s="60"/>
      <c r="CP146" s="60"/>
      <c r="CQ146" s="60"/>
      <c r="CR146" s="60"/>
      <c r="CS146" s="60"/>
      <c r="CT146" s="60"/>
      <c r="CU146" s="60"/>
      <c r="CV146" s="60"/>
      <c r="CW146" s="60"/>
      <c r="CX146" s="60"/>
      <c r="CY146" s="60"/>
      <c r="CZ146" s="60"/>
      <c r="DA146" s="60"/>
      <c r="DB146" s="60"/>
      <c r="DC146" s="60"/>
      <c r="DD146" s="60"/>
      <c r="DE146" s="60"/>
      <c r="DF146" s="60"/>
      <c r="DG146" s="60"/>
      <c r="DH146" s="60"/>
      <c r="DI146" s="60"/>
      <c r="DJ146" s="60"/>
      <c r="DK146" s="60"/>
      <c r="DL146" s="60"/>
      <c r="DM146" s="60"/>
      <c r="DN146" s="60"/>
      <c r="DO146" s="60"/>
      <c r="DP146" s="60"/>
      <c r="DQ146" s="60"/>
      <c r="DR146" s="60"/>
      <c r="DS146" s="60"/>
      <c r="DT146" s="60"/>
      <c r="DU146" s="60"/>
      <c r="DV146" s="60"/>
      <c r="DW146" s="60"/>
      <c r="DX146" s="60"/>
      <c r="DY146" s="60"/>
      <c r="DZ146" s="60"/>
      <c r="EA146" s="60"/>
      <c r="EB146" s="60"/>
      <c r="EC146" s="60"/>
      <c r="ED146" s="60"/>
      <c r="EE146" s="60"/>
      <c r="EF146" s="60"/>
      <c r="EG146" s="60"/>
      <c r="EH146" s="60"/>
      <c r="EI146" s="60"/>
      <c r="EJ146" s="60"/>
      <c r="EK146" s="60"/>
      <c r="EL146" s="60"/>
      <c r="EM146" s="60"/>
      <c r="EN146" s="60"/>
      <c r="EO146" s="60"/>
      <c r="EP146" s="60"/>
      <c r="EQ146" s="60"/>
      <c r="ER146" s="60"/>
      <c r="ES146" s="60"/>
      <c r="ET146" s="60"/>
      <c r="EU146" s="60"/>
      <c r="EV146" s="60"/>
      <c r="EW146" s="60"/>
      <c r="EX146" s="60"/>
      <c r="EY146" s="60"/>
      <c r="EZ146" s="60"/>
      <c r="FA146" s="60"/>
      <c r="FB146" s="60"/>
      <c r="FC146" s="60"/>
      <c r="FD146" s="60"/>
      <c r="FE146" s="60"/>
      <c r="FF146" s="60"/>
      <c r="FG146" s="60"/>
      <c r="FH146" s="60"/>
      <c r="FI146" s="60"/>
      <c r="FJ146" s="60"/>
      <c r="FK146" s="60"/>
      <c r="FL146" s="60"/>
      <c r="FM146" s="60"/>
      <c r="FN146" s="60"/>
      <c r="FO146" s="60"/>
      <c r="FP146" s="60"/>
      <c r="FQ146" s="60"/>
      <c r="FR146" s="60"/>
      <c r="FS146" s="60"/>
      <c r="FT146" s="60"/>
      <c r="FU146" s="60"/>
      <c r="FV146" s="60"/>
      <c r="FW146" s="60"/>
      <c r="FX146" s="60"/>
      <c r="FY146" s="60"/>
      <c r="FZ146" s="60"/>
      <c r="GA146" s="60"/>
      <c r="GB146" s="60"/>
      <c r="GC146" s="60"/>
      <c r="GD146" s="60"/>
      <c r="GE146" s="60"/>
      <c r="GF146" s="60"/>
      <c r="GG146" s="60"/>
      <c r="GH146" s="60"/>
      <c r="GI146" s="60"/>
      <c r="GJ146" s="60"/>
      <c r="GK146" s="60"/>
      <c r="GL146" s="60"/>
      <c r="GM146" s="60"/>
      <c r="GN146" s="60"/>
      <c r="GO146" s="60"/>
      <c r="GP146" s="60"/>
      <c r="GQ146" s="60"/>
      <c r="GR146" s="60"/>
      <c r="GS146" s="60"/>
      <c r="GT146" s="60"/>
      <c r="GU146" s="60"/>
      <c r="GV146" s="60"/>
      <c r="GW146" s="60"/>
      <c r="GX146" s="60"/>
      <c r="GY146" s="60"/>
      <c r="GZ146" s="60"/>
      <c r="HA146" s="60"/>
      <c r="HB146" s="60"/>
      <c r="HC146" s="60"/>
      <c r="HD146" s="60"/>
      <c r="HE146" s="60"/>
      <c r="HF146" s="60"/>
      <c r="HG146" s="60"/>
      <c r="HH146" s="60"/>
      <c r="HI146" s="60"/>
      <c r="HJ146" s="60"/>
      <c r="HK146" s="60"/>
      <c r="HL146" s="60"/>
      <c r="HM146" s="60"/>
      <c r="HN146" s="60"/>
      <c r="HO146" s="60"/>
      <c r="HP146" s="60"/>
      <c r="HQ146" s="60"/>
      <c r="HR146" s="60"/>
      <c r="HS146" s="60"/>
      <c r="HT146" s="60"/>
      <c r="HU146" s="60"/>
      <c r="HV146" s="60"/>
      <c r="HW146" s="60"/>
      <c r="HX146" s="60"/>
      <c r="HY146" s="60"/>
      <c r="HZ146" s="60"/>
      <c r="IA146" s="60"/>
      <c r="IB146" s="60"/>
      <c r="IC146" s="60"/>
      <c r="ID146" s="60"/>
      <c r="IE146" s="60"/>
      <c r="IF146" s="60"/>
      <c r="IG146" s="60"/>
      <c r="IH146" s="60"/>
      <c r="II146" s="60"/>
      <c r="IJ146" s="60"/>
      <c r="IK146" s="60"/>
      <c r="IL146" s="60"/>
      <c r="IM146" s="60"/>
      <c r="IN146" s="60"/>
      <c r="IO146" s="60"/>
      <c r="IP146" s="60"/>
      <c r="IQ146" s="60"/>
      <c r="IR146" s="60"/>
      <c r="IS146" s="60"/>
      <c r="IT146" s="60"/>
      <c r="IU146" s="60"/>
      <c r="IV146" s="60"/>
      <c r="IW146" s="60"/>
      <c r="IX146" s="60"/>
      <c r="IY146" s="60"/>
      <c r="IZ146" s="60"/>
      <c r="JA146" s="60"/>
      <c r="JB146" s="60"/>
      <c r="JC146" s="60"/>
      <c r="JD146" s="60"/>
      <c r="JE146" s="60"/>
      <c r="JF146" s="60"/>
      <c r="JG146" s="60"/>
      <c r="JH146" s="60"/>
      <c r="JI146" s="60"/>
      <c r="JJ146" s="60"/>
      <c r="JK146" s="60"/>
      <c r="JL146" s="60"/>
      <c r="JM146" s="60"/>
      <c r="JN146" s="60"/>
      <c r="JO146" s="60"/>
      <c r="JP146" s="60"/>
      <c r="JQ146" s="60"/>
      <c r="JR146" s="60"/>
      <c r="JS146" s="60"/>
      <c r="JT146" s="60"/>
      <c r="JU146" s="60"/>
      <c r="JV146" s="60"/>
      <c r="JW146" s="60"/>
      <c r="JX146" s="60"/>
      <c r="JY146" s="60"/>
      <c r="JZ146" s="60"/>
      <c r="KA146" s="60"/>
      <c r="KB146" s="60"/>
      <c r="KC146" s="60"/>
      <c r="KD146" s="60"/>
      <c r="KE146" s="60"/>
      <c r="KF146" s="60"/>
      <c r="KG146" s="60"/>
      <c r="KH146" s="60"/>
      <c r="KI146" s="60"/>
      <c r="KJ146" s="60"/>
      <c r="KK146" s="60"/>
      <c r="KL146" s="60"/>
      <c r="KM146" s="60"/>
      <c r="KN146" s="60"/>
      <c r="KO146" s="60"/>
      <c r="KP146" s="60"/>
      <c r="KQ146" s="60"/>
      <c r="KR146" s="60"/>
      <c r="KS146" s="60"/>
      <c r="KT146" s="60"/>
      <c r="KU146" s="60"/>
      <c r="KV146" s="60"/>
      <c r="KW146" s="60"/>
      <c r="KX146" s="60"/>
      <c r="KY146" s="60"/>
      <c r="KZ146" s="60"/>
      <c r="LA146" s="60"/>
      <c r="LB146" s="60"/>
      <c r="LC146" s="60"/>
      <c r="LD146" s="60"/>
      <c r="LE146" s="60"/>
      <c r="LF146" s="60"/>
      <c r="LG146" s="60"/>
      <c r="LH146" s="60"/>
    </row>
    <row r="147" spans="1:320" s="147" customFormat="1" ht="14.1" customHeight="1" x14ac:dyDescent="0.25">
      <c r="B147" s="1"/>
      <c r="C147" s="1"/>
      <c r="D147" s="1"/>
      <c r="E147" s="146"/>
      <c r="F147" s="146"/>
      <c r="G147" s="146"/>
      <c r="H147" s="146"/>
      <c r="I147" s="146"/>
      <c r="J147" s="146"/>
      <c r="K147" s="146"/>
      <c r="L147" s="146"/>
      <c r="M147" s="146"/>
      <c r="N147" s="146"/>
      <c r="O147" s="146"/>
      <c r="P147" s="146"/>
      <c r="Q147" s="146"/>
      <c r="R147" s="146"/>
      <c r="S147" s="146"/>
      <c r="T147" s="17"/>
      <c r="U147" s="17"/>
      <c r="V147" s="17"/>
      <c r="W147" s="17"/>
      <c r="X147" s="17"/>
      <c r="Y147" s="17"/>
      <c r="Z147" s="17"/>
      <c r="AA147" s="17"/>
      <c r="AB147" s="17"/>
      <c r="AC147" s="60"/>
      <c r="AD147" s="60"/>
      <c r="AE147" s="60"/>
      <c r="AF147" s="60"/>
      <c r="AG147" s="60"/>
      <c r="AH147" s="60"/>
      <c r="AI147" s="60"/>
      <c r="AJ147" s="60"/>
      <c r="AK147" s="60"/>
      <c r="AL147" s="60"/>
      <c r="AM147" s="60"/>
      <c r="AN147" s="60"/>
      <c r="AO147" s="60"/>
      <c r="AP147" s="60"/>
      <c r="AQ147" s="60"/>
      <c r="AR147" s="60"/>
      <c r="AS147" s="60"/>
      <c r="AT147" s="60"/>
      <c r="AU147" s="60"/>
      <c r="AV147" s="60"/>
      <c r="AW147" s="60"/>
      <c r="AX147" s="60"/>
      <c r="AY147" s="60"/>
      <c r="AZ147" s="60"/>
      <c r="BA147" s="60"/>
      <c r="BB147" s="60"/>
      <c r="BC147" s="60"/>
      <c r="BD147" s="60"/>
      <c r="BE147" s="60"/>
      <c r="BF147" s="60"/>
      <c r="BG147" s="60"/>
      <c r="BH147" s="60"/>
      <c r="BI147" s="60"/>
      <c r="BJ147" s="60"/>
      <c r="BK147" s="60"/>
      <c r="BL147" s="60"/>
      <c r="BM147" s="60"/>
      <c r="BN147" s="60"/>
      <c r="BO147" s="60"/>
      <c r="BP147" s="60"/>
      <c r="BQ147" s="60"/>
      <c r="BR147" s="60"/>
      <c r="BS147" s="60"/>
      <c r="BT147" s="60"/>
      <c r="BU147" s="60"/>
      <c r="BV147" s="60"/>
      <c r="BW147" s="60"/>
      <c r="BX147" s="60"/>
      <c r="BY147" s="60"/>
      <c r="BZ147" s="60"/>
      <c r="CA147" s="60"/>
      <c r="CB147" s="60"/>
      <c r="CC147" s="60"/>
      <c r="CD147" s="60"/>
      <c r="CE147" s="60"/>
      <c r="CF147" s="60"/>
      <c r="CG147" s="60"/>
      <c r="CH147" s="60"/>
      <c r="CI147" s="60"/>
      <c r="CJ147" s="60"/>
      <c r="CK147" s="60"/>
      <c r="CL147" s="60"/>
      <c r="CM147" s="60"/>
      <c r="CN147" s="60"/>
      <c r="CO147" s="60"/>
      <c r="CP147" s="60"/>
      <c r="CQ147" s="60"/>
      <c r="CR147" s="60"/>
      <c r="CS147" s="60"/>
      <c r="CT147" s="60"/>
      <c r="CU147" s="60"/>
      <c r="CV147" s="60"/>
      <c r="CW147" s="60"/>
      <c r="CX147" s="60"/>
      <c r="CY147" s="60"/>
      <c r="CZ147" s="60"/>
      <c r="DA147" s="60"/>
      <c r="DB147" s="60"/>
      <c r="DC147" s="60"/>
      <c r="DD147" s="60"/>
      <c r="DE147" s="60"/>
      <c r="DF147" s="60"/>
      <c r="DG147" s="60"/>
      <c r="DH147" s="60"/>
      <c r="DI147" s="60"/>
      <c r="DJ147" s="60"/>
      <c r="DK147" s="60"/>
      <c r="DL147" s="60"/>
      <c r="DM147" s="60"/>
      <c r="DN147" s="60"/>
      <c r="DO147" s="60"/>
      <c r="DP147" s="60"/>
      <c r="DQ147" s="60"/>
      <c r="DR147" s="60"/>
      <c r="DS147" s="60"/>
      <c r="DT147" s="60"/>
      <c r="DU147" s="60"/>
      <c r="DV147" s="60"/>
      <c r="DW147" s="60"/>
      <c r="DX147" s="60"/>
      <c r="DY147" s="60"/>
      <c r="DZ147" s="60"/>
      <c r="EA147" s="60"/>
      <c r="EB147" s="60"/>
      <c r="EC147" s="60"/>
      <c r="ED147" s="60"/>
      <c r="EE147" s="60"/>
      <c r="EF147" s="60"/>
      <c r="EG147" s="60"/>
      <c r="EH147" s="60"/>
      <c r="EI147" s="60"/>
      <c r="EJ147" s="60"/>
      <c r="EK147" s="60"/>
      <c r="EL147" s="60"/>
      <c r="EM147" s="60"/>
      <c r="EN147" s="60"/>
      <c r="EO147" s="60"/>
      <c r="EP147" s="60"/>
      <c r="EQ147" s="60"/>
      <c r="ER147" s="60"/>
      <c r="ES147" s="60"/>
      <c r="ET147" s="60"/>
      <c r="EU147" s="60"/>
      <c r="EV147" s="60"/>
      <c r="EW147" s="60"/>
      <c r="EX147" s="60"/>
      <c r="EY147" s="60"/>
      <c r="EZ147" s="60"/>
      <c r="FA147" s="60"/>
      <c r="FB147" s="60"/>
      <c r="FC147" s="60"/>
      <c r="FD147" s="60"/>
      <c r="FE147" s="60"/>
      <c r="FF147" s="60"/>
      <c r="FG147" s="60"/>
      <c r="FH147" s="60"/>
      <c r="FI147" s="60"/>
      <c r="FJ147" s="60"/>
      <c r="FK147" s="60"/>
      <c r="FL147" s="60"/>
      <c r="FM147" s="60"/>
      <c r="FN147" s="60"/>
      <c r="FO147" s="60"/>
      <c r="FP147" s="60"/>
      <c r="FQ147" s="60"/>
      <c r="FR147" s="60"/>
      <c r="FS147" s="60"/>
      <c r="FT147" s="60"/>
      <c r="FU147" s="60"/>
      <c r="FV147" s="60"/>
      <c r="FW147" s="60"/>
      <c r="FX147" s="60"/>
      <c r="FY147" s="60"/>
      <c r="FZ147" s="60"/>
      <c r="GA147" s="60"/>
      <c r="GB147" s="60"/>
      <c r="GC147" s="60"/>
      <c r="GD147" s="60"/>
      <c r="GE147" s="60"/>
      <c r="GF147" s="60"/>
      <c r="GG147" s="60"/>
      <c r="GH147" s="60"/>
      <c r="GI147" s="60"/>
      <c r="GJ147" s="60"/>
      <c r="GK147" s="60"/>
      <c r="GL147" s="60"/>
      <c r="GM147" s="60"/>
      <c r="GN147" s="60"/>
      <c r="GO147" s="60"/>
      <c r="GP147" s="60"/>
      <c r="GQ147" s="60"/>
      <c r="GR147" s="60"/>
      <c r="GS147" s="60"/>
      <c r="GT147" s="60"/>
      <c r="GU147" s="60"/>
      <c r="GV147" s="60"/>
      <c r="GW147" s="60"/>
      <c r="GX147" s="60"/>
      <c r="GY147" s="60"/>
      <c r="GZ147" s="60"/>
      <c r="HA147" s="60"/>
      <c r="HB147" s="60"/>
      <c r="HC147" s="60"/>
      <c r="HD147" s="60"/>
      <c r="HE147" s="60"/>
      <c r="HF147" s="60"/>
      <c r="HG147" s="60"/>
      <c r="HH147" s="60"/>
      <c r="HI147" s="60"/>
      <c r="HJ147" s="60"/>
      <c r="HK147" s="60"/>
      <c r="HL147" s="60"/>
      <c r="HM147" s="60"/>
      <c r="HN147" s="60"/>
      <c r="HO147" s="60"/>
      <c r="HP147" s="60"/>
      <c r="HQ147" s="60"/>
      <c r="HR147" s="60"/>
      <c r="HS147" s="60"/>
      <c r="HT147" s="60"/>
      <c r="HU147" s="60"/>
      <c r="HV147" s="60"/>
      <c r="HW147" s="60"/>
      <c r="HX147" s="60"/>
      <c r="HY147" s="60"/>
      <c r="HZ147" s="60"/>
      <c r="IA147" s="60"/>
      <c r="IB147" s="60"/>
      <c r="IC147" s="60"/>
      <c r="ID147" s="60"/>
      <c r="IE147" s="60"/>
      <c r="IF147" s="60"/>
      <c r="IG147" s="60"/>
      <c r="IH147" s="60"/>
      <c r="II147" s="60"/>
      <c r="IJ147" s="60"/>
      <c r="IK147" s="60"/>
      <c r="IL147" s="60"/>
      <c r="IM147" s="60"/>
      <c r="IN147" s="60"/>
      <c r="IO147" s="60"/>
      <c r="IP147" s="60"/>
      <c r="IQ147" s="60"/>
      <c r="IR147" s="60"/>
      <c r="IS147" s="60"/>
      <c r="IT147" s="60"/>
      <c r="IU147" s="60"/>
      <c r="IV147" s="60"/>
      <c r="IW147" s="60"/>
      <c r="IX147" s="60"/>
      <c r="IY147" s="60"/>
      <c r="IZ147" s="60"/>
      <c r="JA147" s="60"/>
      <c r="JB147" s="60"/>
      <c r="JC147" s="60"/>
      <c r="JD147" s="60"/>
      <c r="JE147" s="60"/>
      <c r="JF147" s="60"/>
      <c r="JG147" s="60"/>
      <c r="JH147" s="60"/>
      <c r="JI147" s="60"/>
      <c r="JJ147" s="60"/>
      <c r="JK147" s="60"/>
      <c r="JL147" s="60"/>
      <c r="JM147" s="60"/>
      <c r="JN147" s="60"/>
      <c r="JO147" s="60"/>
      <c r="JP147" s="60"/>
      <c r="JQ147" s="60"/>
      <c r="JR147" s="60"/>
      <c r="JS147" s="60"/>
      <c r="JT147" s="60"/>
      <c r="JU147" s="60"/>
      <c r="JV147" s="60"/>
      <c r="JW147" s="60"/>
      <c r="JX147" s="60"/>
      <c r="JY147" s="60"/>
      <c r="JZ147" s="60"/>
      <c r="KA147" s="60"/>
      <c r="KB147" s="60"/>
      <c r="KC147" s="60"/>
      <c r="KD147" s="60"/>
      <c r="KE147" s="60"/>
      <c r="KF147" s="60"/>
      <c r="KG147" s="60"/>
      <c r="KH147" s="60"/>
      <c r="KI147" s="60"/>
      <c r="KJ147" s="60"/>
      <c r="KK147" s="60"/>
      <c r="KL147" s="60"/>
      <c r="KM147" s="60"/>
      <c r="KN147" s="60"/>
      <c r="KO147" s="60"/>
      <c r="KP147" s="60"/>
      <c r="KQ147" s="60"/>
      <c r="KR147" s="60"/>
      <c r="KS147" s="60"/>
      <c r="KT147" s="60"/>
      <c r="KU147" s="60"/>
      <c r="KV147" s="60"/>
      <c r="KW147" s="60"/>
      <c r="KX147" s="60"/>
      <c r="KY147" s="60"/>
      <c r="KZ147" s="60"/>
      <c r="LA147" s="60"/>
      <c r="LB147" s="60"/>
      <c r="LC147" s="60"/>
      <c r="LD147" s="60"/>
      <c r="LE147" s="60"/>
      <c r="LF147" s="60"/>
      <c r="LG147" s="60"/>
      <c r="LH147" s="60"/>
    </row>
    <row r="148" spans="1:320" s="146" customFormat="1" ht="14.1" customHeight="1" x14ac:dyDescent="0.25">
      <c r="A148" s="147"/>
      <c r="B148" s="1"/>
      <c r="C148" s="1"/>
      <c r="D148" s="1"/>
      <c r="T148" s="17"/>
      <c r="U148" s="17"/>
      <c r="V148" s="17"/>
      <c r="W148" s="17"/>
      <c r="X148" s="17"/>
      <c r="Y148" s="17"/>
      <c r="Z148" s="17"/>
      <c r="AA148" s="17"/>
      <c r="AB148" s="17"/>
      <c r="AC148" s="60"/>
      <c r="AD148" s="60"/>
      <c r="AE148" s="60"/>
      <c r="AF148" s="60"/>
      <c r="AG148" s="60"/>
      <c r="AH148" s="60"/>
      <c r="AI148" s="60"/>
      <c r="AJ148" s="60"/>
      <c r="AK148" s="60"/>
      <c r="AL148" s="60"/>
      <c r="AM148" s="60"/>
      <c r="AN148" s="60"/>
      <c r="AO148" s="60"/>
      <c r="AP148" s="60"/>
      <c r="AQ148" s="60"/>
      <c r="AR148" s="60"/>
      <c r="AS148" s="60"/>
      <c r="AT148" s="60"/>
      <c r="AU148" s="60"/>
      <c r="AV148" s="60"/>
      <c r="AW148" s="60"/>
      <c r="AX148" s="60"/>
      <c r="AY148" s="60"/>
      <c r="AZ148" s="60"/>
      <c r="BA148" s="60"/>
      <c r="BB148" s="60"/>
      <c r="BC148" s="60"/>
      <c r="BD148" s="60"/>
      <c r="BE148" s="60"/>
      <c r="BF148" s="60"/>
      <c r="BG148" s="60"/>
      <c r="BH148" s="60"/>
      <c r="BI148" s="60"/>
      <c r="BJ148" s="60"/>
      <c r="BK148" s="60"/>
      <c r="BL148" s="60"/>
      <c r="BM148" s="60"/>
      <c r="BN148" s="60"/>
      <c r="BO148" s="60"/>
      <c r="BP148" s="60"/>
      <c r="BQ148" s="60"/>
      <c r="BR148" s="60"/>
      <c r="BS148" s="60"/>
      <c r="BT148" s="60"/>
      <c r="BU148" s="60"/>
      <c r="BV148" s="60"/>
      <c r="BW148" s="60"/>
      <c r="BX148" s="60"/>
      <c r="BY148" s="60"/>
      <c r="BZ148" s="60"/>
      <c r="CA148" s="60"/>
      <c r="CB148" s="60"/>
      <c r="CC148" s="60"/>
      <c r="CD148" s="60"/>
      <c r="CE148" s="60"/>
      <c r="CF148" s="60"/>
      <c r="CG148" s="60"/>
      <c r="CH148" s="60"/>
      <c r="CI148" s="60"/>
      <c r="CJ148" s="60"/>
      <c r="CK148" s="60"/>
      <c r="CL148" s="60"/>
      <c r="CM148" s="60"/>
      <c r="CN148" s="60"/>
      <c r="CO148" s="60"/>
      <c r="CP148" s="60"/>
      <c r="CQ148" s="60"/>
      <c r="CR148" s="60"/>
      <c r="CS148" s="60"/>
      <c r="CT148" s="60"/>
      <c r="CU148" s="60"/>
      <c r="CV148" s="60"/>
      <c r="CW148" s="60"/>
      <c r="CX148" s="60"/>
      <c r="CY148" s="60"/>
      <c r="CZ148" s="60"/>
      <c r="DA148" s="60"/>
      <c r="DB148" s="60"/>
      <c r="DC148" s="60"/>
      <c r="DD148" s="60"/>
      <c r="DE148" s="60"/>
      <c r="DF148" s="60"/>
      <c r="DG148" s="60"/>
      <c r="DH148" s="60"/>
      <c r="DI148" s="60"/>
      <c r="DJ148" s="60"/>
      <c r="DK148" s="60"/>
      <c r="DL148" s="60"/>
      <c r="DM148" s="60"/>
      <c r="DN148" s="60"/>
      <c r="DO148" s="60"/>
      <c r="DP148" s="60"/>
      <c r="DQ148" s="60"/>
      <c r="DR148" s="60"/>
      <c r="DS148" s="60"/>
      <c r="DT148" s="60"/>
      <c r="DU148" s="60"/>
      <c r="DV148" s="60"/>
      <c r="DW148" s="60"/>
      <c r="DX148" s="60"/>
      <c r="DY148" s="60"/>
      <c r="DZ148" s="60"/>
      <c r="EA148" s="60"/>
      <c r="EB148" s="60"/>
      <c r="EC148" s="60"/>
      <c r="ED148" s="60"/>
      <c r="EE148" s="60"/>
      <c r="EF148" s="60"/>
      <c r="EG148" s="60"/>
      <c r="EH148" s="60"/>
      <c r="EI148" s="60"/>
      <c r="EJ148" s="60"/>
      <c r="EK148" s="60"/>
      <c r="EL148" s="60"/>
      <c r="EM148" s="60"/>
      <c r="EN148" s="60"/>
      <c r="EO148" s="60"/>
      <c r="EP148" s="60"/>
      <c r="EQ148" s="60"/>
      <c r="ER148" s="60"/>
      <c r="ES148" s="60"/>
      <c r="ET148" s="60"/>
      <c r="EU148" s="60"/>
      <c r="EV148" s="60"/>
      <c r="EW148" s="60"/>
      <c r="EX148" s="60"/>
      <c r="EY148" s="60"/>
      <c r="EZ148" s="60"/>
      <c r="FA148" s="60"/>
      <c r="FB148" s="60"/>
      <c r="FC148" s="60"/>
      <c r="FD148" s="60"/>
      <c r="FE148" s="60"/>
      <c r="FF148" s="60"/>
      <c r="FG148" s="60"/>
      <c r="FH148" s="60"/>
      <c r="FI148" s="60"/>
      <c r="FJ148" s="60"/>
      <c r="FK148" s="60"/>
      <c r="FL148" s="60"/>
      <c r="FM148" s="60"/>
      <c r="FN148" s="60"/>
      <c r="FO148" s="60"/>
      <c r="FP148" s="60"/>
      <c r="FQ148" s="60"/>
      <c r="FR148" s="60"/>
      <c r="FS148" s="60"/>
      <c r="FT148" s="60"/>
      <c r="FU148" s="60"/>
      <c r="FV148" s="60"/>
      <c r="FW148" s="60"/>
      <c r="FX148" s="60"/>
      <c r="FY148" s="60"/>
      <c r="FZ148" s="60"/>
      <c r="GA148" s="60"/>
      <c r="GB148" s="60"/>
      <c r="GC148" s="60"/>
      <c r="GD148" s="60"/>
      <c r="GE148" s="60"/>
      <c r="GF148" s="60"/>
      <c r="GG148" s="60"/>
      <c r="GH148" s="60"/>
      <c r="GI148" s="60"/>
      <c r="GJ148" s="60"/>
      <c r="GK148" s="60"/>
      <c r="GL148" s="60"/>
      <c r="GM148" s="60"/>
      <c r="GN148" s="60"/>
      <c r="GO148" s="60"/>
      <c r="GP148" s="60"/>
      <c r="GQ148" s="60"/>
      <c r="GR148" s="60"/>
      <c r="GS148" s="60"/>
      <c r="GT148" s="60"/>
      <c r="GU148" s="60"/>
      <c r="GV148" s="60"/>
      <c r="GW148" s="60"/>
      <c r="GX148" s="60"/>
      <c r="GY148" s="60"/>
      <c r="GZ148" s="60"/>
      <c r="HA148" s="60"/>
      <c r="HB148" s="60"/>
      <c r="HC148" s="60"/>
      <c r="HD148" s="60"/>
      <c r="HE148" s="60"/>
      <c r="HF148" s="60"/>
      <c r="HG148" s="60"/>
      <c r="HH148" s="60"/>
      <c r="HI148" s="60"/>
      <c r="HJ148" s="60"/>
      <c r="HK148" s="60"/>
      <c r="HL148" s="60"/>
      <c r="HM148" s="60"/>
      <c r="HN148" s="60"/>
      <c r="HO148" s="60"/>
      <c r="HP148" s="60"/>
      <c r="HQ148" s="60"/>
      <c r="HR148" s="60"/>
      <c r="HS148" s="60"/>
      <c r="HT148" s="60"/>
      <c r="HU148" s="60"/>
      <c r="HV148" s="60"/>
      <c r="HW148" s="60"/>
      <c r="HX148" s="60"/>
      <c r="HY148" s="60"/>
      <c r="HZ148" s="60"/>
      <c r="IA148" s="60"/>
      <c r="IB148" s="60"/>
      <c r="IC148" s="60"/>
      <c r="ID148" s="60"/>
      <c r="IE148" s="60"/>
      <c r="IF148" s="60"/>
      <c r="IG148" s="60"/>
      <c r="IH148" s="60"/>
      <c r="II148" s="60"/>
      <c r="IJ148" s="60"/>
      <c r="IK148" s="60"/>
      <c r="IL148" s="60"/>
      <c r="IM148" s="60"/>
      <c r="IN148" s="60"/>
      <c r="IO148" s="60"/>
      <c r="IP148" s="60"/>
      <c r="IQ148" s="60"/>
      <c r="IR148" s="60"/>
      <c r="IS148" s="60"/>
      <c r="IT148" s="60"/>
      <c r="IU148" s="60"/>
      <c r="IV148" s="60"/>
      <c r="IW148" s="60"/>
      <c r="IX148" s="60"/>
      <c r="IY148" s="60"/>
      <c r="IZ148" s="60"/>
      <c r="JA148" s="60"/>
      <c r="JB148" s="60"/>
      <c r="JC148" s="60"/>
      <c r="JD148" s="60"/>
      <c r="JE148" s="60"/>
      <c r="JF148" s="60"/>
      <c r="JG148" s="60"/>
      <c r="JH148" s="60"/>
      <c r="JI148" s="60"/>
      <c r="JJ148" s="60"/>
      <c r="JK148" s="60"/>
      <c r="JL148" s="60"/>
      <c r="JM148" s="60"/>
      <c r="JN148" s="60"/>
      <c r="JO148" s="60"/>
      <c r="JP148" s="60"/>
      <c r="JQ148" s="60"/>
      <c r="JR148" s="60"/>
      <c r="JS148" s="60"/>
      <c r="JT148" s="60"/>
      <c r="JU148" s="60"/>
      <c r="JV148" s="60"/>
      <c r="JW148" s="60"/>
      <c r="JX148" s="60"/>
      <c r="JY148" s="60"/>
      <c r="JZ148" s="60"/>
      <c r="KA148" s="60"/>
      <c r="KB148" s="60"/>
      <c r="KC148" s="60"/>
      <c r="KD148" s="60"/>
      <c r="KE148" s="60"/>
      <c r="KF148" s="60"/>
      <c r="KG148" s="60"/>
      <c r="KH148" s="60"/>
      <c r="KI148" s="60"/>
      <c r="KJ148" s="60"/>
      <c r="KK148" s="60"/>
      <c r="KL148" s="60"/>
      <c r="KM148" s="60"/>
      <c r="KN148" s="60"/>
      <c r="KO148" s="60"/>
      <c r="KP148" s="60"/>
      <c r="KQ148" s="60"/>
      <c r="KR148" s="60"/>
      <c r="KS148" s="60"/>
      <c r="KT148" s="60"/>
      <c r="KU148" s="60"/>
      <c r="KV148" s="60"/>
      <c r="KW148" s="60"/>
      <c r="KX148" s="60"/>
      <c r="KY148" s="60"/>
      <c r="KZ148" s="60"/>
      <c r="LA148" s="60"/>
      <c r="LB148" s="60"/>
      <c r="LC148" s="60"/>
      <c r="LD148" s="60"/>
      <c r="LE148" s="60"/>
      <c r="LF148" s="60"/>
      <c r="LG148" s="60"/>
      <c r="LH148" s="60"/>
    </row>
    <row r="149" spans="1:320" s="146" customFormat="1" ht="14.1" customHeight="1" x14ac:dyDescent="0.25">
      <c r="A149" s="147"/>
      <c r="B149" s="1"/>
      <c r="C149" s="1"/>
      <c r="D149" s="1"/>
      <c r="T149" s="17"/>
      <c r="U149" s="17"/>
      <c r="V149" s="17"/>
      <c r="W149" s="17"/>
      <c r="X149" s="17"/>
      <c r="Y149" s="17"/>
      <c r="Z149" s="17"/>
      <c r="AA149" s="17"/>
      <c r="AB149" s="17"/>
      <c r="AC149" s="60"/>
      <c r="AD149" s="60"/>
      <c r="AE149" s="60"/>
      <c r="AF149" s="60"/>
      <c r="AG149" s="60"/>
      <c r="AH149" s="60"/>
      <c r="AI149" s="60"/>
      <c r="AJ149" s="60"/>
      <c r="AK149" s="60"/>
      <c r="AL149" s="60"/>
      <c r="AM149" s="60"/>
      <c r="AN149" s="60"/>
      <c r="AO149" s="60"/>
      <c r="AP149" s="60"/>
      <c r="AQ149" s="60"/>
      <c r="AR149" s="60"/>
      <c r="AS149" s="60"/>
      <c r="AT149" s="60"/>
      <c r="AU149" s="60"/>
      <c r="AV149" s="60"/>
      <c r="AW149" s="60"/>
      <c r="AX149" s="60"/>
      <c r="AY149" s="60"/>
      <c r="AZ149" s="60"/>
      <c r="BA149" s="60"/>
      <c r="BB149" s="60"/>
      <c r="BC149" s="60"/>
      <c r="BD149" s="60"/>
      <c r="BE149" s="60"/>
      <c r="BF149" s="60"/>
      <c r="BG149" s="60"/>
      <c r="BH149" s="60"/>
      <c r="BI149" s="60"/>
      <c r="BJ149" s="60"/>
      <c r="BK149" s="60"/>
      <c r="BL149" s="60"/>
      <c r="BM149" s="60"/>
      <c r="BN149" s="60"/>
      <c r="BO149" s="60"/>
      <c r="BP149" s="60"/>
      <c r="BQ149" s="60"/>
      <c r="BR149" s="60"/>
      <c r="BS149" s="60"/>
      <c r="BT149" s="60"/>
      <c r="BU149" s="60"/>
      <c r="BV149" s="60"/>
      <c r="BW149" s="60"/>
      <c r="BX149" s="60"/>
      <c r="BY149" s="60"/>
      <c r="BZ149" s="60"/>
      <c r="CA149" s="60"/>
      <c r="CB149" s="60"/>
      <c r="CC149" s="60"/>
      <c r="CD149" s="60"/>
      <c r="CE149" s="60"/>
      <c r="CF149" s="60"/>
      <c r="CG149" s="60"/>
      <c r="CH149" s="60"/>
      <c r="CI149" s="60"/>
      <c r="CJ149" s="60"/>
      <c r="CK149" s="60"/>
      <c r="CL149" s="60"/>
      <c r="CM149" s="60"/>
      <c r="CN149" s="60"/>
      <c r="CO149" s="60"/>
      <c r="CP149" s="60"/>
      <c r="CQ149" s="60"/>
      <c r="CR149" s="60"/>
      <c r="CS149" s="60"/>
      <c r="CT149" s="60"/>
      <c r="CU149" s="60"/>
      <c r="CV149" s="60"/>
      <c r="CW149" s="60"/>
      <c r="CX149" s="60"/>
      <c r="CY149" s="60"/>
      <c r="CZ149" s="60"/>
      <c r="DA149" s="60"/>
      <c r="DB149" s="60"/>
      <c r="DC149" s="60"/>
      <c r="DD149" s="60"/>
      <c r="DE149" s="60"/>
      <c r="DF149" s="60"/>
      <c r="DG149" s="60"/>
      <c r="DH149" s="60"/>
      <c r="DI149" s="60"/>
      <c r="DJ149" s="60"/>
      <c r="DK149" s="60"/>
      <c r="DL149" s="60"/>
      <c r="DM149" s="60"/>
      <c r="DN149" s="60"/>
      <c r="DO149" s="60"/>
      <c r="DP149" s="60"/>
      <c r="DQ149" s="60"/>
      <c r="DR149" s="60"/>
      <c r="DS149" s="60"/>
      <c r="DT149" s="60"/>
      <c r="DU149" s="60"/>
      <c r="DV149" s="60"/>
      <c r="DW149" s="60"/>
      <c r="DX149" s="60"/>
      <c r="DY149" s="60"/>
      <c r="DZ149" s="60"/>
      <c r="EA149" s="60"/>
      <c r="EB149" s="60"/>
      <c r="EC149" s="60"/>
      <c r="ED149" s="60"/>
      <c r="EE149" s="60"/>
      <c r="EF149" s="60"/>
      <c r="EG149" s="60"/>
      <c r="EH149" s="60"/>
      <c r="EI149" s="60"/>
      <c r="EJ149" s="60"/>
      <c r="EK149" s="60"/>
      <c r="EL149" s="60"/>
      <c r="EM149" s="60"/>
      <c r="EN149" s="60"/>
      <c r="EO149" s="60"/>
      <c r="EP149" s="60"/>
      <c r="EQ149" s="60"/>
      <c r="ER149" s="60"/>
      <c r="ES149" s="60"/>
      <c r="ET149" s="60"/>
      <c r="EU149" s="60"/>
      <c r="EV149" s="60"/>
      <c r="EW149" s="60"/>
      <c r="EX149" s="60"/>
      <c r="EY149" s="60"/>
      <c r="EZ149" s="60"/>
      <c r="FA149" s="60"/>
      <c r="FB149" s="60"/>
      <c r="FC149" s="60"/>
      <c r="FD149" s="60"/>
      <c r="FE149" s="60"/>
      <c r="FF149" s="60"/>
      <c r="FG149" s="60"/>
      <c r="FH149" s="60"/>
      <c r="FI149" s="60"/>
      <c r="FJ149" s="60"/>
      <c r="FK149" s="60"/>
      <c r="FL149" s="60"/>
      <c r="FM149" s="60"/>
      <c r="FN149" s="60"/>
      <c r="FO149" s="60"/>
      <c r="FP149" s="60"/>
      <c r="FQ149" s="60"/>
      <c r="FR149" s="60"/>
      <c r="FS149" s="60"/>
      <c r="FT149" s="60"/>
      <c r="FU149" s="60"/>
      <c r="FV149" s="60"/>
      <c r="FW149" s="60"/>
      <c r="FX149" s="60"/>
      <c r="FY149" s="60"/>
      <c r="FZ149" s="60"/>
      <c r="GA149" s="60"/>
      <c r="GB149" s="60"/>
      <c r="GC149" s="60"/>
      <c r="GD149" s="60"/>
      <c r="GE149" s="60"/>
      <c r="GF149" s="60"/>
      <c r="GG149" s="60"/>
      <c r="GH149" s="60"/>
      <c r="GI149" s="60"/>
      <c r="GJ149" s="60"/>
      <c r="GK149" s="60"/>
      <c r="GL149" s="60"/>
      <c r="GM149" s="60"/>
      <c r="GN149" s="60"/>
      <c r="GO149" s="60"/>
      <c r="GP149" s="60"/>
      <c r="GQ149" s="60"/>
      <c r="GR149" s="60"/>
      <c r="GS149" s="60"/>
      <c r="GT149" s="60"/>
      <c r="GU149" s="60"/>
      <c r="GV149" s="60"/>
      <c r="GW149" s="60"/>
      <c r="GX149" s="60"/>
      <c r="GY149" s="60"/>
      <c r="GZ149" s="60"/>
      <c r="HA149" s="60"/>
      <c r="HB149" s="60"/>
      <c r="HC149" s="60"/>
      <c r="HD149" s="60"/>
      <c r="HE149" s="60"/>
      <c r="HF149" s="60"/>
      <c r="HG149" s="60"/>
      <c r="HH149" s="60"/>
      <c r="HI149" s="60"/>
      <c r="HJ149" s="60"/>
      <c r="HK149" s="60"/>
      <c r="HL149" s="60"/>
      <c r="HM149" s="60"/>
      <c r="HN149" s="60"/>
      <c r="HO149" s="60"/>
      <c r="HP149" s="60"/>
      <c r="HQ149" s="60"/>
      <c r="HR149" s="60"/>
      <c r="HS149" s="60"/>
      <c r="HT149" s="60"/>
      <c r="HU149" s="60"/>
      <c r="HV149" s="60"/>
      <c r="HW149" s="60"/>
      <c r="HX149" s="60"/>
      <c r="HY149" s="60"/>
      <c r="HZ149" s="60"/>
      <c r="IA149" s="60"/>
      <c r="IB149" s="60"/>
      <c r="IC149" s="60"/>
      <c r="ID149" s="60"/>
      <c r="IE149" s="60"/>
      <c r="IF149" s="60"/>
      <c r="IG149" s="60"/>
      <c r="IH149" s="60"/>
      <c r="II149" s="60"/>
      <c r="IJ149" s="60"/>
      <c r="IK149" s="60"/>
      <c r="IL149" s="60"/>
      <c r="IM149" s="60"/>
      <c r="IN149" s="60"/>
      <c r="IO149" s="60"/>
      <c r="IP149" s="60"/>
      <c r="IQ149" s="60"/>
      <c r="IR149" s="60"/>
      <c r="IS149" s="60"/>
      <c r="IT149" s="60"/>
      <c r="IU149" s="60"/>
      <c r="IV149" s="60"/>
      <c r="IW149" s="60"/>
      <c r="IX149" s="60"/>
      <c r="IY149" s="60"/>
      <c r="IZ149" s="60"/>
      <c r="JA149" s="60"/>
      <c r="JB149" s="60"/>
      <c r="JC149" s="60"/>
      <c r="JD149" s="60"/>
      <c r="JE149" s="60"/>
      <c r="JF149" s="60"/>
      <c r="JG149" s="60"/>
      <c r="JH149" s="60"/>
      <c r="JI149" s="60"/>
      <c r="JJ149" s="60"/>
      <c r="JK149" s="60"/>
      <c r="JL149" s="60"/>
      <c r="JM149" s="60"/>
      <c r="JN149" s="60"/>
      <c r="JO149" s="60"/>
      <c r="JP149" s="60"/>
      <c r="JQ149" s="60"/>
      <c r="JR149" s="60"/>
      <c r="JS149" s="60"/>
      <c r="JT149" s="60"/>
      <c r="JU149" s="60"/>
      <c r="JV149" s="60"/>
      <c r="JW149" s="60"/>
      <c r="JX149" s="60"/>
      <c r="JY149" s="60"/>
      <c r="JZ149" s="60"/>
      <c r="KA149" s="60"/>
      <c r="KB149" s="60"/>
      <c r="KC149" s="60"/>
      <c r="KD149" s="60"/>
      <c r="KE149" s="60"/>
      <c r="KF149" s="60"/>
      <c r="KG149" s="60"/>
      <c r="KH149" s="60"/>
      <c r="KI149" s="60"/>
      <c r="KJ149" s="60"/>
      <c r="KK149" s="60"/>
      <c r="KL149" s="60"/>
      <c r="KM149" s="60"/>
      <c r="KN149" s="60"/>
      <c r="KO149" s="60"/>
      <c r="KP149" s="60"/>
      <c r="KQ149" s="60"/>
      <c r="KR149" s="60"/>
      <c r="KS149" s="60"/>
      <c r="KT149" s="60"/>
      <c r="KU149" s="60"/>
      <c r="KV149" s="60"/>
      <c r="KW149" s="60"/>
      <c r="KX149" s="60"/>
      <c r="KY149" s="60"/>
      <c r="KZ149" s="60"/>
      <c r="LA149" s="60"/>
      <c r="LB149" s="60"/>
      <c r="LC149" s="60"/>
      <c r="LD149" s="60"/>
      <c r="LE149" s="60"/>
      <c r="LF149" s="60"/>
      <c r="LG149" s="60"/>
      <c r="LH149" s="60"/>
    </row>
    <row r="150" spans="1:320" s="146" customFormat="1" ht="14.1" customHeight="1" x14ac:dyDescent="1.35">
      <c r="A150" s="147"/>
      <c r="B150" s="352"/>
      <c r="C150" s="352"/>
      <c r="D150" s="352"/>
      <c r="E150" s="352"/>
      <c r="F150" s="352"/>
      <c r="G150" s="352"/>
      <c r="H150" s="352"/>
      <c r="I150" s="352"/>
      <c r="J150" s="352"/>
      <c r="K150" s="352"/>
      <c r="L150" s="352"/>
      <c r="M150" s="155"/>
      <c r="T150" s="17"/>
      <c r="U150" s="17"/>
      <c r="V150" s="17"/>
      <c r="W150" s="17"/>
      <c r="X150" s="17"/>
      <c r="Y150" s="17"/>
      <c r="Z150" s="17"/>
      <c r="AA150" s="17"/>
      <c r="AB150" s="17"/>
      <c r="AC150" s="60"/>
      <c r="AD150" s="60"/>
      <c r="AE150" s="60"/>
      <c r="AF150" s="60"/>
      <c r="AG150" s="60"/>
      <c r="AH150" s="60"/>
      <c r="AI150" s="60"/>
      <c r="AJ150" s="60"/>
      <c r="AK150" s="60"/>
      <c r="AL150" s="60"/>
      <c r="AM150" s="60"/>
      <c r="AN150" s="60"/>
      <c r="AO150" s="60"/>
      <c r="AP150" s="60"/>
      <c r="AQ150" s="60"/>
      <c r="AR150" s="60"/>
      <c r="AS150" s="60"/>
      <c r="AT150" s="60"/>
      <c r="AU150" s="60"/>
      <c r="AV150" s="60"/>
      <c r="AW150" s="60"/>
      <c r="AX150" s="60"/>
      <c r="AY150" s="60"/>
      <c r="AZ150" s="60"/>
      <c r="BA150" s="60"/>
      <c r="BB150" s="60"/>
      <c r="BC150" s="60"/>
      <c r="BD150" s="60"/>
      <c r="BE150" s="60"/>
      <c r="BF150" s="60"/>
      <c r="BG150" s="60"/>
      <c r="BH150" s="60"/>
      <c r="BI150" s="60"/>
      <c r="BJ150" s="60"/>
      <c r="BK150" s="60"/>
      <c r="BL150" s="60"/>
      <c r="BM150" s="60"/>
      <c r="BN150" s="60"/>
      <c r="BO150" s="60"/>
      <c r="BP150" s="60"/>
      <c r="BQ150" s="60"/>
      <c r="BR150" s="60"/>
      <c r="BS150" s="60"/>
      <c r="BT150" s="60"/>
      <c r="BU150" s="60"/>
      <c r="BV150" s="60"/>
      <c r="BW150" s="60"/>
      <c r="BX150" s="60"/>
      <c r="BY150" s="60"/>
      <c r="BZ150" s="60"/>
      <c r="CA150" s="60"/>
      <c r="CB150" s="60"/>
      <c r="CC150" s="60"/>
      <c r="CD150" s="60"/>
      <c r="CE150" s="60"/>
      <c r="CF150" s="60"/>
      <c r="CG150" s="60"/>
      <c r="CH150" s="60"/>
      <c r="CI150" s="60"/>
      <c r="CJ150" s="60"/>
      <c r="CK150" s="60"/>
      <c r="CL150" s="60"/>
      <c r="CM150" s="60"/>
      <c r="CN150" s="60"/>
      <c r="CO150" s="60"/>
      <c r="CP150" s="60"/>
      <c r="CQ150" s="60"/>
      <c r="CR150" s="60"/>
      <c r="CS150" s="60"/>
      <c r="CT150" s="60"/>
      <c r="CU150" s="60"/>
      <c r="CV150" s="60"/>
      <c r="CW150" s="60"/>
      <c r="CX150" s="60"/>
      <c r="CY150" s="60"/>
      <c r="CZ150" s="60"/>
      <c r="DA150" s="60"/>
      <c r="DB150" s="60"/>
      <c r="DC150" s="60"/>
      <c r="DD150" s="60"/>
      <c r="DE150" s="60"/>
      <c r="DF150" s="60"/>
      <c r="DG150" s="60"/>
      <c r="DH150" s="60"/>
      <c r="DI150" s="60"/>
      <c r="DJ150" s="60"/>
      <c r="DK150" s="60"/>
      <c r="DL150" s="60"/>
      <c r="DM150" s="60"/>
      <c r="DN150" s="60"/>
      <c r="DO150" s="60"/>
      <c r="DP150" s="60"/>
      <c r="DQ150" s="60"/>
      <c r="DR150" s="60"/>
      <c r="DS150" s="60"/>
      <c r="DT150" s="60"/>
      <c r="DU150" s="60"/>
      <c r="DV150" s="60"/>
      <c r="DW150" s="60"/>
      <c r="DX150" s="60"/>
      <c r="DY150" s="60"/>
      <c r="DZ150" s="60"/>
      <c r="EA150" s="60"/>
      <c r="EB150" s="60"/>
      <c r="EC150" s="60"/>
      <c r="ED150" s="60"/>
      <c r="EE150" s="60"/>
      <c r="EF150" s="60"/>
      <c r="EG150" s="60"/>
      <c r="EH150" s="60"/>
      <c r="EI150" s="60"/>
      <c r="EJ150" s="60"/>
      <c r="EK150" s="60"/>
      <c r="EL150" s="60"/>
      <c r="EM150" s="60"/>
      <c r="EN150" s="60"/>
      <c r="EO150" s="60"/>
      <c r="EP150" s="60"/>
      <c r="EQ150" s="60"/>
      <c r="ER150" s="60"/>
      <c r="ES150" s="60"/>
      <c r="ET150" s="60"/>
      <c r="EU150" s="60"/>
      <c r="EV150" s="60"/>
      <c r="EW150" s="60"/>
      <c r="EX150" s="60"/>
      <c r="EY150" s="60"/>
      <c r="EZ150" s="60"/>
      <c r="FA150" s="60"/>
      <c r="FB150" s="60"/>
      <c r="FC150" s="60"/>
      <c r="FD150" s="60"/>
      <c r="FE150" s="60"/>
      <c r="FF150" s="60"/>
      <c r="FG150" s="60"/>
      <c r="FH150" s="60"/>
      <c r="FI150" s="60"/>
      <c r="FJ150" s="60"/>
      <c r="FK150" s="60"/>
      <c r="FL150" s="60"/>
      <c r="FM150" s="60"/>
      <c r="FN150" s="60"/>
      <c r="FO150" s="60"/>
      <c r="FP150" s="60"/>
      <c r="FQ150" s="60"/>
      <c r="FR150" s="60"/>
      <c r="FS150" s="60"/>
      <c r="FT150" s="60"/>
      <c r="FU150" s="60"/>
      <c r="FV150" s="60"/>
      <c r="FW150" s="60"/>
      <c r="FX150" s="60"/>
      <c r="FY150" s="60"/>
      <c r="FZ150" s="60"/>
      <c r="GA150" s="60"/>
      <c r="GB150" s="60"/>
      <c r="GC150" s="60"/>
      <c r="GD150" s="60"/>
      <c r="GE150" s="60"/>
      <c r="GF150" s="60"/>
      <c r="GG150" s="60"/>
      <c r="GH150" s="60"/>
      <c r="GI150" s="60"/>
      <c r="GJ150" s="60"/>
      <c r="GK150" s="60"/>
      <c r="GL150" s="60"/>
      <c r="GM150" s="60"/>
      <c r="GN150" s="60"/>
      <c r="GO150" s="60"/>
      <c r="GP150" s="60"/>
      <c r="GQ150" s="60"/>
      <c r="GR150" s="60"/>
      <c r="GS150" s="60"/>
      <c r="GT150" s="60"/>
      <c r="GU150" s="60"/>
      <c r="GV150" s="60"/>
      <c r="GW150" s="60"/>
      <c r="GX150" s="60"/>
      <c r="GY150" s="60"/>
      <c r="GZ150" s="60"/>
      <c r="HA150" s="60"/>
      <c r="HB150" s="60"/>
      <c r="HC150" s="60"/>
      <c r="HD150" s="60"/>
      <c r="HE150" s="60"/>
      <c r="HF150" s="60"/>
      <c r="HG150" s="60"/>
      <c r="HH150" s="60"/>
      <c r="HI150" s="60"/>
      <c r="HJ150" s="60"/>
      <c r="HK150" s="60"/>
      <c r="HL150" s="60"/>
      <c r="HM150" s="60"/>
      <c r="HN150" s="60"/>
      <c r="HO150" s="60"/>
      <c r="HP150" s="60"/>
      <c r="HQ150" s="60"/>
      <c r="HR150" s="60"/>
      <c r="HS150" s="60"/>
      <c r="HT150" s="60"/>
      <c r="HU150" s="60"/>
      <c r="HV150" s="60"/>
      <c r="HW150" s="60"/>
      <c r="HX150" s="60"/>
      <c r="HY150" s="60"/>
      <c r="HZ150" s="60"/>
      <c r="IA150" s="60"/>
      <c r="IB150" s="60"/>
      <c r="IC150" s="60"/>
      <c r="ID150" s="60"/>
      <c r="IE150" s="60"/>
      <c r="IF150" s="60"/>
      <c r="IG150" s="60"/>
      <c r="IH150" s="60"/>
      <c r="II150" s="60"/>
      <c r="IJ150" s="60"/>
      <c r="IK150" s="60"/>
      <c r="IL150" s="60"/>
      <c r="IM150" s="60"/>
      <c r="IN150" s="60"/>
      <c r="IO150" s="60"/>
      <c r="IP150" s="60"/>
      <c r="IQ150" s="60"/>
      <c r="IR150" s="60"/>
      <c r="IS150" s="60"/>
      <c r="IT150" s="60"/>
      <c r="IU150" s="60"/>
      <c r="IV150" s="60"/>
      <c r="IW150" s="60"/>
      <c r="IX150" s="60"/>
      <c r="IY150" s="60"/>
      <c r="IZ150" s="60"/>
      <c r="JA150" s="60"/>
      <c r="JB150" s="60"/>
      <c r="JC150" s="60"/>
      <c r="JD150" s="60"/>
      <c r="JE150" s="60"/>
      <c r="JF150" s="60"/>
      <c r="JG150" s="60"/>
      <c r="JH150" s="60"/>
      <c r="JI150" s="60"/>
      <c r="JJ150" s="60"/>
      <c r="JK150" s="60"/>
      <c r="JL150" s="60"/>
      <c r="JM150" s="60"/>
      <c r="JN150" s="60"/>
      <c r="JO150" s="60"/>
      <c r="JP150" s="60"/>
      <c r="JQ150" s="60"/>
      <c r="JR150" s="60"/>
      <c r="JS150" s="60"/>
      <c r="JT150" s="60"/>
      <c r="JU150" s="60"/>
      <c r="JV150" s="60"/>
      <c r="JW150" s="60"/>
      <c r="JX150" s="60"/>
      <c r="JY150" s="60"/>
      <c r="JZ150" s="60"/>
      <c r="KA150" s="60"/>
      <c r="KB150" s="60"/>
      <c r="KC150" s="60"/>
      <c r="KD150" s="60"/>
      <c r="KE150" s="60"/>
      <c r="KF150" s="60"/>
      <c r="KG150" s="60"/>
      <c r="KH150" s="60"/>
      <c r="KI150" s="60"/>
      <c r="KJ150" s="60"/>
      <c r="KK150" s="60"/>
      <c r="KL150" s="60"/>
      <c r="KM150" s="60"/>
      <c r="KN150" s="60"/>
      <c r="KO150" s="60"/>
      <c r="KP150" s="60"/>
      <c r="KQ150" s="60"/>
      <c r="KR150" s="60"/>
      <c r="KS150" s="60"/>
      <c r="KT150" s="60"/>
      <c r="KU150" s="60"/>
      <c r="KV150" s="60"/>
      <c r="KW150" s="60"/>
      <c r="KX150" s="60"/>
      <c r="KY150" s="60"/>
      <c r="KZ150" s="60"/>
      <c r="LA150" s="60"/>
      <c r="LB150" s="60"/>
      <c r="LC150" s="60"/>
      <c r="LD150" s="60"/>
      <c r="LE150" s="60"/>
      <c r="LF150" s="60"/>
      <c r="LG150" s="60"/>
      <c r="LH150" s="60"/>
    </row>
    <row r="151" spans="1:320" s="146" customFormat="1" ht="15.75" thickBot="1" x14ac:dyDescent="0.3">
      <c r="A151" s="147"/>
      <c r="B151" s="1"/>
      <c r="C151" s="1"/>
      <c r="D151" s="1"/>
      <c r="T151" s="17"/>
      <c r="U151" s="17"/>
      <c r="V151" s="17"/>
      <c r="W151" s="17"/>
      <c r="X151" s="17"/>
      <c r="Y151" s="17"/>
      <c r="Z151" s="17"/>
      <c r="AA151" s="17"/>
      <c r="AB151" s="17"/>
      <c r="AC151" s="60"/>
      <c r="AD151" s="60"/>
      <c r="AE151" s="60"/>
      <c r="AF151" s="60"/>
      <c r="AG151" s="60"/>
      <c r="AH151" s="60"/>
      <c r="AI151" s="60"/>
      <c r="AJ151" s="60"/>
      <c r="AK151" s="60"/>
      <c r="AL151" s="60"/>
      <c r="AM151" s="60"/>
      <c r="AN151" s="60"/>
      <c r="AO151" s="60"/>
      <c r="AP151" s="60"/>
      <c r="AQ151" s="60"/>
      <c r="AR151" s="60"/>
      <c r="AS151" s="60"/>
      <c r="AT151" s="60"/>
      <c r="AU151" s="60"/>
      <c r="AV151" s="60"/>
      <c r="AW151" s="60"/>
      <c r="AX151" s="60"/>
      <c r="AY151" s="60"/>
      <c r="AZ151" s="60"/>
      <c r="BA151" s="60"/>
      <c r="BB151" s="60"/>
      <c r="BC151" s="60"/>
      <c r="BD151" s="60"/>
      <c r="BE151" s="60"/>
      <c r="BF151" s="60"/>
      <c r="BG151" s="60"/>
      <c r="BH151" s="60"/>
      <c r="BI151" s="60"/>
      <c r="BJ151" s="60"/>
      <c r="BK151" s="60"/>
      <c r="BL151" s="60"/>
      <c r="BM151" s="60"/>
      <c r="BN151" s="60"/>
      <c r="BO151" s="60"/>
      <c r="BP151" s="60"/>
      <c r="BQ151" s="60"/>
      <c r="BR151" s="60"/>
      <c r="BS151" s="60"/>
      <c r="BT151" s="60"/>
      <c r="BU151" s="60"/>
      <c r="BV151" s="60"/>
      <c r="BW151" s="60"/>
      <c r="BX151" s="60"/>
      <c r="BY151" s="60"/>
      <c r="BZ151" s="60"/>
      <c r="CA151" s="60"/>
      <c r="CB151" s="60"/>
      <c r="CC151" s="60"/>
      <c r="CD151" s="60"/>
      <c r="CE151" s="60"/>
      <c r="CF151" s="60"/>
      <c r="CG151" s="60"/>
      <c r="CH151" s="60"/>
      <c r="CI151" s="60"/>
      <c r="CJ151" s="60"/>
      <c r="CK151" s="60"/>
      <c r="CL151" s="60"/>
      <c r="CM151" s="60"/>
      <c r="CN151" s="60"/>
      <c r="CO151" s="60"/>
      <c r="CP151" s="60"/>
      <c r="CQ151" s="60"/>
      <c r="CR151" s="60"/>
      <c r="CS151" s="60"/>
      <c r="CT151" s="60"/>
      <c r="CU151" s="60"/>
      <c r="CV151" s="60"/>
      <c r="CW151" s="60"/>
      <c r="CX151" s="60"/>
      <c r="CY151" s="60"/>
      <c r="CZ151" s="60"/>
      <c r="DA151" s="60"/>
      <c r="DB151" s="60"/>
      <c r="DC151" s="60"/>
      <c r="DD151" s="60"/>
      <c r="DE151" s="60"/>
      <c r="DF151" s="60"/>
      <c r="DG151" s="60"/>
      <c r="DH151" s="60"/>
      <c r="DI151" s="60"/>
      <c r="DJ151" s="60"/>
      <c r="DK151" s="60"/>
      <c r="DL151" s="60"/>
      <c r="DM151" s="60"/>
      <c r="DN151" s="60"/>
      <c r="DO151" s="60"/>
      <c r="DP151" s="60"/>
      <c r="DQ151" s="60"/>
      <c r="DR151" s="60"/>
      <c r="DS151" s="60"/>
      <c r="DT151" s="60"/>
      <c r="DU151" s="60"/>
      <c r="DV151" s="60"/>
      <c r="DW151" s="60"/>
      <c r="DX151" s="60"/>
      <c r="DY151" s="60"/>
      <c r="DZ151" s="60"/>
      <c r="EA151" s="60"/>
      <c r="EB151" s="60"/>
      <c r="EC151" s="60"/>
      <c r="ED151" s="60"/>
      <c r="EE151" s="60"/>
      <c r="EF151" s="60"/>
      <c r="EG151" s="60"/>
      <c r="EH151" s="60"/>
      <c r="EI151" s="60"/>
      <c r="EJ151" s="60"/>
      <c r="EK151" s="60"/>
      <c r="EL151" s="60"/>
      <c r="EM151" s="60"/>
      <c r="EN151" s="60"/>
      <c r="EO151" s="60"/>
      <c r="EP151" s="60"/>
      <c r="EQ151" s="60"/>
      <c r="ER151" s="60"/>
      <c r="ES151" s="60"/>
      <c r="ET151" s="60"/>
      <c r="EU151" s="60"/>
      <c r="EV151" s="60"/>
      <c r="EW151" s="60"/>
      <c r="EX151" s="60"/>
      <c r="EY151" s="60"/>
      <c r="EZ151" s="60"/>
      <c r="FA151" s="60"/>
      <c r="FB151" s="60"/>
      <c r="FC151" s="60"/>
      <c r="FD151" s="60"/>
      <c r="FE151" s="60"/>
      <c r="FF151" s="60"/>
      <c r="FG151" s="60"/>
      <c r="FH151" s="60"/>
      <c r="FI151" s="60"/>
      <c r="FJ151" s="60"/>
      <c r="FK151" s="60"/>
      <c r="FL151" s="60"/>
      <c r="FM151" s="60"/>
      <c r="FN151" s="60"/>
      <c r="FO151" s="60"/>
      <c r="FP151" s="60"/>
      <c r="FQ151" s="60"/>
      <c r="FR151" s="60"/>
      <c r="FS151" s="60"/>
      <c r="FT151" s="60"/>
      <c r="FU151" s="60"/>
      <c r="FV151" s="60"/>
      <c r="FW151" s="60"/>
      <c r="FX151" s="60"/>
      <c r="FY151" s="60"/>
      <c r="FZ151" s="60"/>
      <c r="GA151" s="60"/>
      <c r="GB151" s="60"/>
      <c r="GC151" s="60"/>
      <c r="GD151" s="60"/>
      <c r="GE151" s="60"/>
      <c r="GF151" s="60"/>
      <c r="GG151" s="60"/>
      <c r="GH151" s="60"/>
      <c r="GI151" s="60"/>
      <c r="GJ151" s="60"/>
      <c r="GK151" s="60"/>
      <c r="GL151" s="60"/>
      <c r="GM151" s="60"/>
      <c r="GN151" s="60"/>
      <c r="GO151" s="60"/>
      <c r="GP151" s="60"/>
      <c r="GQ151" s="60"/>
      <c r="GR151" s="60"/>
      <c r="GS151" s="60"/>
      <c r="GT151" s="60"/>
      <c r="GU151" s="60"/>
      <c r="GV151" s="60"/>
      <c r="GW151" s="60"/>
      <c r="GX151" s="60"/>
      <c r="GY151" s="60"/>
      <c r="GZ151" s="60"/>
      <c r="HA151" s="60"/>
      <c r="HB151" s="60"/>
      <c r="HC151" s="60"/>
      <c r="HD151" s="60"/>
      <c r="HE151" s="60"/>
      <c r="HF151" s="60"/>
      <c r="HG151" s="60"/>
      <c r="HH151" s="60"/>
      <c r="HI151" s="60"/>
      <c r="HJ151" s="60"/>
      <c r="HK151" s="60"/>
      <c r="HL151" s="60"/>
      <c r="HM151" s="60"/>
      <c r="HN151" s="60"/>
      <c r="HO151" s="60"/>
      <c r="HP151" s="60"/>
      <c r="HQ151" s="60"/>
      <c r="HR151" s="60"/>
      <c r="HS151" s="60"/>
      <c r="HT151" s="60"/>
      <c r="HU151" s="60"/>
      <c r="HV151" s="60"/>
      <c r="HW151" s="60"/>
      <c r="HX151" s="60"/>
      <c r="HY151" s="60"/>
      <c r="HZ151" s="60"/>
      <c r="IA151" s="60"/>
      <c r="IB151" s="60"/>
      <c r="IC151" s="60"/>
      <c r="ID151" s="60"/>
      <c r="IE151" s="60"/>
      <c r="IF151" s="60"/>
      <c r="IG151" s="60"/>
      <c r="IH151" s="60"/>
      <c r="II151" s="60"/>
      <c r="IJ151" s="60"/>
      <c r="IK151" s="60"/>
      <c r="IL151" s="60"/>
      <c r="IM151" s="60"/>
      <c r="IN151" s="60"/>
      <c r="IO151" s="60"/>
      <c r="IP151" s="60"/>
      <c r="IQ151" s="60"/>
      <c r="IR151" s="60"/>
      <c r="IS151" s="60"/>
      <c r="IT151" s="60"/>
      <c r="IU151" s="60"/>
      <c r="IV151" s="60"/>
      <c r="IW151" s="60"/>
      <c r="IX151" s="60"/>
      <c r="IY151" s="60"/>
      <c r="IZ151" s="60"/>
      <c r="JA151" s="60"/>
      <c r="JB151" s="60"/>
      <c r="JC151" s="60"/>
      <c r="JD151" s="60"/>
      <c r="JE151" s="60"/>
      <c r="JF151" s="60"/>
      <c r="JG151" s="60"/>
      <c r="JH151" s="60"/>
      <c r="JI151" s="60"/>
      <c r="JJ151" s="60"/>
      <c r="JK151" s="60"/>
      <c r="JL151" s="60"/>
      <c r="JM151" s="60"/>
      <c r="JN151" s="60"/>
      <c r="JO151" s="60"/>
      <c r="JP151" s="60"/>
      <c r="JQ151" s="60"/>
      <c r="JR151" s="60"/>
      <c r="JS151" s="60"/>
      <c r="JT151" s="60"/>
      <c r="JU151" s="60"/>
      <c r="JV151" s="60"/>
      <c r="JW151" s="60"/>
      <c r="JX151" s="60"/>
      <c r="JY151" s="60"/>
      <c r="JZ151" s="60"/>
      <c r="KA151" s="60"/>
      <c r="KB151" s="60"/>
      <c r="KC151" s="60"/>
      <c r="KD151" s="60"/>
      <c r="KE151" s="60"/>
      <c r="KF151" s="60"/>
      <c r="KG151" s="60"/>
      <c r="KH151" s="60"/>
      <c r="KI151" s="60"/>
      <c r="KJ151" s="60"/>
      <c r="KK151" s="60"/>
      <c r="KL151" s="60"/>
      <c r="KM151" s="60"/>
      <c r="KN151" s="60"/>
      <c r="KO151" s="60"/>
      <c r="KP151" s="60"/>
      <c r="KQ151" s="60"/>
      <c r="KR151" s="60"/>
      <c r="KS151" s="60"/>
      <c r="KT151" s="60"/>
      <c r="KU151" s="60"/>
      <c r="KV151" s="60"/>
      <c r="KW151" s="60"/>
      <c r="KX151" s="60"/>
      <c r="KY151" s="60"/>
      <c r="KZ151" s="60"/>
      <c r="LA151" s="60"/>
      <c r="LB151" s="60"/>
      <c r="LC151" s="60"/>
      <c r="LD151" s="60"/>
      <c r="LE151" s="60"/>
      <c r="LF151" s="60"/>
      <c r="LG151" s="60"/>
      <c r="LH151" s="60"/>
    </row>
    <row r="152" spans="1:320" s="146" customFormat="1" ht="47.25" thickBot="1" x14ac:dyDescent="0.3">
      <c r="A152" s="147"/>
      <c r="B152" s="353" t="s">
        <v>101</v>
      </c>
      <c r="C152" s="354"/>
      <c r="D152" s="354"/>
      <c r="E152" s="354"/>
      <c r="F152" s="354"/>
      <c r="G152" s="354"/>
      <c r="H152" s="355"/>
      <c r="T152" s="17"/>
      <c r="U152" s="17"/>
      <c r="V152" s="17"/>
      <c r="W152" s="17"/>
      <c r="X152" s="17"/>
      <c r="Y152" s="17"/>
      <c r="Z152" s="17"/>
      <c r="AA152" s="17"/>
      <c r="AB152" s="17"/>
      <c r="AC152" s="60"/>
      <c r="AD152" s="60"/>
      <c r="AE152" s="60"/>
      <c r="AF152" s="60"/>
      <c r="AG152" s="60"/>
      <c r="AH152" s="60"/>
      <c r="AI152" s="60"/>
      <c r="AJ152" s="60"/>
      <c r="AK152" s="60"/>
      <c r="AL152" s="60"/>
      <c r="AM152" s="60"/>
      <c r="AN152" s="60"/>
      <c r="AO152" s="60"/>
      <c r="AP152" s="60"/>
      <c r="AQ152" s="60"/>
      <c r="AR152" s="60"/>
      <c r="AS152" s="60"/>
      <c r="AT152" s="60"/>
      <c r="AU152" s="60"/>
      <c r="AV152" s="60"/>
      <c r="AW152" s="60"/>
      <c r="AX152" s="60"/>
      <c r="AY152" s="60"/>
      <c r="AZ152" s="60"/>
      <c r="BA152" s="60"/>
      <c r="BB152" s="60"/>
      <c r="BC152" s="60"/>
      <c r="BD152" s="60"/>
      <c r="BE152" s="60"/>
      <c r="BF152" s="60"/>
      <c r="BG152" s="60"/>
      <c r="BH152" s="60"/>
      <c r="BI152" s="60"/>
      <c r="BJ152" s="60"/>
      <c r="BK152" s="60"/>
      <c r="BL152" s="60"/>
      <c r="BM152" s="60"/>
      <c r="BN152" s="60"/>
      <c r="BO152" s="60"/>
      <c r="BP152" s="60"/>
      <c r="BQ152" s="60"/>
      <c r="BR152" s="60"/>
      <c r="BS152" s="60"/>
      <c r="BT152" s="60"/>
      <c r="BU152" s="60"/>
      <c r="BV152" s="60"/>
      <c r="BW152" s="60"/>
      <c r="BX152" s="60"/>
      <c r="BY152" s="60"/>
      <c r="BZ152" s="60"/>
      <c r="CA152" s="60"/>
      <c r="CB152" s="60"/>
      <c r="CC152" s="60"/>
      <c r="CD152" s="60"/>
      <c r="CE152" s="60"/>
      <c r="CF152" s="60"/>
      <c r="CG152" s="60"/>
      <c r="CH152" s="60"/>
      <c r="CI152" s="60"/>
      <c r="CJ152" s="60"/>
      <c r="CK152" s="60"/>
      <c r="CL152" s="60"/>
      <c r="CM152" s="60"/>
      <c r="CN152" s="60"/>
      <c r="CO152" s="60"/>
      <c r="CP152" s="60"/>
      <c r="CQ152" s="60"/>
      <c r="CR152" s="60"/>
      <c r="CS152" s="60"/>
      <c r="CT152" s="60"/>
      <c r="CU152" s="60"/>
      <c r="CV152" s="60"/>
      <c r="CW152" s="60"/>
      <c r="CX152" s="60"/>
      <c r="CY152" s="60"/>
      <c r="CZ152" s="60"/>
      <c r="DA152" s="60"/>
      <c r="DB152" s="60"/>
      <c r="DC152" s="60"/>
      <c r="DD152" s="60"/>
      <c r="DE152" s="60"/>
      <c r="DF152" s="60"/>
      <c r="DG152" s="60"/>
      <c r="DH152" s="60"/>
      <c r="DI152" s="60"/>
      <c r="DJ152" s="60"/>
      <c r="DK152" s="60"/>
      <c r="DL152" s="60"/>
      <c r="DM152" s="60"/>
      <c r="DN152" s="60"/>
      <c r="DO152" s="60"/>
      <c r="DP152" s="60"/>
      <c r="DQ152" s="60"/>
      <c r="DR152" s="60"/>
      <c r="DS152" s="60"/>
      <c r="DT152" s="60"/>
      <c r="DU152" s="60"/>
      <c r="DV152" s="60"/>
      <c r="DW152" s="60"/>
      <c r="DX152" s="60"/>
      <c r="DY152" s="60"/>
      <c r="DZ152" s="60"/>
      <c r="EA152" s="60"/>
      <c r="EB152" s="60"/>
      <c r="EC152" s="60"/>
      <c r="ED152" s="60"/>
      <c r="EE152" s="60"/>
      <c r="EF152" s="60"/>
      <c r="EG152" s="60"/>
      <c r="EH152" s="60"/>
      <c r="EI152" s="60"/>
      <c r="EJ152" s="60"/>
      <c r="EK152" s="60"/>
      <c r="EL152" s="60"/>
      <c r="EM152" s="60"/>
      <c r="EN152" s="60"/>
      <c r="EO152" s="60"/>
      <c r="EP152" s="60"/>
      <c r="EQ152" s="60"/>
      <c r="ER152" s="60"/>
      <c r="ES152" s="60"/>
      <c r="ET152" s="60"/>
      <c r="EU152" s="60"/>
      <c r="EV152" s="60"/>
      <c r="EW152" s="60"/>
      <c r="EX152" s="60"/>
      <c r="EY152" s="60"/>
      <c r="EZ152" s="60"/>
      <c r="FA152" s="60"/>
      <c r="FB152" s="60"/>
      <c r="FC152" s="60"/>
      <c r="FD152" s="60"/>
      <c r="FE152" s="60"/>
      <c r="FF152" s="60"/>
      <c r="FG152" s="60"/>
      <c r="FH152" s="60"/>
      <c r="FI152" s="60"/>
      <c r="FJ152" s="60"/>
      <c r="FK152" s="60"/>
      <c r="FL152" s="60"/>
      <c r="FM152" s="60"/>
      <c r="FN152" s="60"/>
      <c r="FO152" s="60"/>
      <c r="FP152" s="60"/>
      <c r="FQ152" s="60"/>
      <c r="FR152" s="60"/>
      <c r="FS152" s="60"/>
      <c r="FT152" s="60"/>
      <c r="FU152" s="60"/>
      <c r="FV152" s="60"/>
      <c r="FW152" s="60"/>
      <c r="FX152" s="60"/>
      <c r="FY152" s="60"/>
      <c r="FZ152" s="60"/>
      <c r="GA152" s="60"/>
      <c r="GB152" s="60"/>
      <c r="GC152" s="60"/>
      <c r="GD152" s="60"/>
      <c r="GE152" s="60"/>
      <c r="GF152" s="60"/>
      <c r="GG152" s="60"/>
      <c r="GH152" s="60"/>
      <c r="GI152" s="60"/>
      <c r="GJ152" s="60"/>
      <c r="GK152" s="60"/>
      <c r="GL152" s="60"/>
      <c r="GM152" s="60"/>
      <c r="GN152" s="60"/>
      <c r="GO152" s="60"/>
      <c r="GP152" s="60"/>
      <c r="GQ152" s="60"/>
      <c r="GR152" s="60"/>
      <c r="GS152" s="60"/>
      <c r="GT152" s="60"/>
      <c r="GU152" s="60"/>
      <c r="GV152" s="60"/>
      <c r="GW152" s="60"/>
      <c r="GX152" s="60"/>
      <c r="GY152" s="60"/>
      <c r="GZ152" s="60"/>
      <c r="HA152" s="60"/>
      <c r="HB152" s="60"/>
      <c r="HC152" s="60"/>
      <c r="HD152" s="60"/>
      <c r="HE152" s="60"/>
      <c r="HF152" s="60"/>
      <c r="HG152" s="60"/>
      <c r="HH152" s="60"/>
      <c r="HI152" s="60"/>
      <c r="HJ152" s="60"/>
      <c r="HK152" s="60"/>
      <c r="HL152" s="60"/>
      <c r="HM152" s="60"/>
      <c r="HN152" s="60"/>
      <c r="HO152" s="60"/>
      <c r="HP152" s="60"/>
      <c r="HQ152" s="60"/>
      <c r="HR152" s="60"/>
      <c r="HS152" s="60"/>
      <c r="HT152" s="60"/>
      <c r="HU152" s="60"/>
      <c r="HV152" s="60"/>
      <c r="HW152" s="60"/>
      <c r="HX152" s="60"/>
      <c r="HY152" s="60"/>
      <c r="HZ152" s="60"/>
      <c r="IA152" s="60"/>
      <c r="IB152" s="60"/>
      <c r="IC152" s="60"/>
      <c r="ID152" s="60"/>
      <c r="IE152" s="60"/>
      <c r="IF152" s="60"/>
      <c r="IG152" s="60"/>
      <c r="IH152" s="60"/>
      <c r="II152" s="60"/>
      <c r="IJ152" s="60"/>
      <c r="IK152" s="60"/>
      <c r="IL152" s="60"/>
      <c r="IM152" s="60"/>
      <c r="IN152" s="60"/>
      <c r="IO152" s="60"/>
      <c r="IP152" s="60"/>
      <c r="IQ152" s="60"/>
      <c r="IR152" s="60"/>
      <c r="IS152" s="60"/>
      <c r="IT152" s="60"/>
      <c r="IU152" s="60"/>
      <c r="IV152" s="60"/>
      <c r="IW152" s="60"/>
      <c r="IX152" s="60"/>
      <c r="IY152" s="60"/>
      <c r="IZ152" s="60"/>
      <c r="JA152" s="60"/>
      <c r="JB152" s="60"/>
      <c r="JC152" s="60"/>
      <c r="JD152" s="60"/>
      <c r="JE152" s="60"/>
      <c r="JF152" s="60"/>
      <c r="JG152" s="60"/>
      <c r="JH152" s="60"/>
      <c r="JI152" s="60"/>
      <c r="JJ152" s="60"/>
      <c r="JK152" s="60"/>
      <c r="JL152" s="60"/>
      <c r="JM152" s="60"/>
      <c r="JN152" s="60"/>
      <c r="JO152" s="60"/>
      <c r="JP152" s="60"/>
      <c r="JQ152" s="60"/>
      <c r="JR152" s="60"/>
      <c r="JS152" s="60"/>
      <c r="JT152" s="60"/>
      <c r="JU152" s="60"/>
      <c r="JV152" s="60"/>
      <c r="JW152" s="60"/>
      <c r="JX152" s="60"/>
      <c r="JY152" s="60"/>
      <c r="JZ152" s="60"/>
      <c r="KA152" s="60"/>
      <c r="KB152" s="60"/>
      <c r="KC152" s="60"/>
      <c r="KD152" s="60"/>
      <c r="KE152" s="60"/>
      <c r="KF152" s="60"/>
      <c r="KG152" s="60"/>
      <c r="KH152" s="60"/>
      <c r="KI152" s="60"/>
      <c r="KJ152" s="60"/>
      <c r="KK152" s="60"/>
      <c r="KL152" s="60"/>
      <c r="KM152" s="60"/>
      <c r="KN152" s="60"/>
      <c r="KO152" s="60"/>
      <c r="KP152" s="60"/>
      <c r="KQ152" s="60"/>
      <c r="KR152" s="60"/>
      <c r="KS152" s="60"/>
      <c r="KT152" s="60"/>
      <c r="KU152" s="60"/>
      <c r="KV152" s="60"/>
      <c r="KW152" s="60"/>
      <c r="KX152" s="60"/>
      <c r="KY152" s="60"/>
      <c r="KZ152" s="60"/>
      <c r="LA152" s="60"/>
      <c r="LB152" s="60"/>
      <c r="LC152" s="60"/>
      <c r="LD152" s="60"/>
      <c r="LE152" s="60"/>
      <c r="LF152" s="60"/>
      <c r="LG152" s="60"/>
      <c r="LH152" s="60"/>
    </row>
    <row r="154" spans="1:320" s="146" customFormat="1" ht="61.5" customHeight="1" x14ac:dyDescent="0.25">
      <c r="A154" s="147"/>
      <c r="C154" s="154"/>
      <c r="D154" s="154"/>
      <c r="E154" s="154"/>
      <c r="G154" s="153"/>
      <c r="H154" s="152"/>
      <c r="I154" s="151" t="str">
        <f>IF(AND(F7&lt;5,F7&gt;=3),"Minimum volume for 8 cycles of a Peggy/Sally/NanoPro run is 5µL",IF(F7&lt;5,"Minimum sample volume for a Jess run is 3µL"," "))</f>
        <v xml:space="preserve"> </v>
      </c>
      <c r="J154" s="150"/>
      <c r="K154" s="150"/>
      <c r="L154" s="149"/>
      <c r="M154" s="149"/>
      <c r="N154" s="149"/>
      <c r="O154" s="149"/>
      <c r="P154" s="149"/>
      <c r="T154" s="17"/>
      <c r="U154" s="17"/>
      <c r="V154" s="17"/>
      <c r="W154" s="17"/>
      <c r="X154" s="17"/>
      <c r="Y154" s="17"/>
      <c r="Z154" s="17"/>
      <c r="AA154" s="17"/>
      <c r="AB154" s="17"/>
      <c r="AC154" s="60"/>
      <c r="AD154" s="60"/>
      <c r="AE154" s="60"/>
      <c r="AF154" s="60"/>
      <c r="AG154" s="60"/>
      <c r="AH154" s="60"/>
      <c r="AI154" s="60"/>
      <c r="AJ154" s="60"/>
      <c r="AK154" s="60"/>
      <c r="AL154" s="60"/>
      <c r="AM154" s="60"/>
      <c r="AN154" s="60"/>
      <c r="AO154" s="60"/>
      <c r="AP154" s="60"/>
      <c r="AQ154" s="60"/>
      <c r="AR154" s="60"/>
      <c r="AS154" s="60"/>
      <c r="AT154" s="60"/>
      <c r="AU154" s="60"/>
      <c r="AV154" s="60"/>
      <c r="AW154" s="60"/>
      <c r="AX154" s="60"/>
      <c r="AY154" s="60"/>
      <c r="AZ154" s="60"/>
      <c r="BA154" s="60"/>
      <c r="BB154" s="60"/>
      <c r="BC154" s="60"/>
      <c r="BD154" s="60"/>
      <c r="BE154" s="60"/>
      <c r="BF154" s="60"/>
      <c r="BG154" s="60"/>
      <c r="BH154" s="60"/>
      <c r="BI154" s="60"/>
      <c r="BJ154" s="60"/>
      <c r="BK154" s="60"/>
      <c r="BL154" s="60"/>
      <c r="BM154" s="60"/>
      <c r="BN154" s="60"/>
      <c r="BO154" s="60"/>
      <c r="BP154" s="60"/>
      <c r="BQ154" s="60"/>
      <c r="BR154" s="60"/>
      <c r="BS154" s="60"/>
      <c r="BT154" s="60"/>
      <c r="BU154" s="60"/>
      <c r="BV154" s="60"/>
      <c r="BW154" s="60"/>
      <c r="BX154" s="60"/>
      <c r="BY154" s="60"/>
      <c r="BZ154" s="60"/>
      <c r="CA154" s="60"/>
      <c r="CB154" s="60"/>
      <c r="CC154" s="60"/>
      <c r="CD154" s="60"/>
      <c r="CE154" s="60"/>
      <c r="CF154" s="60"/>
      <c r="CG154" s="60"/>
      <c r="CH154" s="60"/>
      <c r="CI154" s="60"/>
      <c r="CJ154" s="60"/>
      <c r="CK154" s="60"/>
      <c r="CL154" s="60"/>
      <c r="CM154" s="60"/>
      <c r="CN154" s="60"/>
      <c r="CO154" s="60"/>
      <c r="CP154" s="60"/>
      <c r="CQ154" s="60"/>
      <c r="CR154" s="60"/>
      <c r="CS154" s="60"/>
      <c r="CT154" s="60"/>
      <c r="CU154" s="60"/>
      <c r="CV154" s="60"/>
      <c r="CW154" s="60"/>
      <c r="CX154" s="60"/>
      <c r="CY154" s="60"/>
      <c r="CZ154" s="60"/>
      <c r="DA154" s="60"/>
      <c r="DB154" s="60"/>
      <c r="DC154" s="60"/>
      <c r="DD154" s="60"/>
      <c r="DE154" s="60"/>
      <c r="DF154" s="60"/>
      <c r="DG154" s="60"/>
      <c r="DH154" s="60"/>
      <c r="DI154" s="60"/>
      <c r="DJ154" s="60"/>
      <c r="DK154" s="60"/>
      <c r="DL154" s="60"/>
      <c r="DM154" s="60"/>
      <c r="DN154" s="60"/>
      <c r="DO154" s="60"/>
      <c r="DP154" s="60"/>
      <c r="DQ154" s="60"/>
      <c r="DR154" s="60"/>
      <c r="DS154" s="60"/>
      <c r="DT154" s="60"/>
      <c r="DU154" s="60"/>
      <c r="DV154" s="60"/>
      <c r="DW154" s="60"/>
      <c r="DX154" s="60"/>
      <c r="DY154" s="60"/>
      <c r="DZ154" s="60"/>
      <c r="EA154" s="60"/>
      <c r="EB154" s="60"/>
      <c r="EC154" s="60"/>
      <c r="ED154" s="60"/>
      <c r="EE154" s="60"/>
      <c r="EF154" s="60"/>
      <c r="EG154" s="60"/>
      <c r="EH154" s="60"/>
      <c r="EI154" s="60"/>
      <c r="EJ154" s="60"/>
      <c r="EK154" s="60"/>
      <c r="EL154" s="60"/>
      <c r="EM154" s="60"/>
      <c r="EN154" s="60"/>
      <c r="EO154" s="60"/>
      <c r="EP154" s="60"/>
      <c r="EQ154" s="60"/>
      <c r="ER154" s="60"/>
      <c r="ES154" s="60"/>
      <c r="ET154" s="60"/>
      <c r="EU154" s="60"/>
      <c r="EV154" s="60"/>
      <c r="EW154" s="60"/>
      <c r="EX154" s="60"/>
      <c r="EY154" s="60"/>
      <c r="EZ154" s="60"/>
      <c r="FA154" s="60"/>
      <c r="FB154" s="60"/>
      <c r="FC154" s="60"/>
      <c r="FD154" s="60"/>
      <c r="FE154" s="60"/>
      <c r="FF154" s="60"/>
      <c r="FG154" s="60"/>
      <c r="FH154" s="60"/>
      <c r="FI154" s="60"/>
      <c r="FJ154" s="60"/>
      <c r="FK154" s="60"/>
      <c r="FL154" s="60"/>
      <c r="FM154" s="60"/>
      <c r="FN154" s="60"/>
      <c r="FO154" s="60"/>
      <c r="FP154" s="60"/>
      <c r="FQ154" s="60"/>
      <c r="FR154" s="60"/>
      <c r="FS154" s="60"/>
      <c r="FT154" s="60"/>
      <c r="FU154" s="60"/>
      <c r="FV154" s="60"/>
      <c r="FW154" s="60"/>
      <c r="FX154" s="60"/>
      <c r="FY154" s="60"/>
      <c r="FZ154" s="60"/>
      <c r="GA154" s="60"/>
      <c r="GB154" s="60"/>
      <c r="GC154" s="60"/>
      <c r="GD154" s="60"/>
      <c r="GE154" s="60"/>
      <c r="GF154" s="60"/>
      <c r="GG154" s="60"/>
      <c r="GH154" s="60"/>
      <c r="GI154" s="60"/>
      <c r="GJ154" s="60"/>
      <c r="GK154" s="60"/>
      <c r="GL154" s="60"/>
      <c r="GM154" s="60"/>
      <c r="GN154" s="60"/>
      <c r="GO154" s="60"/>
      <c r="GP154" s="60"/>
      <c r="GQ154" s="60"/>
      <c r="GR154" s="60"/>
      <c r="GS154" s="60"/>
      <c r="GT154" s="60"/>
      <c r="GU154" s="60"/>
      <c r="GV154" s="60"/>
      <c r="GW154" s="60"/>
      <c r="GX154" s="60"/>
      <c r="GY154" s="60"/>
      <c r="GZ154" s="60"/>
      <c r="HA154" s="60"/>
      <c r="HB154" s="60"/>
      <c r="HC154" s="60"/>
      <c r="HD154" s="60"/>
      <c r="HE154" s="60"/>
      <c r="HF154" s="60"/>
      <c r="HG154" s="60"/>
      <c r="HH154" s="60"/>
      <c r="HI154" s="60"/>
      <c r="HJ154" s="60"/>
      <c r="HK154" s="60"/>
      <c r="HL154" s="60"/>
      <c r="HM154" s="60"/>
      <c r="HN154" s="60"/>
      <c r="HO154" s="60"/>
      <c r="HP154" s="60"/>
      <c r="HQ154" s="60"/>
      <c r="HR154" s="60"/>
      <c r="HS154" s="60"/>
      <c r="HT154" s="60"/>
      <c r="HU154" s="60"/>
      <c r="HV154" s="60"/>
      <c r="HW154" s="60"/>
      <c r="HX154" s="60"/>
      <c r="HY154" s="60"/>
      <c r="HZ154" s="60"/>
      <c r="IA154" s="60"/>
      <c r="IB154" s="60"/>
      <c r="IC154" s="60"/>
      <c r="ID154" s="60"/>
      <c r="IE154" s="60"/>
      <c r="IF154" s="60"/>
      <c r="IG154" s="60"/>
      <c r="IH154" s="60"/>
      <c r="II154" s="60"/>
      <c r="IJ154" s="60"/>
      <c r="IK154" s="60"/>
      <c r="IL154" s="60"/>
      <c r="IM154" s="60"/>
      <c r="IN154" s="60"/>
      <c r="IO154" s="60"/>
      <c r="IP154" s="60"/>
      <c r="IQ154" s="60"/>
      <c r="IR154" s="60"/>
      <c r="IS154" s="60"/>
      <c r="IT154" s="60"/>
      <c r="IU154" s="60"/>
      <c r="IV154" s="60"/>
      <c r="IW154" s="60"/>
      <c r="IX154" s="60"/>
      <c r="IY154" s="60"/>
      <c r="IZ154" s="60"/>
      <c r="JA154" s="60"/>
      <c r="JB154" s="60"/>
      <c r="JC154" s="60"/>
      <c r="JD154" s="60"/>
      <c r="JE154" s="60"/>
      <c r="JF154" s="60"/>
      <c r="JG154" s="60"/>
      <c r="JH154" s="60"/>
      <c r="JI154" s="60"/>
      <c r="JJ154" s="60"/>
      <c r="JK154" s="60"/>
      <c r="JL154" s="60"/>
      <c r="JM154" s="60"/>
      <c r="JN154" s="60"/>
      <c r="JO154" s="60"/>
      <c r="JP154" s="60"/>
      <c r="JQ154" s="60"/>
      <c r="JR154" s="60"/>
      <c r="JS154" s="60"/>
      <c r="JT154" s="60"/>
      <c r="JU154" s="60"/>
      <c r="JV154" s="60"/>
      <c r="JW154" s="60"/>
      <c r="JX154" s="60"/>
      <c r="JY154" s="60"/>
      <c r="JZ154" s="60"/>
      <c r="KA154" s="60"/>
      <c r="KB154" s="60"/>
      <c r="KC154" s="60"/>
      <c r="KD154" s="60"/>
      <c r="KE154" s="60"/>
      <c r="KF154" s="60"/>
      <c r="KG154" s="60"/>
      <c r="KH154" s="60"/>
      <c r="KI154" s="60"/>
      <c r="KJ154" s="60"/>
      <c r="KK154" s="60"/>
      <c r="KL154" s="60"/>
      <c r="KM154" s="60"/>
      <c r="KN154" s="60"/>
      <c r="KO154" s="60"/>
      <c r="KP154" s="60"/>
      <c r="KQ154" s="60"/>
      <c r="KR154" s="60"/>
      <c r="KS154" s="60"/>
      <c r="KT154" s="60"/>
      <c r="KU154" s="60"/>
      <c r="KV154" s="60"/>
      <c r="KW154" s="60"/>
      <c r="KX154" s="60"/>
      <c r="KY154" s="60"/>
      <c r="KZ154" s="60"/>
      <c r="LA154" s="60"/>
      <c r="LB154" s="60"/>
      <c r="LC154" s="60"/>
      <c r="LD154" s="60"/>
      <c r="LE154" s="60"/>
      <c r="LF154" s="60"/>
      <c r="LG154" s="60"/>
      <c r="LH154" s="60"/>
    </row>
    <row r="155" spans="1:320" s="146" customFormat="1" x14ac:dyDescent="0.25">
      <c r="A155" s="147"/>
      <c r="B155" s="1"/>
      <c r="C155" s="1"/>
      <c r="D155" s="1"/>
      <c r="E155" s="1"/>
      <c r="F155" s="1"/>
      <c r="G155" s="1"/>
      <c r="H155" s="1"/>
      <c r="T155" s="17"/>
      <c r="U155" s="17"/>
      <c r="V155" s="17"/>
      <c r="W155" s="17"/>
      <c r="X155" s="17"/>
      <c r="Y155" s="17"/>
      <c r="Z155" s="17"/>
      <c r="AA155" s="17"/>
      <c r="AB155" s="17"/>
      <c r="AC155" s="60"/>
      <c r="AD155" s="60"/>
      <c r="AE155" s="60"/>
      <c r="AF155" s="60"/>
      <c r="AG155" s="60"/>
      <c r="AH155" s="60"/>
      <c r="AI155" s="60"/>
      <c r="AJ155" s="60"/>
      <c r="AK155" s="60"/>
      <c r="AL155" s="60"/>
      <c r="AM155" s="60"/>
      <c r="AN155" s="60"/>
      <c r="AO155" s="60"/>
      <c r="AP155" s="60"/>
      <c r="AQ155" s="60"/>
      <c r="AR155" s="60"/>
      <c r="AS155" s="60"/>
      <c r="AT155" s="60"/>
      <c r="AU155" s="60"/>
      <c r="AV155" s="60"/>
      <c r="AW155" s="60"/>
      <c r="AX155" s="60"/>
      <c r="AY155" s="60"/>
      <c r="AZ155" s="60"/>
      <c r="BA155" s="60"/>
      <c r="BB155" s="60"/>
      <c r="BC155" s="60"/>
      <c r="BD155" s="60"/>
      <c r="BE155" s="60"/>
      <c r="BF155" s="60"/>
      <c r="BG155" s="60"/>
      <c r="BH155" s="60"/>
      <c r="BI155" s="60"/>
      <c r="BJ155" s="60"/>
      <c r="BK155" s="60"/>
      <c r="BL155" s="60"/>
      <c r="BM155" s="60"/>
      <c r="BN155" s="60"/>
      <c r="BO155" s="60"/>
      <c r="BP155" s="60"/>
      <c r="BQ155" s="60"/>
      <c r="BR155" s="60"/>
      <c r="BS155" s="60"/>
      <c r="BT155" s="60"/>
      <c r="BU155" s="60"/>
      <c r="BV155" s="60"/>
      <c r="BW155" s="60"/>
      <c r="BX155" s="60"/>
      <c r="BY155" s="60"/>
      <c r="BZ155" s="60"/>
      <c r="CA155" s="60"/>
      <c r="CB155" s="60"/>
      <c r="CC155" s="60"/>
      <c r="CD155" s="60"/>
      <c r="CE155" s="60"/>
      <c r="CF155" s="60"/>
      <c r="CG155" s="60"/>
      <c r="CH155" s="60"/>
      <c r="CI155" s="60"/>
      <c r="CJ155" s="60"/>
      <c r="CK155" s="60"/>
      <c r="CL155" s="60"/>
      <c r="CM155" s="60"/>
      <c r="CN155" s="60"/>
      <c r="CO155" s="60"/>
      <c r="CP155" s="60"/>
      <c r="CQ155" s="60"/>
      <c r="CR155" s="60"/>
      <c r="CS155" s="60"/>
      <c r="CT155" s="60"/>
      <c r="CU155" s="60"/>
      <c r="CV155" s="60"/>
      <c r="CW155" s="60"/>
      <c r="CX155" s="60"/>
      <c r="CY155" s="60"/>
      <c r="CZ155" s="60"/>
      <c r="DA155" s="60"/>
      <c r="DB155" s="60"/>
      <c r="DC155" s="60"/>
      <c r="DD155" s="60"/>
      <c r="DE155" s="60"/>
      <c r="DF155" s="60"/>
      <c r="DG155" s="60"/>
      <c r="DH155" s="60"/>
      <c r="DI155" s="60"/>
      <c r="DJ155" s="60"/>
      <c r="DK155" s="60"/>
      <c r="DL155" s="60"/>
      <c r="DM155" s="60"/>
      <c r="DN155" s="60"/>
      <c r="DO155" s="60"/>
      <c r="DP155" s="60"/>
      <c r="DQ155" s="60"/>
      <c r="DR155" s="60"/>
      <c r="DS155" s="60"/>
      <c r="DT155" s="60"/>
      <c r="DU155" s="60"/>
      <c r="DV155" s="60"/>
      <c r="DW155" s="60"/>
      <c r="DX155" s="60"/>
      <c r="DY155" s="60"/>
      <c r="DZ155" s="60"/>
      <c r="EA155" s="60"/>
      <c r="EB155" s="60"/>
      <c r="EC155" s="60"/>
      <c r="ED155" s="60"/>
      <c r="EE155" s="60"/>
      <c r="EF155" s="60"/>
      <c r="EG155" s="60"/>
      <c r="EH155" s="60"/>
      <c r="EI155" s="60"/>
      <c r="EJ155" s="60"/>
      <c r="EK155" s="60"/>
      <c r="EL155" s="60"/>
      <c r="EM155" s="60"/>
      <c r="EN155" s="60"/>
      <c r="EO155" s="60"/>
      <c r="EP155" s="60"/>
      <c r="EQ155" s="60"/>
      <c r="ER155" s="60"/>
      <c r="ES155" s="60"/>
      <c r="ET155" s="60"/>
      <c r="EU155" s="60"/>
      <c r="EV155" s="60"/>
      <c r="EW155" s="60"/>
      <c r="EX155" s="60"/>
      <c r="EY155" s="60"/>
      <c r="EZ155" s="60"/>
      <c r="FA155" s="60"/>
      <c r="FB155" s="60"/>
      <c r="FC155" s="60"/>
      <c r="FD155" s="60"/>
      <c r="FE155" s="60"/>
      <c r="FF155" s="60"/>
      <c r="FG155" s="60"/>
      <c r="FH155" s="60"/>
      <c r="FI155" s="60"/>
      <c r="FJ155" s="60"/>
      <c r="FK155" s="60"/>
      <c r="FL155" s="60"/>
      <c r="FM155" s="60"/>
      <c r="FN155" s="60"/>
      <c r="FO155" s="60"/>
      <c r="FP155" s="60"/>
      <c r="FQ155" s="60"/>
      <c r="FR155" s="60"/>
      <c r="FS155" s="60"/>
      <c r="FT155" s="60"/>
      <c r="FU155" s="60"/>
      <c r="FV155" s="60"/>
      <c r="FW155" s="60"/>
      <c r="FX155" s="60"/>
      <c r="FY155" s="60"/>
      <c r="FZ155" s="60"/>
      <c r="GA155" s="60"/>
      <c r="GB155" s="60"/>
      <c r="GC155" s="60"/>
      <c r="GD155" s="60"/>
      <c r="GE155" s="60"/>
      <c r="GF155" s="60"/>
      <c r="GG155" s="60"/>
      <c r="GH155" s="60"/>
      <c r="GI155" s="60"/>
      <c r="GJ155" s="60"/>
      <c r="GK155" s="60"/>
      <c r="GL155" s="60"/>
      <c r="GM155" s="60"/>
      <c r="GN155" s="60"/>
      <c r="GO155" s="60"/>
      <c r="GP155" s="60"/>
      <c r="GQ155" s="60"/>
      <c r="GR155" s="60"/>
      <c r="GS155" s="60"/>
      <c r="GT155" s="60"/>
      <c r="GU155" s="60"/>
      <c r="GV155" s="60"/>
      <c r="GW155" s="60"/>
      <c r="GX155" s="60"/>
      <c r="GY155" s="60"/>
      <c r="GZ155" s="60"/>
      <c r="HA155" s="60"/>
      <c r="HB155" s="60"/>
      <c r="HC155" s="60"/>
      <c r="HD155" s="60"/>
      <c r="HE155" s="60"/>
      <c r="HF155" s="60"/>
      <c r="HG155" s="60"/>
      <c r="HH155" s="60"/>
      <c r="HI155" s="60"/>
      <c r="HJ155" s="60"/>
      <c r="HK155" s="60"/>
      <c r="HL155" s="60"/>
      <c r="HM155" s="60"/>
      <c r="HN155" s="60"/>
      <c r="HO155" s="60"/>
      <c r="HP155" s="60"/>
      <c r="HQ155" s="60"/>
      <c r="HR155" s="60"/>
      <c r="HS155" s="60"/>
      <c r="HT155" s="60"/>
      <c r="HU155" s="60"/>
      <c r="HV155" s="60"/>
      <c r="HW155" s="60"/>
      <c r="HX155" s="60"/>
      <c r="HY155" s="60"/>
      <c r="HZ155" s="60"/>
      <c r="IA155" s="60"/>
      <c r="IB155" s="60"/>
      <c r="IC155" s="60"/>
      <c r="ID155" s="60"/>
      <c r="IE155" s="60"/>
      <c r="IF155" s="60"/>
      <c r="IG155" s="60"/>
      <c r="IH155" s="60"/>
      <c r="II155" s="60"/>
      <c r="IJ155" s="60"/>
      <c r="IK155" s="60"/>
      <c r="IL155" s="60"/>
      <c r="IM155" s="60"/>
      <c r="IN155" s="60"/>
      <c r="IO155" s="60"/>
      <c r="IP155" s="60"/>
      <c r="IQ155" s="60"/>
      <c r="IR155" s="60"/>
      <c r="IS155" s="60"/>
      <c r="IT155" s="60"/>
      <c r="IU155" s="60"/>
      <c r="IV155" s="60"/>
      <c r="IW155" s="60"/>
      <c r="IX155" s="60"/>
      <c r="IY155" s="60"/>
      <c r="IZ155" s="60"/>
      <c r="JA155" s="60"/>
      <c r="JB155" s="60"/>
      <c r="JC155" s="60"/>
      <c r="JD155" s="60"/>
      <c r="JE155" s="60"/>
      <c r="JF155" s="60"/>
      <c r="JG155" s="60"/>
      <c r="JH155" s="60"/>
      <c r="JI155" s="60"/>
      <c r="JJ155" s="60"/>
      <c r="JK155" s="60"/>
      <c r="JL155" s="60"/>
      <c r="JM155" s="60"/>
      <c r="JN155" s="60"/>
      <c r="JO155" s="60"/>
      <c r="JP155" s="60"/>
      <c r="JQ155" s="60"/>
      <c r="JR155" s="60"/>
      <c r="JS155" s="60"/>
      <c r="JT155" s="60"/>
      <c r="JU155" s="60"/>
      <c r="JV155" s="60"/>
      <c r="JW155" s="60"/>
      <c r="JX155" s="60"/>
      <c r="JY155" s="60"/>
      <c r="JZ155" s="60"/>
      <c r="KA155" s="60"/>
      <c r="KB155" s="60"/>
      <c r="KC155" s="60"/>
      <c r="KD155" s="60"/>
      <c r="KE155" s="60"/>
      <c r="KF155" s="60"/>
      <c r="KG155" s="60"/>
      <c r="KH155" s="60"/>
      <c r="KI155" s="60"/>
      <c r="KJ155" s="60"/>
      <c r="KK155" s="60"/>
      <c r="KL155" s="60"/>
      <c r="KM155" s="60"/>
      <c r="KN155" s="60"/>
      <c r="KO155" s="60"/>
      <c r="KP155" s="60"/>
      <c r="KQ155" s="60"/>
      <c r="KR155" s="60"/>
      <c r="KS155" s="60"/>
      <c r="KT155" s="60"/>
      <c r="KU155" s="60"/>
      <c r="KV155" s="60"/>
      <c r="KW155" s="60"/>
      <c r="KX155" s="60"/>
      <c r="KY155" s="60"/>
      <c r="KZ155" s="60"/>
      <c r="LA155" s="60"/>
      <c r="LB155" s="60"/>
      <c r="LC155" s="60"/>
      <c r="LD155" s="60"/>
      <c r="LE155" s="60"/>
      <c r="LF155" s="60"/>
      <c r="LG155" s="60"/>
      <c r="LH155" s="60"/>
    </row>
    <row r="187" spans="1:320" s="146" customFormat="1" ht="23.25" x14ac:dyDescent="0.25">
      <c r="A187" s="147"/>
      <c r="B187" s="346" t="s">
        <v>100</v>
      </c>
      <c r="C187" s="346"/>
      <c r="D187" s="346"/>
      <c r="E187" s="346"/>
      <c r="F187" s="347" t="e">
        <f>IF(#REF!="No Master Mix",1,1-(1/#REF!))</f>
        <v>#REF!</v>
      </c>
      <c r="G187" s="347"/>
      <c r="H187" s="347"/>
      <c r="T187" s="17"/>
      <c r="U187" s="17"/>
      <c r="V187" s="17"/>
      <c r="W187" s="17"/>
      <c r="X187" s="17"/>
      <c r="Y187" s="17"/>
      <c r="Z187" s="17"/>
      <c r="AA187" s="17"/>
      <c r="AB187" s="17"/>
      <c r="AC187" s="60"/>
      <c r="AD187" s="60"/>
      <c r="AE187" s="60"/>
      <c r="AF187" s="60"/>
      <c r="AG187" s="60"/>
      <c r="AH187" s="60"/>
      <c r="AI187" s="60"/>
      <c r="AJ187" s="60"/>
      <c r="AK187" s="60"/>
      <c r="AL187" s="60"/>
      <c r="AM187" s="60"/>
      <c r="AN187" s="60"/>
      <c r="AO187" s="60"/>
      <c r="AP187" s="60"/>
      <c r="AQ187" s="60"/>
      <c r="AR187" s="60"/>
      <c r="AS187" s="60"/>
      <c r="AT187" s="60"/>
      <c r="AU187" s="60"/>
      <c r="AV187" s="60"/>
      <c r="AW187" s="60"/>
      <c r="AX187" s="60"/>
      <c r="AY187" s="60"/>
      <c r="AZ187" s="60"/>
      <c r="BA187" s="60"/>
      <c r="BB187" s="60"/>
      <c r="BC187" s="60"/>
      <c r="BD187" s="60"/>
      <c r="BE187" s="60"/>
      <c r="BF187" s="60"/>
      <c r="BG187" s="60"/>
      <c r="BH187" s="60"/>
      <c r="BI187" s="60"/>
      <c r="BJ187" s="60"/>
      <c r="BK187" s="60"/>
      <c r="BL187" s="60"/>
      <c r="BM187" s="60"/>
      <c r="BN187" s="60"/>
      <c r="BO187" s="60"/>
      <c r="BP187" s="60"/>
      <c r="BQ187" s="60"/>
      <c r="BR187" s="60"/>
      <c r="BS187" s="60"/>
      <c r="BT187" s="60"/>
      <c r="BU187" s="60"/>
      <c r="BV187" s="60"/>
      <c r="BW187" s="60"/>
      <c r="BX187" s="60"/>
      <c r="BY187" s="60"/>
      <c r="BZ187" s="60"/>
      <c r="CA187" s="60"/>
      <c r="CB187" s="60"/>
      <c r="CC187" s="60"/>
      <c r="CD187" s="60"/>
      <c r="CE187" s="60"/>
      <c r="CF187" s="60"/>
      <c r="CG187" s="60"/>
      <c r="CH187" s="60"/>
      <c r="CI187" s="60"/>
      <c r="CJ187" s="60"/>
      <c r="CK187" s="60"/>
      <c r="CL187" s="60"/>
      <c r="CM187" s="60"/>
      <c r="CN187" s="60"/>
      <c r="CO187" s="60"/>
      <c r="CP187" s="60"/>
      <c r="CQ187" s="60"/>
      <c r="CR187" s="60"/>
      <c r="CS187" s="60"/>
      <c r="CT187" s="60"/>
      <c r="CU187" s="60"/>
      <c r="CV187" s="60"/>
      <c r="CW187" s="60"/>
      <c r="CX187" s="60"/>
      <c r="CY187" s="60"/>
      <c r="CZ187" s="60"/>
      <c r="DA187" s="60"/>
      <c r="DB187" s="60"/>
      <c r="DC187" s="60"/>
      <c r="DD187" s="60"/>
      <c r="DE187" s="60"/>
      <c r="DF187" s="60"/>
      <c r="DG187" s="60"/>
      <c r="DH187" s="60"/>
      <c r="DI187" s="60"/>
      <c r="DJ187" s="60"/>
      <c r="DK187" s="60"/>
      <c r="DL187" s="60"/>
      <c r="DM187" s="60"/>
      <c r="DN187" s="60"/>
      <c r="DO187" s="60"/>
      <c r="DP187" s="60"/>
      <c r="DQ187" s="60"/>
      <c r="DR187" s="60"/>
      <c r="DS187" s="60"/>
      <c r="DT187" s="60"/>
      <c r="DU187" s="60"/>
      <c r="DV187" s="60"/>
      <c r="DW187" s="60"/>
      <c r="DX187" s="60"/>
      <c r="DY187" s="60"/>
      <c r="DZ187" s="60"/>
      <c r="EA187" s="60"/>
      <c r="EB187" s="60"/>
      <c r="EC187" s="60"/>
      <c r="ED187" s="60"/>
      <c r="EE187" s="60"/>
      <c r="EF187" s="60"/>
      <c r="EG187" s="60"/>
      <c r="EH187" s="60"/>
      <c r="EI187" s="60"/>
      <c r="EJ187" s="60"/>
      <c r="EK187" s="60"/>
      <c r="EL187" s="60"/>
      <c r="EM187" s="60"/>
      <c r="EN187" s="60"/>
      <c r="EO187" s="60"/>
      <c r="EP187" s="60"/>
      <c r="EQ187" s="60"/>
      <c r="ER187" s="60"/>
      <c r="ES187" s="60"/>
      <c r="ET187" s="60"/>
      <c r="EU187" s="60"/>
      <c r="EV187" s="60"/>
      <c r="EW187" s="60"/>
      <c r="EX187" s="60"/>
      <c r="EY187" s="60"/>
      <c r="EZ187" s="60"/>
      <c r="FA187" s="60"/>
      <c r="FB187" s="60"/>
      <c r="FC187" s="60"/>
      <c r="FD187" s="60"/>
      <c r="FE187" s="60"/>
      <c r="FF187" s="60"/>
      <c r="FG187" s="60"/>
      <c r="FH187" s="60"/>
      <c r="FI187" s="60"/>
      <c r="FJ187" s="60"/>
      <c r="FK187" s="60"/>
      <c r="FL187" s="60"/>
      <c r="FM187" s="60"/>
      <c r="FN187" s="60"/>
      <c r="FO187" s="60"/>
      <c r="FP187" s="60"/>
      <c r="FQ187" s="60"/>
      <c r="FR187" s="60"/>
      <c r="FS187" s="60"/>
      <c r="FT187" s="60"/>
      <c r="FU187" s="60"/>
      <c r="FV187" s="60"/>
      <c r="FW187" s="60"/>
      <c r="FX187" s="60"/>
      <c r="FY187" s="60"/>
      <c r="FZ187" s="60"/>
      <c r="GA187" s="60"/>
      <c r="GB187" s="60"/>
      <c r="GC187" s="60"/>
      <c r="GD187" s="60"/>
      <c r="GE187" s="60"/>
      <c r="GF187" s="60"/>
      <c r="GG187" s="60"/>
      <c r="GH187" s="60"/>
      <c r="GI187" s="60"/>
      <c r="GJ187" s="60"/>
      <c r="GK187" s="60"/>
      <c r="GL187" s="60"/>
      <c r="GM187" s="60"/>
      <c r="GN187" s="60"/>
      <c r="GO187" s="60"/>
      <c r="GP187" s="60"/>
      <c r="GQ187" s="60"/>
      <c r="GR187" s="60"/>
      <c r="GS187" s="60"/>
      <c r="GT187" s="60"/>
      <c r="GU187" s="60"/>
      <c r="GV187" s="60"/>
      <c r="GW187" s="60"/>
      <c r="GX187" s="60"/>
      <c r="GY187" s="60"/>
      <c r="GZ187" s="60"/>
      <c r="HA187" s="60"/>
      <c r="HB187" s="60"/>
      <c r="HC187" s="60"/>
      <c r="HD187" s="60"/>
      <c r="HE187" s="60"/>
      <c r="HF187" s="60"/>
      <c r="HG187" s="60"/>
      <c r="HH187" s="60"/>
      <c r="HI187" s="60"/>
      <c r="HJ187" s="60"/>
      <c r="HK187" s="60"/>
      <c r="HL187" s="60"/>
      <c r="HM187" s="60"/>
      <c r="HN187" s="60"/>
      <c r="HO187" s="60"/>
      <c r="HP187" s="60"/>
      <c r="HQ187" s="60"/>
      <c r="HR187" s="60"/>
      <c r="HS187" s="60"/>
      <c r="HT187" s="60"/>
      <c r="HU187" s="60"/>
      <c r="HV187" s="60"/>
      <c r="HW187" s="60"/>
      <c r="HX187" s="60"/>
      <c r="HY187" s="60"/>
      <c r="HZ187" s="60"/>
      <c r="IA187" s="60"/>
      <c r="IB187" s="60"/>
      <c r="IC187" s="60"/>
      <c r="ID187" s="60"/>
      <c r="IE187" s="60"/>
      <c r="IF187" s="60"/>
      <c r="IG187" s="60"/>
      <c r="IH187" s="60"/>
      <c r="II187" s="60"/>
      <c r="IJ187" s="60"/>
      <c r="IK187" s="60"/>
      <c r="IL187" s="60"/>
      <c r="IM187" s="60"/>
      <c r="IN187" s="60"/>
      <c r="IO187" s="60"/>
      <c r="IP187" s="60"/>
      <c r="IQ187" s="60"/>
      <c r="IR187" s="60"/>
      <c r="IS187" s="60"/>
      <c r="IT187" s="60"/>
      <c r="IU187" s="60"/>
      <c r="IV187" s="60"/>
      <c r="IW187" s="60"/>
      <c r="IX187" s="60"/>
      <c r="IY187" s="60"/>
      <c r="IZ187" s="60"/>
      <c r="JA187" s="60"/>
      <c r="JB187" s="60"/>
      <c r="JC187" s="60"/>
      <c r="JD187" s="60"/>
      <c r="JE187" s="60"/>
      <c r="JF187" s="60"/>
      <c r="JG187" s="60"/>
      <c r="JH187" s="60"/>
      <c r="JI187" s="60"/>
      <c r="JJ187" s="60"/>
      <c r="JK187" s="60"/>
      <c r="JL187" s="60"/>
      <c r="JM187" s="60"/>
      <c r="JN187" s="60"/>
      <c r="JO187" s="60"/>
      <c r="JP187" s="60"/>
      <c r="JQ187" s="60"/>
      <c r="JR187" s="60"/>
      <c r="JS187" s="60"/>
      <c r="JT187" s="60"/>
      <c r="JU187" s="60"/>
      <c r="JV187" s="60"/>
      <c r="JW187" s="60"/>
      <c r="JX187" s="60"/>
      <c r="JY187" s="60"/>
      <c r="JZ187" s="60"/>
      <c r="KA187" s="60"/>
      <c r="KB187" s="60"/>
      <c r="KC187" s="60"/>
      <c r="KD187" s="60"/>
      <c r="KE187" s="60"/>
      <c r="KF187" s="60"/>
      <c r="KG187" s="60"/>
      <c r="KH187" s="60"/>
      <c r="KI187" s="60"/>
      <c r="KJ187" s="60"/>
      <c r="KK187" s="60"/>
      <c r="KL187" s="60"/>
      <c r="KM187" s="60"/>
      <c r="KN187" s="60"/>
      <c r="KO187" s="60"/>
      <c r="KP187" s="60"/>
      <c r="KQ187" s="60"/>
      <c r="KR187" s="60"/>
      <c r="KS187" s="60"/>
      <c r="KT187" s="60"/>
      <c r="KU187" s="60"/>
      <c r="KV187" s="60"/>
      <c r="KW187" s="60"/>
      <c r="KX187" s="60"/>
      <c r="KY187" s="60"/>
      <c r="KZ187" s="60"/>
      <c r="LA187" s="60"/>
      <c r="LB187" s="60"/>
      <c r="LC187" s="60"/>
      <c r="LD187" s="60"/>
      <c r="LE187" s="60"/>
      <c r="LF187" s="60"/>
      <c r="LG187" s="60"/>
      <c r="LH187" s="60"/>
    </row>
    <row r="188" spans="1:320" s="146" customFormat="1" ht="23.25" x14ac:dyDescent="0.25">
      <c r="A188" s="147"/>
      <c r="B188" s="346" t="s">
        <v>99</v>
      </c>
      <c r="C188" s="346"/>
      <c r="D188" s="346"/>
      <c r="E188" s="346"/>
      <c r="F188" s="347" t="e">
        <f>10/F187</f>
        <v>#REF!</v>
      </c>
      <c r="G188" s="347"/>
      <c r="H188" s="347"/>
      <c r="T188" s="17"/>
      <c r="U188" s="17"/>
      <c r="V188" s="17"/>
      <c r="W188" s="17"/>
      <c r="X188" s="17"/>
      <c r="Y188" s="17"/>
      <c r="Z188" s="17"/>
      <c r="AA188" s="17"/>
      <c r="AB188" s="17"/>
      <c r="AC188" s="60"/>
      <c r="AD188" s="60"/>
      <c r="AE188" s="60"/>
      <c r="AF188" s="60"/>
      <c r="AG188" s="60"/>
      <c r="AH188" s="60"/>
      <c r="AI188" s="60"/>
      <c r="AJ188" s="60"/>
      <c r="AK188" s="60"/>
      <c r="AL188" s="60"/>
      <c r="AM188" s="60"/>
      <c r="AN188" s="60"/>
      <c r="AO188" s="60"/>
      <c r="AP188" s="60"/>
      <c r="AQ188" s="60"/>
      <c r="AR188" s="60"/>
      <c r="AS188" s="60"/>
      <c r="AT188" s="60"/>
      <c r="AU188" s="60"/>
      <c r="AV188" s="60"/>
      <c r="AW188" s="60"/>
      <c r="AX188" s="60"/>
      <c r="AY188" s="60"/>
      <c r="AZ188" s="60"/>
      <c r="BA188" s="60"/>
      <c r="BB188" s="60"/>
      <c r="BC188" s="60"/>
      <c r="BD188" s="60"/>
      <c r="BE188" s="60"/>
      <c r="BF188" s="60"/>
      <c r="BG188" s="60"/>
      <c r="BH188" s="60"/>
      <c r="BI188" s="60"/>
      <c r="BJ188" s="60"/>
      <c r="BK188" s="60"/>
      <c r="BL188" s="60"/>
      <c r="BM188" s="60"/>
      <c r="BN188" s="60"/>
      <c r="BO188" s="60"/>
      <c r="BP188" s="60"/>
      <c r="BQ188" s="60"/>
      <c r="BR188" s="60"/>
      <c r="BS188" s="60"/>
      <c r="BT188" s="60"/>
      <c r="BU188" s="60"/>
      <c r="BV188" s="60"/>
      <c r="BW188" s="60"/>
      <c r="BX188" s="60"/>
      <c r="BY188" s="60"/>
      <c r="BZ188" s="60"/>
      <c r="CA188" s="60"/>
      <c r="CB188" s="60"/>
      <c r="CC188" s="60"/>
      <c r="CD188" s="60"/>
      <c r="CE188" s="60"/>
      <c r="CF188" s="60"/>
      <c r="CG188" s="60"/>
      <c r="CH188" s="60"/>
      <c r="CI188" s="60"/>
      <c r="CJ188" s="60"/>
      <c r="CK188" s="60"/>
      <c r="CL188" s="60"/>
      <c r="CM188" s="60"/>
      <c r="CN188" s="60"/>
      <c r="CO188" s="60"/>
      <c r="CP188" s="60"/>
      <c r="CQ188" s="60"/>
      <c r="CR188" s="60"/>
      <c r="CS188" s="60"/>
      <c r="CT188" s="60"/>
      <c r="CU188" s="60"/>
      <c r="CV188" s="60"/>
      <c r="CW188" s="60"/>
      <c r="CX188" s="60"/>
      <c r="CY188" s="60"/>
      <c r="CZ188" s="60"/>
      <c r="DA188" s="60"/>
      <c r="DB188" s="60"/>
      <c r="DC188" s="60"/>
      <c r="DD188" s="60"/>
      <c r="DE188" s="60"/>
      <c r="DF188" s="60"/>
      <c r="DG188" s="60"/>
      <c r="DH188" s="60"/>
      <c r="DI188" s="60"/>
      <c r="DJ188" s="60"/>
      <c r="DK188" s="60"/>
      <c r="DL188" s="60"/>
      <c r="DM188" s="60"/>
      <c r="DN188" s="60"/>
      <c r="DO188" s="60"/>
      <c r="DP188" s="60"/>
      <c r="DQ188" s="60"/>
      <c r="DR188" s="60"/>
      <c r="DS188" s="60"/>
      <c r="DT188" s="60"/>
      <c r="DU188" s="60"/>
      <c r="DV188" s="60"/>
      <c r="DW188" s="60"/>
      <c r="DX188" s="60"/>
      <c r="DY188" s="60"/>
      <c r="DZ188" s="60"/>
      <c r="EA188" s="60"/>
      <c r="EB188" s="60"/>
      <c r="EC188" s="60"/>
      <c r="ED188" s="60"/>
      <c r="EE188" s="60"/>
      <c r="EF188" s="60"/>
      <c r="EG188" s="60"/>
      <c r="EH188" s="60"/>
      <c r="EI188" s="60"/>
      <c r="EJ188" s="60"/>
      <c r="EK188" s="60"/>
      <c r="EL188" s="60"/>
      <c r="EM188" s="60"/>
      <c r="EN188" s="60"/>
      <c r="EO188" s="60"/>
      <c r="EP188" s="60"/>
      <c r="EQ188" s="60"/>
      <c r="ER188" s="60"/>
      <c r="ES188" s="60"/>
      <c r="ET188" s="60"/>
      <c r="EU188" s="60"/>
      <c r="EV188" s="60"/>
      <c r="EW188" s="60"/>
      <c r="EX188" s="60"/>
      <c r="EY188" s="60"/>
      <c r="EZ188" s="60"/>
      <c r="FA188" s="60"/>
      <c r="FB188" s="60"/>
      <c r="FC188" s="60"/>
      <c r="FD188" s="60"/>
      <c r="FE188" s="60"/>
      <c r="FF188" s="60"/>
      <c r="FG188" s="60"/>
      <c r="FH188" s="60"/>
      <c r="FI188" s="60"/>
      <c r="FJ188" s="60"/>
      <c r="FK188" s="60"/>
      <c r="FL188" s="60"/>
      <c r="FM188" s="60"/>
      <c r="FN188" s="60"/>
      <c r="FO188" s="60"/>
      <c r="FP188" s="60"/>
      <c r="FQ188" s="60"/>
      <c r="FR188" s="60"/>
      <c r="FS188" s="60"/>
      <c r="FT188" s="60"/>
      <c r="FU188" s="60"/>
      <c r="FV188" s="60"/>
      <c r="FW188" s="60"/>
      <c r="FX188" s="60"/>
      <c r="FY188" s="60"/>
      <c r="FZ188" s="60"/>
      <c r="GA188" s="60"/>
      <c r="GB188" s="60"/>
      <c r="GC188" s="60"/>
      <c r="GD188" s="60"/>
      <c r="GE188" s="60"/>
      <c r="GF188" s="60"/>
      <c r="GG188" s="60"/>
      <c r="GH188" s="60"/>
      <c r="GI188" s="60"/>
      <c r="GJ188" s="60"/>
      <c r="GK188" s="60"/>
      <c r="GL188" s="60"/>
      <c r="GM188" s="60"/>
      <c r="GN188" s="60"/>
      <c r="GO188" s="60"/>
      <c r="GP188" s="60"/>
      <c r="GQ188" s="60"/>
      <c r="GR188" s="60"/>
      <c r="GS188" s="60"/>
      <c r="GT188" s="60"/>
      <c r="GU188" s="60"/>
      <c r="GV188" s="60"/>
      <c r="GW188" s="60"/>
      <c r="GX188" s="60"/>
      <c r="GY188" s="60"/>
      <c r="GZ188" s="60"/>
      <c r="HA188" s="60"/>
      <c r="HB188" s="60"/>
      <c r="HC188" s="60"/>
      <c r="HD188" s="60"/>
      <c r="HE188" s="60"/>
      <c r="HF188" s="60"/>
      <c r="HG188" s="60"/>
      <c r="HH188" s="60"/>
      <c r="HI188" s="60"/>
      <c r="HJ188" s="60"/>
      <c r="HK188" s="60"/>
      <c r="HL188" s="60"/>
      <c r="HM188" s="60"/>
      <c r="HN188" s="60"/>
      <c r="HO188" s="60"/>
      <c r="HP188" s="60"/>
      <c r="HQ188" s="60"/>
      <c r="HR188" s="60"/>
      <c r="HS188" s="60"/>
      <c r="HT188" s="60"/>
      <c r="HU188" s="60"/>
      <c r="HV188" s="60"/>
      <c r="HW188" s="60"/>
      <c r="HX188" s="60"/>
      <c r="HY188" s="60"/>
      <c r="HZ188" s="60"/>
      <c r="IA188" s="60"/>
      <c r="IB188" s="60"/>
      <c r="IC188" s="60"/>
      <c r="ID188" s="60"/>
      <c r="IE188" s="60"/>
      <c r="IF188" s="60"/>
      <c r="IG188" s="60"/>
      <c r="IH188" s="60"/>
      <c r="II188" s="60"/>
      <c r="IJ188" s="60"/>
      <c r="IK188" s="60"/>
      <c r="IL188" s="60"/>
      <c r="IM188" s="60"/>
      <c r="IN188" s="60"/>
      <c r="IO188" s="60"/>
      <c r="IP188" s="60"/>
      <c r="IQ188" s="60"/>
      <c r="IR188" s="60"/>
      <c r="IS188" s="60"/>
      <c r="IT188" s="60"/>
      <c r="IU188" s="60"/>
      <c r="IV188" s="60"/>
      <c r="IW188" s="60"/>
      <c r="IX188" s="60"/>
      <c r="IY188" s="60"/>
      <c r="IZ188" s="60"/>
      <c r="JA188" s="60"/>
      <c r="JB188" s="60"/>
      <c r="JC188" s="60"/>
      <c r="JD188" s="60"/>
      <c r="JE188" s="60"/>
      <c r="JF188" s="60"/>
      <c r="JG188" s="60"/>
      <c r="JH188" s="60"/>
      <c r="JI188" s="60"/>
      <c r="JJ188" s="60"/>
      <c r="JK188" s="60"/>
      <c r="JL188" s="60"/>
      <c r="JM188" s="60"/>
      <c r="JN188" s="60"/>
      <c r="JO188" s="60"/>
      <c r="JP188" s="60"/>
      <c r="JQ188" s="60"/>
      <c r="JR188" s="60"/>
      <c r="JS188" s="60"/>
      <c r="JT188" s="60"/>
      <c r="JU188" s="60"/>
      <c r="JV188" s="60"/>
      <c r="JW188" s="60"/>
      <c r="JX188" s="60"/>
      <c r="JY188" s="60"/>
      <c r="JZ188" s="60"/>
      <c r="KA188" s="60"/>
      <c r="KB188" s="60"/>
      <c r="KC188" s="60"/>
      <c r="KD188" s="60"/>
      <c r="KE188" s="60"/>
      <c r="KF188" s="60"/>
      <c r="KG188" s="60"/>
      <c r="KH188" s="60"/>
      <c r="KI188" s="60"/>
      <c r="KJ188" s="60"/>
      <c r="KK188" s="60"/>
      <c r="KL188" s="60"/>
      <c r="KM188" s="60"/>
      <c r="KN188" s="60"/>
      <c r="KO188" s="60"/>
      <c r="KP188" s="60"/>
      <c r="KQ188" s="60"/>
      <c r="KR188" s="60"/>
      <c r="KS188" s="60"/>
      <c r="KT188" s="60"/>
      <c r="KU188" s="60"/>
      <c r="KV188" s="60"/>
      <c r="KW188" s="60"/>
      <c r="KX188" s="60"/>
      <c r="KY188" s="60"/>
      <c r="KZ188" s="60"/>
      <c r="LA188" s="60"/>
      <c r="LB188" s="60"/>
      <c r="LC188" s="60"/>
      <c r="LD188" s="60"/>
      <c r="LE188" s="60"/>
      <c r="LF188" s="60"/>
      <c r="LG188" s="60"/>
      <c r="LH188" s="60"/>
    </row>
    <row r="217" spans="1:320" s="146" customFormat="1" x14ac:dyDescent="0.25">
      <c r="A217" s="147"/>
      <c r="B217" s="1"/>
      <c r="C217" s="1"/>
      <c r="D217" s="1"/>
      <c r="F217" s="148"/>
      <c r="G217" s="148"/>
      <c r="T217" s="17"/>
      <c r="U217" s="17"/>
      <c r="V217" s="17"/>
      <c r="W217" s="17"/>
      <c r="X217" s="17"/>
      <c r="Y217" s="17"/>
      <c r="Z217" s="17"/>
      <c r="AA217" s="17"/>
      <c r="AB217" s="17"/>
      <c r="AC217" s="60"/>
      <c r="AD217" s="60"/>
      <c r="AE217" s="60"/>
      <c r="AF217" s="60"/>
      <c r="AG217" s="60"/>
      <c r="AH217" s="60"/>
      <c r="AI217" s="60"/>
      <c r="AJ217" s="60"/>
      <c r="AK217" s="60"/>
      <c r="AL217" s="60"/>
      <c r="AM217" s="60"/>
      <c r="AN217" s="60"/>
      <c r="AO217" s="60"/>
      <c r="AP217" s="60"/>
      <c r="AQ217" s="60"/>
      <c r="AR217" s="60"/>
      <c r="AS217" s="60"/>
      <c r="AT217" s="60"/>
      <c r="AU217" s="60"/>
      <c r="AV217" s="60"/>
      <c r="AW217" s="60"/>
      <c r="AX217" s="60"/>
      <c r="AY217" s="60"/>
      <c r="AZ217" s="60"/>
      <c r="BA217" s="60"/>
      <c r="BB217" s="60"/>
      <c r="BC217" s="60"/>
      <c r="BD217" s="60"/>
      <c r="BE217" s="60"/>
      <c r="BF217" s="60"/>
      <c r="BG217" s="60"/>
      <c r="BH217" s="60"/>
      <c r="BI217" s="60"/>
      <c r="BJ217" s="60"/>
      <c r="BK217" s="60"/>
      <c r="BL217" s="60"/>
      <c r="BM217" s="60"/>
      <c r="BN217" s="60"/>
      <c r="BO217" s="60"/>
      <c r="BP217" s="60"/>
      <c r="BQ217" s="60"/>
      <c r="BR217" s="60"/>
      <c r="BS217" s="60"/>
      <c r="BT217" s="60"/>
      <c r="BU217" s="60"/>
      <c r="BV217" s="60"/>
      <c r="BW217" s="60"/>
      <c r="BX217" s="60"/>
      <c r="BY217" s="60"/>
      <c r="BZ217" s="60"/>
      <c r="CA217" s="60"/>
      <c r="CB217" s="60"/>
      <c r="CC217" s="60"/>
      <c r="CD217" s="60"/>
      <c r="CE217" s="60"/>
      <c r="CF217" s="60"/>
      <c r="CG217" s="60"/>
      <c r="CH217" s="60"/>
      <c r="CI217" s="60"/>
      <c r="CJ217" s="60"/>
      <c r="CK217" s="60"/>
      <c r="CL217" s="60"/>
      <c r="CM217" s="60"/>
      <c r="CN217" s="60"/>
      <c r="CO217" s="60"/>
      <c r="CP217" s="60"/>
      <c r="CQ217" s="60"/>
      <c r="CR217" s="60"/>
      <c r="CS217" s="60"/>
      <c r="CT217" s="60"/>
      <c r="CU217" s="60"/>
      <c r="CV217" s="60"/>
      <c r="CW217" s="60"/>
      <c r="CX217" s="60"/>
      <c r="CY217" s="60"/>
      <c r="CZ217" s="60"/>
      <c r="DA217" s="60"/>
      <c r="DB217" s="60"/>
      <c r="DC217" s="60"/>
      <c r="DD217" s="60"/>
      <c r="DE217" s="60"/>
      <c r="DF217" s="60"/>
      <c r="DG217" s="60"/>
      <c r="DH217" s="60"/>
      <c r="DI217" s="60"/>
      <c r="DJ217" s="60"/>
      <c r="DK217" s="60"/>
      <c r="DL217" s="60"/>
      <c r="DM217" s="60"/>
      <c r="DN217" s="60"/>
      <c r="DO217" s="60"/>
      <c r="DP217" s="60"/>
      <c r="DQ217" s="60"/>
      <c r="DR217" s="60"/>
      <c r="DS217" s="60"/>
      <c r="DT217" s="60"/>
      <c r="DU217" s="60"/>
      <c r="DV217" s="60"/>
      <c r="DW217" s="60"/>
      <c r="DX217" s="60"/>
      <c r="DY217" s="60"/>
      <c r="DZ217" s="60"/>
      <c r="EA217" s="60"/>
      <c r="EB217" s="60"/>
      <c r="EC217" s="60"/>
      <c r="ED217" s="60"/>
      <c r="EE217" s="60"/>
      <c r="EF217" s="60"/>
      <c r="EG217" s="60"/>
      <c r="EH217" s="60"/>
      <c r="EI217" s="60"/>
      <c r="EJ217" s="60"/>
      <c r="EK217" s="60"/>
      <c r="EL217" s="60"/>
      <c r="EM217" s="60"/>
      <c r="EN217" s="60"/>
      <c r="EO217" s="60"/>
      <c r="EP217" s="60"/>
      <c r="EQ217" s="60"/>
      <c r="ER217" s="60"/>
      <c r="ES217" s="60"/>
      <c r="ET217" s="60"/>
      <c r="EU217" s="60"/>
      <c r="EV217" s="60"/>
      <c r="EW217" s="60"/>
      <c r="EX217" s="60"/>
      <c r="EY217" s="60"/>
      <c r="EZ217" s="60"/>
      <c r="FA217" s="60"/>
      <c r="FB217" s="60"/>
      <c r="FC217" s="60"/>
      <c r="FD217" s="60"/>
      <c r="FE217" s="60"/>
      <c r="FF217" s="60"/>
      <c r="FG217" s="60"/>
      <c r="FH217" s="60"/>
      <c r="FI217" s="60"/>
      <c r="FJ217" s="60"/>
      <c r="FK217" s="60"/>
      <c r="FL217" s="60"/>
      <c r="FM217" s="60"/>
      <c r="FN217" s="60"/>
      <c r="FO217" s="60"/>
      <c r="FP217" s="60"/>
      <c r="FQ217" s="60"/>
      <c r="FR217" s="60"/>
      <c r="FS217" s="60"/>
      <c r="FT217" s="60"/>
      <c r="FU217" s="60"/>
      <c r="FV217" s="60"/>
      <c r="FW217" s="60"/>
      <c r="FX217" s="60"/>
      <c r="FY217" s="60"/>
      <c r="FZ217" s="60"/>
      <c r="GA217" s="60"/>
      <c r="GB217" s="60"/>
      <c r="GC217" s="60"/>
      <c r="GD217" s="60"/>
      <c r="GE217" s="60"/>
      <c r="GF217" s="60"/>
      <c r="GG217" s="60"/>
      <c r="GH217" s="60"/>
      <c r="GI217" s="60"/>
      <c r="GJ217" s="60"/>
      <c r="GK217" s="60"/>
      <c r="GL217" s="60"/>
      <c r="GM217" s="60"/>
      <c r="GN217" s="60"/>
      <c r="GO217" s="60"/>
      <c r="GP217" s="60"/>
      <c r="GQ217" s="60"/>
      <c r="GR217" s="60"/>
      <c r="GS217" s="60"/>
      <c r="GT217" s="60"/>
      <c r="GU217" s="60"/>
      <c r="GV217" s="60"/>
      <c r="GW217" s="60"/>
      <c r="GX217" s="60"/>
      <c r="GY217" s="60"/>
      <c r="GZ217" s="60"/>
      <c r="HA217" s="60"/>
      <c r="HB217" s="60"/>
      <c r="HC217" s="60"/>
      <c r="HD217" s="60"/>
      <c r="HE217" s="60"/>
      <c r="HF217" s="60"/>
      <c r="HG217" s="60"/>
      <c r="HH217" s="60"/>
      <c r="HI217" s="60"/>
      <c r="HJ217" s="60"/>
      <c r="HK217" s="60"/>
      <c r="HL217" s="60"/>
      <c r="HM217" s="60"/>
      <c r="HN217" s="60"/>
      <c r="HO217" s="60"/>
      <c r="HP217" s="60"/>
      <c r="HQ217" s="60"/>
      <c r="HR217" s="60"/>
      <c r="HS217" s="60"/>
      <c r="HT217" s="60"/>
      <c r="HU217" s="60"/>
      <c r="HV217" s="60"/>
      <c r="HW217" s="60"/>
      <c r="HX217" s="60"/>
      <c r="HY217" s="60"/>
      <c r="HZ217" s="60"/>
      <c r="IA217" s="60"/>
      <c r="IB217" s="60"/>
      <c r="IC217" s="60"/>
      <c r="ID217" s="60"/>
      <c r="IE217" s="60"/>
      <c r="IF217" s="60"/>
      <c r="IG217" s="60"/>
      <c r="IH217" s="60"/>
      <c r="II217" s="60"/>
      <c r="IJ217" s="60"/>
      <c r="IK217" s="60"/>
      <c r="IL217" s="60"/>
      <c r="IM217" s="60"/>
      <c r="IN217" s="60"/>
      <c r="IO217" s="60"/>
      <c r="IP217" s="60"/>
      <c r="IQ217" s="60"/>
      <c r="IR217" s="60"/>
      <c r="IS217" s="60"/>
      <c r="IT217" s="60"/>
      <c r="IU217" s="60"/>
      <c r="IV217" s="60"/>
      <c r="IW217" s="60"/>
      <c r="IX217" s="60"/>
      <c r="IY217" s="60"/>
      <c r="IZ217" s="60"/>
      <c r="JA217" s="60"/>
      <c r="JB217" s="60"/>
      <c r="JC217" s="60"/>
      <c r="JD217" s="60"/>
      <c r="JE217" s="60"/>
      <c r="JF217" s="60"/>
      <c r="JG217" s="60"/>
      <c r="JH217" s="60"/>
      <c r="JI217" s="60"/>
      <c r="JJ217" s="60"/>
      <c r="JK217" s="60"/>
      <c r="JL217" s="60"/>
      <c r="JM217" s="60"/>
      <c r="JN217" s="60"/>
      <c r="JO217" s="60"/>
      <c r="JP217" s="60"/>
      <c r="JQ217" s="60"/>
      <c r="JR217" s="60"/>
      <c r="JS217" s="60"/>
      <c r="JT217" s="60"/>
      <c r="JU217" s="60"/>
      <c r="JV217" s="60"/>
      <c r="JW217" s="60"/>
      <c r="JX217" s="60"/>
      <c r="JY217" s="60"/>
      <c r="JZ217" s="60"/>
      <c r="KA217" s="60"/>
      <c r="KB217" s="60"/>
      <c r="KC217" s="60"/>
      <c r="KD217" s="60"/>
      <c r="KE217" s="60"/>
      <c r="KF217" s="60"/>
      <c r="KG217" s="60"/>
      <c r="KH217" s="60"/>
      <c r="KI217" s="60"/>
      <c r="KJ217" s="60"/>
      <c r="KK217" s="60"/>
      <c r="KL217" s="60"/>
      <c r="KM217" s="60"/>
      <c r="KN217" s="60"/>
      <c r="KO217" s="60"/>
      <c r="KP217" s="60"/>
      <c r="KQ217" s="60"/>
      <c r="KR217" s="60"/>
      <c r="KS217" s="60"/>
      <c r="KT217" s="60"/>
      <c r="KU217" s="60"/>
      <c r="KV217" s="60"/>
      <c r="KW217" s="60"/>
      <c r="KX217" s="60"/>
      <c r="KY217" s="60"/>
      <c r="KZ217" s="60"/>
      <c r="LA217" s="60"/>
      <c r="LB217" s="60"/>
      <c r="LC217" s="60"/>
      <c r="LD217" s="60"/>
      <c r="LE217" s="60"/>
      <c r="LF217" s="60"/>
      <c r="LG217" s="60"/>
      <c r="LH217" s="60"/>
    </row>
    <row r="218" spans="1:320" s="146" customFormat="1" x14ac:dyDescent="0.25">
      <c r="A218" s="147"/>
      <c r="B218" s="1"/>
      <c r="C218" s="1"/>
      <c r="D218" s="1"/>
      <c r="F218" s="148"/>
      <c r="G218" s="148"/>
      <c r="T218" s="17"/>
      <c r="U218" s="17"/>
      <c r="V218" s="17"/>
      <c r="W218" s="17"/>
      <c r="X218" s="17"/>
      <c r="Y218" s="17"/>
      <c r="Z218" s="17"/>
      <c r="AA218" s="17"/>
      <c r="AB218" s="17"/>
      <c r="AC218" s="60"/>
      <c r="AD218" s="60"/>
      <c r="AE218" s="60"/>
      <c r="AF218" s="60"/>
      <c r="AG218" s="60"/>
      <c r="AH218" s="60"/>
      <c r="AI218" s="60"/>
      <c r="AJ218" s="60"/>
      <c r="AK218" s="60"/>
      <c r="AL218" s="60"/>
      <c r="AM218" s="60"/>
      <c r="AN218" s="60"/>
      <c r="AO218" s="60"/>
      <c r="AP218" s="60"/>
      <c r="AQ218" s="60"/>
      <c r="AR218" s="60"/>
      <c r="AS218" s="60"/>
      <c r="AT218" s="60"/>
      <c r="AU218" s="60"/>
      <c r="AV218" s="60"/>
      <c r="AW218" s="60"/>
      <c r="AX218" s="60"/>
      <c r="AY218" s="60"/>
      <c r="AZ218" s="60"/>
      <c r="BA218" s="60"/>
      <c r="BB218" s="60"/>
      <c r="BC218" s="60"/>
      <c r="BD218" s="60"/>
      <c r="BE218" s="60"/>
      <c r="BF218" s="60"/>
      <c r="BG218" s="60"/>
      <c r="BH218" s="60"/>
      <c r="BI218" s="60"/>
      <c r="BJ218" s="60"/>
      <c r="BK218" s="60"/>
      <c r="BL218" s="60"/>
      <c r="BM218" s="60"/>
      <c r="BN218" s="60"/>
      <c r="BO218" s="60"/>
      <c r="BP218" s="60"/>
      <c r="BQ218" s="60"/>
      <c r="BR218" s="60"/>
      <c r="BS218" s="60"/>
      <c r="BT218" s="60"/>
      <c r="BU218" s="60"/>
      <c r="BV218" s="60"/>
      <c r="BW218" s="60"/>
      <c r="BX218" s="60"/>
      <c r="BY218" s="60"/>
      <c r="BZ218" s="60"/>
      <c r="CA218" s="60"/>
      <c r="CB218" s="60"/>
      <c r="CC218" s="60"/>
      <c r="CD218" s="60"/>
      <c r="CE218" s="60"/>
      <c r="CF218" s="60"/>
      <c r="CG218" s="60"/>
      <c r="CH218" s="60"/>
      <c r="CI218" s="60"/>
      <c r="CJ218" s="60"/>
      <c r="CK218" s="60"/>
      <c r="CL218" s="60"/>
      <c r="CM218" s="60"/>
      <c r="CN218" s="60"/>
      <c r="CO218" s="60"/>
      <c r="CP218" s="60"/>
      <c r="CQ218" s="60"/>
      <c r="CR218" s="60"/>
      <c r="CS218" s="60"/>
      <c r="CT218" s="60"/>
      <c r="CU218" s="60"/>
      <c r="CV218" s="60"/>
      <c r="CW218" s="60"/>
      <c r="CX218" s="60"/>
      <c r="CY218" s="60"/>
      <c r="CZ218" s="60"/>
      <c r="DA218" s="60"/>
      <c r="DB218" s="60"/>
      <c r="DC218" s="60"/>
      <c r="DD218" s="60"/>
      <c r="DE218" s="60"/>
      <c r="DF218" s="60"/>
      <c r="DG218" s="60"/>
      <c r="DH218" s="60"/>
      <c r="DI218" s="60"/>
      <c r="DJ218" s="60"/>
      <c r="DK218" s="60"/>
      <c r="DL218" s="60"/>
      <c r="DM218" s="60"/>
      <c r="DN218" s="60"/>
      <c r="DO218" s="60"/>
      <c r="DP218" s="60"/>
      <c r="DQ218" s="60"/>
      <c r="DR218" s="60"/>
      <c r="DS218" s="60"/>
      <c r="DT218" s="60"/>
      <c r="DU218" s="60"/>
      <c r="DV218" s="60"/>
      <c r="DW218" s="60"/>
      <c r="DX218" s="60"/>
      <c r="DY218" s="60"/>
      <c r="DZ218" s="60"/>
      <c r="EA218" s="60"/>
      <c r="EB218" s="60"/>
      <c r="EC218" s="60"/>
      <c r="ED218" s="60"/>
      <c r="EE218" s="60"/>
      <c r="EF218" s="60"/>
      <c r="EG218" s="60"/>
      <c r="EH218" s="60"/>
      <c r="EI218" s="60"/>
      <c r="EJ218" s="60"/>
      <c r="EK218" s="60"/>
      <c r="EL218" s="60"/>
      <c r="EM218" s="60"/>
      <c r="EN218" s="60"/>
      <c r="EO218" s="60"/>
      <c r="EP218" s="60"/>
      <c r="EQ218" s="60"/>
      <c r="ER218" s="60"/>
      <c r="ES218" s="60"/>
      <c r="ET218" s="60"/>
      <c r="EU218" s="60"/>
      <c r="EV218" s="60"/>
      <c r="EW218" s="60"/>
      <c r="EX218" s="60"/>
      <c r="EY218" s="60"/>
      <c r="EZ218" s="60"/>
      <c r="FA218" s="60"/>
      <c r="FB218" s="60"/>
      <c r="FC218" s="60"/>
      <c r="FD218" s="60"/>
      <c r="FE218" s="60"/>
      <c r="FF218" s="60"/>
      <c r="FG218" s="60"/>
      <c r="FH218" s="60"/>
      <c r="FI218" s="60"/>
      <c r="FJ218" s="60"/>
      <c r="FK218" s="60"/>
      <c r="FL218" s="60"/>
      <c r="FM218" s="60"/>
      <c r="FN218" s="60"/>
      <c r="FO218" s="60"/>
      <c r="FP218" s="60"/>
      <c r="FQ218" s="60"/>
      <c r="FR218" s="60"/>
      <c r="FS218" s="60"/>
      <c r="FT218" s="60"/>
      <c r="FU218" s="60"/>
      <c r="FV218" s="60"/>
      <c r="FW218" s="60"/>
      <c r="FX218" s="60"/>
      <c r="FY218" s="60"/>
      <c r="FZ218" s="60"/>
      <c r="GA218" s="60"/>
      <c r="GB218" s="60"/>
      <c r="GC218" s="60"/>
      <c r="GD218" s="60"/>
      <c r="GE218" s="60"/>
      <c r="GF218" s="60"/>
      <c r="GG218" s="60"/>
      <c r="GH218" s="60"/>
      <c r="GI218" s="60"/>
      <c r="GJ218" s="60"/>
      <c r="GK218" s="60"/>
      <c r="GL218" s="60"/>
      <c r="GM218" s="60"/>
      <c r="GN218" s="60"/>
      <c r="GO218" s="60"/>
      <c r="GP218" s="60"/>
      <c r="GQ218" s="60"/>
      <c r="GR218" s="60"/>
      <c r="GS218" s="60"/>
      <c r="GT218" s="60"/>
      <c r="GU218" s="60"/>
      <c r="GV218" s="60"/>
      <c r="GW218" s="60"/>
      <c r="GX218" s="60"/>
      <c r="GY218" s="60"/>
      <c r="GZ218" s="60"/>
      <c r="HA218" s="60"/>
      <c r="HB218" s="60"/>
      <c r="HC218" s="60"/>
      <c r="HD218" s="60"/>
      <c r="HE218" s="60"/>
      <c r="HF218" s="60"/>
      <c r="HG218" s="60"/>
      <c r="HH218" s="60"/>
      <c r="HI218" s="60"/>
      <c r="HJ218" s="60"/>
      <c r="HK218" s="60"/>
      <c r="HL218" s="60"/>
      <c r="HM218" s="60"/>
      <c r="HN218" s="60"/>
      <c r="HO218" s="60"/>
      <c r="HP218" s="60"/>
      <c r="HQ218" s="60"/>
      <c r="HR218" s="60"/>
      <c r="HS218" s="60"/>
      <c r="HT218" s="60"/>
      <c r="HU218" s="60"/>
      <c r="HV218" s="60"/>
      <c r="HW218" s="60"/>
      <c r="HX218" s="60"/>
      <c r="HY218" s="60"/>
      <c r="HZ218" s="60"/>
      <c r="IA218" s="60"/>
      <c r="IB218" s="60"/>
      <c r="IC218" s="60"/>
      <c r="ID218" s="60"/>
      <c r="IE218" s="60"/>
      <c r="IF218" s="60"/>
      <c r="IG218" s="60"/>
      <c r="IH218" s="60"/>
      <c r="II218" s="60"/>
      <c r="IJ218" s="60"/>
      <c r="IK218" s="60"/>
      <c r="IL218" s="60"/>
      <c r="IM218" s="60"/>
      <c r="IN218" s="60"/>
      <c r="IO218" s="60"/>
      <c r="IP218" s="60"/>
      <c r="IQ218" s="60"/>
      <c r="IR218" s="60"/>
      <c r="IS218" s="60"/>
      <c r="IT218" s="60"/>
      <c r="IU218" s="60"/>
      <c r="IV218" s="60"/>
      <c r="IW218" s="60"/>
      <c r="IX218" s="60"/>
      <c r="IY218" s="60"/>
      <c r="IZ218" s="60"/>
      <c r="JA218" s="60"/>
      <c r="JB218" s="60"/>
      <c r="JC218" s="60"/>
      <c r="JD218" s="60"/>
      <c r="JE218" s="60"/>
      <c r="JF218" s="60"/>
      <c r="JG218" s="60"/>
      <c r="JH218" s="60"/>
      <c r="JI218" s="60"/>
      <c r="JJ218" s="60"/>
      <c r="JK218" s="60"/>
      <c r="JL218" s="60"/>
      <c r="JM218" s="60"/>
      <c r="JN218" s="60"/>
      <c r="JO218" s="60"/>
      <c r="JP218" s="60"/>
      <c r="JQ218" s="60"/>
      <c r="JR218" s="60"/>
      <c r="JS218" s="60"/>
      <c r="JT218" s="60"/>
      <c r="JU218" s="60"/>
      <c r="JV218" s="60"/>
      <c r="JW218" s="60"/>
      <c r="JX218" s="60"/>
      <c r="JY218" s="60"/>
      <c r="JZ218" s="60"/>
      <c r="KA218" s="60"/>
      <c r="KB218" s="60"/>
      <c r="KC218" s="60"/>
      <c r="KD218" s="60"/>
      <c r="KE218" s="60"/>
      <c r="KF218" s="60"/>
      <c r="KG218" s="60"/>
      <c r="KH218" s="60"/>
      <c r="KI218" s="60"/>
      <c r="KJ218" s="60"/>
      <c r="KK218" s="60"/>
      <c r="KL218" s="60"/>
      <c r="KM218" s="60"/>
      <c r="KN218" s="60"/>
      <c r="KO218" s="60"/>
      <c r="KP218" s="60"/>
      <c r="KQ218" s="60"/>
      <c r="KR218" s="60"/>
      <c r="KS218" s="60"/>
      <c r="KT218" s="60"/>
      <c r="KU218" s="60"/>
      <c r="KV218" s="60"/>
      <c r="KW218" s="60"/>
      <c r="KX218" s="60"/>
      <c r="KY218" s="60"/>
      <c r="KZ218" s="60"/>
      <c r="LA218" s="60"/>
      <c r="LB218" s="60"/>
      <c r="LC218" s="60"/>
      <c r="LD218" s="60"/>
      <c r="LE218" s="60"/>
      <c r="LF218" s="60"/>
      <c r="LG218" s="60"/>
      <c r="LH218" s="60"/>
    </row>
    <row r="219" spans="1:320" s="146" customFormat="1" x14ac:dyDescent="0.25">
      <c r="A219" s="147"/>
      <c r="B219" s="1"/>
      <c r="C219" s="1"/>
      <c r="D219" s="1"/>
      <c r="F219" s="1"/>
      <c r="G219" s="1"/>
      <c r="T219" s="17"/>
      <c r="U219" s="17"/>
      <c r="V219" s="17"/>
      <c r="W219" s="17"/>
      <c r="X219" s="17"/>
      <c r="Y219" s="17"/>
      <c r="Z219" s="17"/>
      <c r="AA219" s="17"/>
      <c r="AB219" s="17"/>
      <c r="AC219" s="60"/>
      <c r="AD219" s="60"/>
      <c r="AE219" s="60"/>
      <c r="AF219" s="60"/>
      <c r="AG219" s="60"/>
      <c r="AH219" s="60"/>
      <c r="AI219" s="60"/>
      <c r="AJ219" s="60"/>
      <c r="AK219" s="60"/>
      <c r="AL219" s="60"/>
      <c r="AM219" s="60"/>
      <c r="AN219" s="60"/>
      <c r="AO219" s="60"/>
      <c r="AP219" s="60"/>
      <c r="AQ219" s="60"/>
      <c r="AR219" s="60"/>
      <c r="AS219" s="60"/>
      <c r="AT219" s="60"/>
      <c r="AU219" s="60"/>
      <c r="AV219" s="60"/>
      <c r="AW219" s="60"/>
      <c r="AX219" s="60"/>
      <c r="AY219" s="60"/>
      <c r="AZ219" s="60"/>
      <c r="BA219" s="60"/>
      <c r="BB219" s="60"/>
      <c r="BC219" s="60"/>
      <c r="BD219" s="60"/>
      <c r="BE219" s="60"/>
      <c r="BF219" s="60"/>
      <c r="BG219" s="60"/>
      <c r="BH219" s="60"/>
      <c r="BI219" s="60"/>
      <c r="BJ219" s="60"/>
      <c r="BK219" s="60"/>
      <c r="BL219" s="60"/>
      <c r="BM219" s="60"/>
      <c r="BN219" s="60"/>
      <c r="BO219" s="60"/>
      <c r="BP219" s="60"/>
      <c r="BQ219" s="60"/>
      <c r="BR219" s="60"/>
      <c r="BS219" s="60"/>
      <c r="BT219" s="60"/>
      <c r="BU219" s="60"/>
      <c r="BV219" s="60"/>
      <c r="BW219" s="60"/>
      <c r="BX219" s="60"/>
      <c r="BY219" s="60"/>
      <c r="BZ219" s="60"/>
      <c r="CA219" s="60"/>
      <c r="CB219" s="60"/>
      <c r="CC219" s="60"/>
      <c r="CD219" s="60"/>
      <c r="CE219" s="60"/>
      <c r="CF219" s="60"/>
      <c r="CG219" s="60"/>
      <c r="CH219" s="60"/>
      <c r="CI219" s="60"/>
      <c r="CJ219" s="60"/>
      <c r="CK219" s="60"/>
      <c r="CL219" s="60"/>
      <c r="CM219" s="60"/>
      <c r="CN219" s="60"/>
      <c r="CO219" s="60"/>
      <c r="CP219" s="60"/>
      <c r="CQ219" s="60"/>
      <c r="CR219" s="60"/>
      <c r="CS219" s="60"/>
      <c r="CT219" s="60"/>
      <c r="CU219" s="60"/>
      <c r="CV219" s="60"/>
      <c r="CW219" s="60"/>
      <c r="CX219" s="60"/>
      <c r="CY219" s="60"/>
      <c r="CZ219" s="60"/>
      <c r="DA219" s="60"/>
      <c r="DB219" s="60"/>
      <c r="DC219" s="60"/>
      <c r="DD219" s="60"/>
      <c r="DE219" s="60"/>
      <c r="DF219" s="60"/>
      <c r="DG219" s="60"/>
      <c r="DH219" s="60"/>
      <c r="DI219" s="60"/>
      <c r="DJ219" s="60"/>
      <c r="DK219" s="60"/>
      <c r="DL219" s="60"/>
      <c r="DM219" s="60"/>
      <c r="DN219" s="60"/>
      <c r="DO219" s="60"/>
      <c r="DP219" s="60"/>
      <c r="DQ219" s="60"/>
      <c r="DR219" s="60"/>
      <c r="DS219" s="60"/>
      <c r="DT219" s="60"/>
      <c r="DU219" s="60"/>
      <c r="DV219" s="60"/>
      <c r="DW219" s="60"/>
      <c r="DX219" s="60"/>
      <c r="DY219" s="60"/>
      <c r="DZ219" s="60"/>
      <c r="EA219" s="60"/>
      <c r="EB219" s="60"/>
      <c r="EC219" s="60"/>
      <c r="ED219" s="60"/>
      <c r="EE219" s="60"/>
      <c r="EF219" s="60"/>
      <c r="EG219" s="60"/>
      <c r="EH219" s="60"/>
      <c r="EI219" s="60"/>
      <c r="EJ219" s="60"/>
      <c r="EK219" s="60"/>
      <c r="EL219" s="60"/>
      <c r="EM219" s="60"/>
      <c r="EN219" s="60"/>
      <c r="EO219" s="60"/>
      <c r="EP219" s="60"/>
      <c r="EQ219" s="60"/>
      <c r="ER219" s="60"/>
      <c r="ES219" s="60"/>
      <c r="ET219" s="60"/>
      <c r="EU219" s="60"/>
      <c r="EV219" s="60"/>
      <c r="EW219" s="60"/>
      <c r="EX219" s="60"/>
      <c r="EY219" s="60"/>
      <c r="EZ219" s="60"/>
      <c r="FA219" s="60"/>
      <c r="FB219" s="60"/>
      <c r="FC219" s="60"/>
      <c r="FD219" s="60"/>
      <c r="FE219" s="60"/>
      <c r="FF219" s="60"/>
      <c r="FG219" s="60"/>
      <c r="FH219" s="60"/>
      <c r="FI219" s="60"/>
      <c r="FJ219" s="60"/>
      <c r="FK219" s="60"/>
      <c r="FL219" s="60"/>
      <c r="FM219" s="60"/>
      <c r="FN219" s="60"/>
      <c r="FO219" s="60"/>
      <c r="FP219" s="60"/>
      <c r="FQ219" s="60"/>
      <c r="FR219" s="60"/>
      <c r="FS219" s="60"/>
      <c r="FT219" s="60"/>
      <c r="FU219" s="60"/>
      <c r="FV219" s="60"/>
      <c r="FW219" s="60"/>
      <c r="FX219" s="60"/>
      <c r="FY219" s="60"/>
      <c r="FZ219" s="60"/>
      <c r="GA219" s="60"/>
      <c r="GB219" s="60"/>
      <c r="GC219" s="60"/>
      <c r="GD219" s="60"/>
      <c r="GE219" s="60"/>
      <c r="GF219" s="60"/>
      <c r="GG219" s="60"/>
      <c r="GH219" s="60"/>
      <c r="GI219" s="60"/>
      <c r="GJ219" s="60"/>
      <c r="GK219" s="60"/>
      <c r="GL219" s="60"/>
      <c r="GM219" s="60"/>
      <c r="GN219" s="60"/>
      <c r="GO219" s="60"/>
      <c r="GP219" s="60"/>
      <c r="GQ219" s="60"/>
      <c r="GR219" s="60"/>
      <c r="GS219" s="60"/>
      <c r="GT219" s="60"/>
      <c r="GU219" s="60"/>
      <c r="GV219" s="60"/>
      <c r="GW219" s="60"/>
      <c r="GX219" s="60"/>
      <c r="GY219" s="60"/>
      <c r="GZ219" s="60"/>
      <c r="HA219" s="60"/>
      <c r="HB219" s="60"/>
      <c r="HC219" s="60"/>
      <c r="HD219" s="60"/>
      <c r="HE219" s="60"/>
      <c r="HF219" s="60"/>
      <c r="HG219" s="60"/>
      <c r="HH219" s="60"/>
      <c r="HI219" s="60"/>
      <c r="HJ219" s="60"/>
      <c r="HK219" s="60"/>
      <c r="HL219" s="60"/>
      <c r="HM219" s="60"/>
      <c r="HN219" s="60"/>
      <c r="HO219" s="60"/>
      <c r="HP219" s="60"/>
      <c r="HQ219" s="60"/>
      <c r="HR219" s="60"/>
      <c r="HS219" s="60"/>
      <c r="HT219" s="60"/>
      <c r="HU219" s="60"/>
      <c r="HV219" s="60"/>
      <c r="HW219" s="60"/>
      <c r="HX219" s="60"/>
      <c r="HY219" s="60"/>
      <c r="HZ219" s="60"/>
      <c r="IA219" s="60"/>
      <c r="IB219" s="60"/>
      <c r="IC219" s="60"/>
      <c r="ID219" s="60"/>
      <c r="IE219" s="60"/>
      <c r="IF219" s="60"/>
      <c r="IG219" s="60"/>
      <c r="IH219" s="60"/>
      <c r="II219" s="60"/>
      <c r="IJ219" s="60"/>
      <c r="IK219" s="60"/>
      <c r="IL219" s="60"/>
      <c r="IM219" s="60"/>
      <c r="IN219" s="60"/>
      <c r="IO219" s="60"/>
      <c r="IP219" s="60"/>
      <c r="IQ219" s="60"/>
      <c r="IR219" s="60"/>
      <c r="IS219" s="60"/>
      <c r="IT219" s="60"/>
      <c r="IU219" s="60"/>
      <c r="IV219" s="60"/>
      <c r="IW219" s="60"/>
      <c r="IX219" s="60"/>
      <c r="IY219" s="60"/>
      <c r="IZ219" s="60"/>
      <c r="JA219" s="60"/>
      <c r="JB219" s="60"/>
      <c r="JC219" s="60"/>
      <c r="JD219" s="60"/>
      <c r="JE219" s="60"/>
      <c r="JF219" s="60"/>
      <c r="JG219" s="60"/>
      <c r="JH219" s="60"/>
      <c r="JI219" s="60"/>
      <c r="JJ219" s="60"/>
      <c r="JK219" s="60"/>
      <c r="JL219" s="60"/>
      <c r="JM219" s="60"/>
      <c r="JN219" s="60"/>
      <c r="JO219" s="60"/>
      <c r="JP219" s="60"/>
      <c r="JQ219" s="60"/>
      <c r="JR219" s="60"/>
      <c r="JS219" s="60"/>
      <c r="JT219" s="60"/>
      <c r="JU219" s="60"/>
      <c r="JV219" s="60"/>
      <c r="JW219" s="60"/>
      <c r="JX219" s="60"/>
      <c r="JY219" s="60"/>
      <c r="JZ219" s="60"/>
      <c r="KA219" s="60"/>
      <c r="KB219" s="60"/>
      <c r="KC219" s="60"/>
      <c r="KD219" s="60"/>
      <c r="KE219" s="60"/>
      <c r="KF219" s="60"/>
      <c r="KG219" s="60"/>
      <c r="KH219" s="60"/>
      <c r="KI219" s="60"/>
      <c r="KJ219" s="60"/>
      <c r="KK219" s="60"/>
      <c r="KL219" s="60"/>
      <c r="KM219" s="60"/>
      <c r="KN219" s="60"/>
      <c r="KO219" s="60"/>
      <c r="KP219" s="60"/>
      <c r="KQ219" s="60"/>
      <c r="KR219" s="60"/>
      <c r="KS219" s="60"/>
      <c r="KT219" s="60"/>
      <c r="KU219" s="60"/>
      <c r="KV219" s="60"/>
      <c r="KW219" s="60"/>
      <c r="KX219" s="60"/>
      <c r="KY219" s="60"/>
      <c r="KZ219" s="60"/>
      <c r="LA219" s="60"/>
      <c r="LB219" s="60"/>
      <c r="LC219" s="60"/>
      <c r="LD219" s="60"/>
      <c r="LE219" s="60"/>
      <c r="LF219" s="60"/>
      <c r="LG219" s="60"/>
      <c r="LH219" s="60"/>
    </row>
    <row r="220" spans="1:320" s="146" customFormat="1" x14ac:dyDescent="0.25">
      <c r="A220" s="147"/>
      <c r="B220" s="1"/>
      <c r="C220" s="1"/>
      <c r="D220" s="1"/>
      <c r="F220" s="148" t="s">
        <v>94</v>
      </c>
      <c r="G220" s="148"/>
      <c r="T220" s="17"/>
      <c r="U220" s="17"/>
      <c r="V220" s="17"/>
      <c r="W220" s="17"/>
      <c r="X220" s="17"/>
      <c r="Y220" s="17"/>
      <c r="Z220" s="17"/>
      <c r="AA220" s="17"/>
      <c r="AB220" s="17"/>
      <c r="AC220" s="60"/>
      <c r="AD220" s="60"/>
      <c r="AE220" s="60"/>
      <c r="AF220" s="60"/>
      <c r="AG220" s="60"/>
      <c r="AH220" s="60"/>
      <c r="AI220" s="60"/>
      <c r="AJ220" s="60"/>
      <c r="AK220" s="60"/>
      <c r="AL220" s="60"/>
      <c r="AM220" s="60"/>
      <c r="AN220" s="60"/>
      <c r="AO220" s="60"/>
      <c r="AP220" s="60"/>
      <c r="AQ220" s="60"/>
      <c r="AR220" s="60"/>
      <c r="AS220" s="60"/>
      <c r="AT220" s="60"/>
      <c r="AU220" s="60"/>
      <c r="AV220" s="60"/>
      <c r="AW220" s="60"/>
      <c r="AX220" s="60"/>
      <c r="AY220" s="60"/>
      <c r="AZ220" s="60"/>
      <c r="BA220" s="60"/>
      <c r="BB220" s="60"/>
      <c r="BC220" s="60"/>
      <c r="BD220" s="60"/>
      <c r="BE220" s="60"/>
      <c r="BF220" s="60"/>
      <c r="BG220" s="60"/>
      <c r="BH220" s="60"/>
      <c r="BI220" s="60"/>
      <c r="BJ220" s="60"/>
      <c r="BK220" s="60"/>
      <c r="BL220" s="60"/>
      <c r="BM220" s="60"/>
      <c r="BN220" s="60"/>
      <c r="BO220" s="60"/>
      <c r="BP220" s="60"/>
      <c r="BQ220" s="60"/>
      <c r="BR220" s="60"/>
      <c r="BS220" s="60"/>
      <c r="BT220" s="60"/>
      <c r="BU220" s="60"/>
      <c r="BV220" s="60"/>
      <c r="BW220" s="60"/>
      <c r="BX220" s="60"/>
      <c r="BY220" s="60"/>
      <c r="BZ220" s="60"/>
      <c r="CA220" s="60"/>
      <c r="CB220" s="60"/>
      <c r="CC220" s="60"/>
      <c r="CD220" s="60"/>
      <c r="CE220" s="60"/>
      <c r="CF220" s="60"/>
      <c r="CG220" s="60"/>
      <c r="CH220" s="60"/>
      <c r="CI220" s="60"/>
      <c r="CJ220" s="60"/>
      <c r="CK220" s="60"/>
      <c r="CL220" s="60"/>
      <c r="CM220" s="60"/>
      <c r="CN220" s="60"/>
      <c r="CO220" s="60"/>
      <c r="CP220" s="60"/>
      <c r="CQ220" s="60"/>
      <c r="CR220" s="60"/>
      <c r="CS220" s="60"/>
      <c r="CT220" s="60"/>
      <c r="CU220" s="60"/>
      <c r="CV220" s="60"/>
      <c r="CW220" s="60"/>
      <c r="CX220" s="60"/>
      <c r="CY220" s="60"/>
      <c r="CZ220" s="60"/>
      <c r="DA220" s="60"/>
      <c r="DB220" s="60"/>
      <c r="DC220" s="60"/>
      <c r="DD220" s="60"/>
      <c r="DE220" s="60"/>
      <c r="DF220" s="60"/>
      <c r="DG220" s="60"/>
      <c r="DH220" s="60"/>
      <c r="DI220" s="60"/>
      <c r="DJ220" s="60"/>
      <c r="DK220" s="60"/>
      <c r="DL220" s="60"/>
      <c r="DM220" s="60"/>
      <c r="DN220" s="60"/>
      <c r="DO220" s="60"/>
      <c r="DP220" s="60"/>
      <c r="DQ220" s="60"/>
      <c r="DR220" s="60"/>
      <c r="DS220" s="60"/>
      <c r="DT220" s="60"/>
      <c r="DU220" s="60"/>
      <c r="DV220" s="60"/>
      <c r="DW220" s="60"/>
      <c r="DX220" s="60"/>
      <c r="DY220" s="60"/>
      <c r="DZ220" s="60"/>
      <c r="EA220" s="60"/>
      <c r="EB220" s="60"/>
      <c r="EC220" s="60"/>
      <c r="ED220" s="60"/>
      <c r="EE220" s="60"/>
      <c r="EF220" s="60"/>
      <c r="EG220" s="60"/>
      <c r="EH220" s="60"/>
      <c r="EI220" s="60"/>
      <c r="EJ220" s="60"/>
      <c r="EK220" s="60"/>
      <c r="EL220" s="60"/>
      <c r="EM220" s="60"/>
      <c r="EN220" s="60"/>
      <c r="EO220" s="60"/>
      <c r="EP220" s="60"/>
      <c r="EQ220" s="60"/>
      <c r="ER220" s="60"/>
      <c r="ES220" s="60"/>
      <c r="ET220" s="60"/>
      <c r="EU220" s="60"/>
      <c r="EV220" s="60"/>
      <c r="EW220" s="60"/>
      <c r="EX220" s="60"/>
      <c r="EY220" s="60"/>
      <c r="EZ220" s="60"/>
      <c r="FA220" s="60"/>
      <c r="FB220" s="60"/>
      <c r="FC220" s="60"/>
      <c r="FD220" s="60"/>
      <c r="FE220" s="60"/>
      <c r="FF220" s="60"/>
      <c r="FG220" s="60"/>
      <c r="FH220" s="60"/>
      <c r="FI220" s="60"/>
      <c r="FJ220" s="60"/>
      <c r="FK220" s="60"/>
      <c r="FL220" s="60"/>
      <c r="FM220" s="60"/>
      <c r="FN220" s="60"/>
      <c r="FO220" s="60"/>
      <c r="FP220" s="60"/>
      <c r="FQ220" s="60"/>
      <c r="FR220" s="60"/>
      <c r="FS220" s="60"/>
      <c r="FT220" s="60"/>
      <c r="FU220" s="60"/>
      <c r="FV220" s="60"/>
      <c r="FW220" s="60"/>
      <c r="FX220" s="60"/>
      <c r="FY220" s="60"/>
      <c r="FZ220" s="60"/>
      <c r="GA220" s="60"/>
      <c r="GB220" s="60"/>
      <c r="GC220" s="60"/>
      <c r="GD220" s="60"/>
      <c r="GE220" s="60"/>
      <c r="GF220" s="60"/>
      <c r="GG220" s="60"/>
      <c r="GH220" s="60"/>
      <c r="GI220" s="60"/>
      <c r="GJ220" s="60"/>
      <c r="GK220" s="60"/>
      <c r="GL220" s="60"/>
      <c r="GM220" s="60"/>
      <c r="GN220" s="60"/>
      <c r="GO220" s="60"/>
      <c r="GP220" s="60"/>
      <c r="GQ220" s="60"/>
      <c r="GR220" s="60"/>
      <c r="GS220" s="60"/>
      <c r="GT220" s="60"/>
      <c r="GU220" s="60"/>
      <c r="GV220" s="60"/>
      <c r="GW220" s="60"/>
      <c r="GX220" s="60"/>
      <c r="GY220" s="60"/>
      <c r="GZ220" s="60"/>
      <c r="HA220" s="60"/>
      <c r="HB220" s="60"/>
      <c r="HC220" s="60"/>
      <c r="HD220" s="60"/>
      <c r="HE220" s="60"/>
      <c r="HF220" s="60"/>
      <c r="HG220" s="60"/>
      <c r="HH220" s="60"/>
      <c r="HI220" s="60"/>
      <c r="HJ220" s="60"/>
      <c r="HK220" s="60"/>
      <c r="HL220" s="60"/>
      <c r="HM220" s="60"/>
      <c r="HN220" s="60"/>
      <c r="HO220" s="60"/>
      <c r="HP220" s="60"/>
      <c r="HQ220" s="60"/>
      <c r="HR220" s="60"/>
      <c r="HS220" s="60"/>
      <c r="HT220" s="60"/>
      <c r="HU220" s="60"/>
      <c r="HV220" s="60"/>
      <c r="HW220" s="60"/>
      <c r="HX220" s="60"/>
      <c r="HY220" s="60"/>
      <c r="HZ220" s="60"/>
      <c r="IA220" s="60"/>
      <c r="IB220" s="60"/>
      <c r="IC220" s="60"/>
      <c r="ID220" s="60"/>
      <c r="IE220" s="60"/>
      <c r="IF220" s="60"/>
      <c r="IG220" s="60"/>
      <c r="IH220" s="60"/>
      <c r="II220" s="60"/>
      <c r="IJ220" s="60"/>
      <c r="IK220" s="60"/>
      <c r="IL220" s="60"/>
      <c r="IM220" s="60"/>
      <c r="IN220" s="60"/>
      <c r="IO220" s="60"/>
      <c r="IP220" s="60"/>
      <c r="IQ220" s="60"/>
      <c r="IR220" s="60"/>
      <c r="IS220" s="60"/>
      <c r="IT220" s="60"/>
      <c r="IU220" s="60"/>
      <c r="IV220" s="60"/>
      <c r="IW220" s="60"/>
      <c r="IX220" s="60"/>
      <c r="IY220" s="60"/>
      <c r="IZ220" s="60"/>
      <c r="JA220" s="60"/>
      <c r="JB220" s="60"/>
      <c r="JC220" s="60"/>
      <c r="JD220" s="60"/>
      <c r="JE220" s="60"/>
      <c r="JF220" s="60"/>
      <c r="JG220" s="60"/>
      <c r="JH220" s="60"/>
      <c r="JI220" s="60"/>
      <c r="JJ220" s="60"/>
      <c r="JK220" s="60"/>
      <c r="JL220" s="60"/>
      <c r="JM220" s="60"/>
      <c r="JN220" s="60"/>
      <c r="JO220" s="60"/>
      <c r="JP220" s="60"/>
      <c r="JQ220" s="60"/>
      <c r="JR220" s="60"/>
      <c r="JS220" s="60"/>
      <c r="JT220" s="60"/>
      <c r="JU220" s="60"/>
      <c r="JV220" s="60"/>
      <c r="JW220" s="60"/>
      <c r="JX220" s="60"/>
      <c r="JY220" s="60"/>
      <c r="JZ220" s="60"/>
      <c r="KA220" s="60"/>
      <c r="KB220" s="60"/>
      <c r="KC220" s="60"/>
      <c r="KD220" s="60"/>
      <c r="KE220" s="60"/>
      <c r="KF220" s="60"/>
      <c r="KG220" s="60"/>
      <c r="KH220" s="60"/>
      <c r="KI220" s="60"/>
      <c r="KJ220" s="60"/>
      <c r="KK220" s="60"/>
      <c r="KL220" s="60"/>
      <c r="KM220" s="60"/>
      <c r="KN220" s="60"/>
      <c r="KO220" s="60"/>
      <c r="KP220" s="60"/>
      <c r="KQ220" s="60"/>
      <c r="KR220" s="60"/>
      <c r="KS220" s="60"/>
      <c r="KT220" s="60"/>
      <c r="KU220" s="60"/>
      <c r="KV220" s="60"/>
      <c r="KW220" s="60"/>
      <c r="KX220" s="60"/>
      <c r="KY220" s="60"/>
      <c r="KZ220" s="60"/>
      <c r="LA220" s="60"/>
      <c r="LB220" s="60"/>
      <c r="LC220" s="60"/>
      <c r="LD220" s="60"/>
      <c r="LE220" s="60"/>
      <c r="LF220" s="60"/>
      <c r="LG220" s="60"/>
      <c r="LH220" s="60"/>
    </row>
    <row r="221" spans="1:320" s="146" customFormat="1" x14ac:dyDescent="0.25">
      <c r="A221" s="147"/>
      <c r="B221" s="1"/>
      <c r="C221" s="1"/>
      <c r="D221" s="1"/>
      <c r="F221" s="148">
        <v>2</v>
      </c>
      <c r="G221" s="148"/>
      <c r="T221" s="17"/>
      <c r="U221" s="17"/>
      <c r="V221" s="17"/>
      <c r="W221" s="17"/>
      <c r="X221" s="17"/>
      <c r="Y221" s="17"/>
      <c r="Z221" s="17"/>
      <c r="AA221" s="17"/>
      <c r="AB221" s="17"/>
      <c r="AC221" s="60"/>
      <c r="AD221" s="60"/>
      <c r="AE221" s="60"/>
      <c r="AF221" s="60"/>
      <c r="AG221" s="60"/>
      <c r="AH221" s="60"/>
      <c r="AI221" s="60"/>
      <c r="AJ221" s="60"/>
      <c r="AK221" s="60"/>
      <c r="AL221" s="60"/>
      <c r="AM221" s="60"/>
      <c r="AN221" s="60"/>
      <c r="AO221" s="60"/>
      <c r="AP221" s="60"/>
      <c r="AQ221" s="60"/>
      <c r="AR221" s="60"/>
      <c r="AS221" s="60"/>
      <c r="AT221" s="60"/>
      <c r="AU221" s="60"/>
      <c r="AV221" s="60"/>
      <c r="AW221" s="60"/>
      <c r="AX221" s="60"/>
      <c r="AY221" s="60"/>
      <c r="AZ221" s="60"/>
      <c r="BA221" s="60"/>
      <c r="BB221" s="60"/>
      <c r="BC221" s="60"/>
      <c r="BD221" s="60"/>
      <c r="BE221" s="60"/>
      <c r="BF221" s="60"/>
      <c r="BG221" s="60"/>
      <c r="BH221" s="60"/>
      <c r="BI221" s="60"/>
      <c r="BJ221" s="60"/>
      <c r="BK221" s="60"/>
      <c r="BL221" s="60"/>
      <c r="BM221" s="60"/>
      <c r="BN221" s="60"/>
      <c r="BO221" s="60"/>
      <c r="BP221" s="60"/>
      <c r="BQ221" s="60"/>
      <c r="BR221" s="60"/>
      <c r="BS221" s="60"/>
      <c r="BT221" s="60"/>
      <c r="BU221" s="60"/>
      <c r="BV221" s="60"/>
      <c r="BW221" s="60"/>
      <c r="BX221" s="60"/>
      <c r="BY221" s="60"/>
      <c r="BZ221" s="60"/>
      <c r="CA221" s="60"/>
      <c r="CB221" s="60"/>
      <c r="CC221" s="60"/>
      <c r="CD221" s="60"/>
      <c r="CE221" s="60"/>
      <c r="CF221" s="60"/>
      <c r="CG221" s="60"/>
      <c r="CH221" s="60"/>
      <c r="CI221" s="60"/>
      <c r="CJ221" s="60"/>
      <c r="CK221" s="60"/>
      <c r="CL221" s="60"/>
      <c r="CM221" s="60"/>
      <c r="CN221" s="60"/>
      <c r="CO221" s="60"/>
      <c r="CP221" s="60"/>
      <c r="CQ221" s="60"/>
      <c r="CR221" s="60"/>
      <c r="CS221" s="60"/>
      <c r="CT221" s="60"/>
      <c r="CU221" s="60"/>
      <c r="CV221" s="60"/>
      <c r="CW221" s="60"/>
      <c r="CX221" s="60"/>
      <c r="CY221" s="60"/>
      <c r="CZ221" s="60"/>
      <c r="DA221" s="60"/>
      <c r="DB221" s="60"/>
      <c r="DC221" s="60"/>
      <c r="DD221" s="60"/>
      <c r="DE221" s="60"/>
      <c r="DF221" s="60"/>
      <c r="DG221" s="60"/>
      <c r="DH221" s="60"/>
      <c r="DI221" s="60"/>
      <c r="DJ221" s="60"/>
      <c r="DK221" s="60"/>
      <c r="DL221" s="60"/>
      <c r="DM221" s="60"/>
      <c r="DN221" s="60"/>
      <c r="DO221" s="60"/>
      <c r="DP221" s="60"/>
      <c r="DQ221" s="60"/>
      <c r="DR221" s="60"/>
      <c r="DS221" s="60"/>
      <c r="DT221" s="60"/>
      <c r="DU221" s="60"/>
      <c r="DV221" s="60"/>
      <c r="DW221" s="60"/>
      <c r="DX221" s="60"/>
      <c r="DY221" s="60"/>
      <c r="DZ221" s="60"/>
      <c r="EA221" s="60"/>
      <c r="EB221" s="60"/>
      <c r="EC221" s="60"/>
      <c r="ED221" s="60"/>
      <c r="EE221" s="60"/>
      <c r="EF221" s="60"/>
      <c r="EG221" s="60"/>
      <c r="EH221" s="60"/>
      <c r="EI221" s="60"/>
      <c r="EJ221" s="60"/>
      <c r="EK221" s="60"/>
      <c r="EL221" s="60"/>
      <c r="EM221" s="60"/>
      <c r="EN221" s="60"/>
      <c r="EO221" s="60"/>
      <c r="EP221" s="60"/>
      <c r="EQ221" s="60"/>
      <c r="ER221" s="60"/>
      <c r="ES221" s="60"/>
      <c r="ET221" s="60"/>
      <c r="EU221" s="60"/>
      <c r="EV221" s="60"/>
      <c r="EW221" s="60"/>
      <c r="EX221" s="60"/>
      <c r="EY221" s="60"/>
      <c r="EZ221" s="60"/>
      <c r="FA221" s="60"/>
      <c r="FB221" s="60"/>
      <c r="FC221" s="60"/>
      <c r="FD221" s="60"/>
      <c r="FE221" s="60"/>
      <c r="FF221" s="60"/>
      <c r="FG221" s="60"/>
      <c r="FH221" s="60"/>
      <c r="FI221" s="60"/>
      <c r="FJ221" s="60"/>
      <c r="FK221" s="60"/>
      <c r="FL221" s="60"/>
      <c r="FM221" s="60"/>
      <c r="FN221" s="60"/>
      <c r="FO221" s="60"/>
      <c r="FP221" s="60"/>
      <c r="FQ221" s="60"/>
      <c r="FR221" s="60"/>
      <c r="FS221" s="60"/>
      <c r="FT221" s="60"/>
      <c r="FU221" s="60"/>
      <c r="FV221" s="60"/>
      <c r="FW221" s="60"/>
      <c r="FX221" s="60"/>
      <c r="FY221" s="60"/>
      <c r="FZ221" s="60"/>
      <c r="GA221" s="60"/>
      <c r="GB221" s="60"/>
      <c r="GC221" s="60"/>
      <c r="GD221" s="60"/>
      <c r="GE221" s="60"/>
      <c r="GF221" s="60"/>
      <c r="GG221" s="60"/>
      <c r="GH221" s="60"/>
      <c r="GI221" s="60"/>
      <c r="GJ221" s="60"/>
      <c r="GK221" s="60"/>
      <c r="GL221" s="60"/>
      <c r="GM221" s="60"/>
      <c r="GN221" s="60"/>
      <c r="GO221" s="60"/>
      <c r="GP221" s="60"/>
      <c r="GQ221" s="60"/>
      <c r="GR221" s="60"/>
      <c r="GS221" s="60"/>
      <c r="GT221" s="60"/>
      <c r="GU221" s="60"/>
      <c r="GV221" s="60"/>
      <c r="GW221" s="60"/>
      <c r="GX221" s="60"/>
      <c r="GY221" s="60"/>
      <c r="GZ221" s="60"/>
      <c r="HA221" s="60"/>
      <c r="HB221" s="60"/>
      <c r="HC221" s="60"/>
      <c r="HD221" s="60"/>
      <c r="HE221" s="60"/>
      <c r="HF221" s="60"/>
      <c r="HG221" s="60"/>
      <c r="HH221" s="60"/>
      <c r="HI221" s="60"/>
      <c r="HJ221" s="60"/>
      <c r="HK221" s="60"/>
      <c r="HL221" s="60"/>
      <c r="HM221" s="60"/>
      <c r="HN221" s="60"/>
      <c r="HO221" s="60"/>
      <c r="HP221" s="60"/>
      <c r="HQ221" s="60"/>
      <c r="HR221" s="60"/>
      <c r="HS221" s="60"/>
      <c r="HT221" s="60"/>
      <c r="HU221" s="60"/>
      <c r="HV221" s="60"/>
      <c r="HW221" s="60"/>
      <c r="HX221" s="60"/>
      <c r="HY221" s="60"/>
      <c r="HZ221" s="60"/>
      <c r="IA221" s="60"/>
      <c r="IB221" s="60"/>
      <c r="IC221" s="60"/>
      <c r="ID221" s="60"/>
      <c r="IE221" s="60"/>
      <c r="IF221" s="60"/>
      <c r="IG221" s="60"/>
      <c r="IH221" s="60"/>
      <c r="II221" s="60"/>
      <c r="IJ221" s="60"/>
      <c r="IK221" s="60"/>
      <c r="IL221" s="60"/>
      <c r="IM221" s="60"/>
      <c r="IN221" s="60"/>
      <c r="IO221" s="60"/>
      <c r="IP221" s="60"/>
      <c r="IQ221" s="60"/>
      <c r="IR221" s="60"/>
      <c r="IS221" s="60"/>
      <c r="IT221" s="60"/>
      <c r="IU221" s="60"/>
      <c r="IV221" s="60"/>
      <c r="IW221" s="60"/>
      <c r="IX221" s="60"/>
      <c r="IY221" s="60"/>
      <c r="IZ221" s="60"/>
      <c r="JA221" s="60"/>
      <c r="JB221" s="60"/>
      <c r="JC221" s="60"/>
      <c r="JD221" s="60"/>
      <c r="JE221" s="60"/>
      <c r="JF221" s="60"/>
      <c r="JG221" s="60"/>
      <c r="JH221" s="60"/>
      <c r="JI221" s="60"/>
      <c r="JJ221" s="60"/>
      <c r="JK221" s="60"/>
      <c r="JL221" s="60"/>
      <c r="JM221" s="60"/>
      <c r="JN221" s="60"/>
      <c r="JO221" s="60"/>
      <c r="JP221" s="60"/>
      <c r="JQ221" s="60"/>
      <c r="JR221" s="60"/>
      <c r="JS221" s="60"/>
      <c r="JT221" s="60"/>
      <c r="JU221" s="60"/>
      <c r="JV221" s="60"/>
      <c r="JW221" s="60"/>
      <c r="JX221" s="60"/>
      <c r="JY221" s="60"/>
      <c r="JZ221" s="60"/>
      <c r="KA221" s="60"/>
      <c r="KB221" s="60"/>
      <c r="KC221" s="60"/>
      <c r="KD221" s="60"/>
      <c r="KE221" s="60"/>
      <c r="KF221" s="60"/>
      <c r="KG221" s="60"/>
      <c r="KH221" s="60"/>
      <c r="KI221" s="60"/>
      <c r="KJ221" s="60"/>
      <c r="KK221" s="60"/>
      <c r="KL221" s="60"/>
      <c r="KM221" s="60"/>
      <c r="KN221" s="60"/>
      <c r="KO221" s="60"/>
      <c r="KP221" s="60"/>
      <c r="KQ221" s="60"/>
      <c r="KR221" s="60"/>
      <c r="KS221" s="60"/>
      <c r="KT221" s="60"/>
      <c r="KU221" s="60"/>
      <c r="KV221" s="60"/>
      <c r="KW221" s="60"/>
      <c r="KX221" s="60"/>
      <c r="KY221" s="60"/>
      <c r="KZ221" s="60"/>
      <c r="LA221" s="60"/>
      <c r="LB221" s="60"/>
      <c r="LC221" s="60"/>
      <c r="LD221" s="60"/>
      <c r="LE221" s="60"/>
      <c r="LF221" s="60"/>
      <c r="LG221" s="60"/>
      <c r="LH221" s="60"/>
    </row>
    <row r="222" spans="1:320" s="146" customFormat="1" x14ac:dyDescent="0.25">
      <c r="A222" s="147"/>
      <c r="B222" s="1"/>
      <c r="C222" s="1"/>
      <c r="D222" s="1"/>
      <c r="F222" s="148">
        <v>3</v>
      </c>
      <c r="G222" s="148"/>
      <c r="T222" s="17"/>
      <c r="U222" s="17"/>
      <c r="V222" s="17"/>
      <c r="W222" s="17"/>
      <c r="X222" s="17"/>
      <c r="Y222" s="17"/>
      <c r="Z222" s="17"/>
      <c r="AA222" s="17"/>
      <c r="AB222" s="17"/>
      <c r="AC222" s="60"/>
      <c r="AD222" s="60"/>
      <c r="AE222" s="60"/>
      <c r="AF222" s="60"/>
      <c r="AG222" s="60"/>
      <c r="AH222" s="60"/>
      <c r="AI222" s="60"/>
      <c r="AJ222" s="60"/>
      <c r="AK222" s="60"/>
      <c r="AL222" s="60"/>
      <c r="AM222" s="60"/>
      <c r="AN222" s="60"/>
      <c r="AO222" s="60"/>
      <c r="AP222" s="60"/>
      <c r="AQ222" s="60"/>
      <c r="AR222" s="60"/>
      <c r="AS222" s="60"/>
      <c r="AT222" s="60"/>
      <c r="AU222" s="60"/>
      <c r="AV222" s="60"/>
      <c r="AW222" s="60"/>
      <c r="AX222" s="60"/>
      <c r="AY222" s="60"/>
      <c r="AZ222" s="60"/>
      <c r="BA222" s="60"/>
      <c r="BB222" s="60"/>
      <c r="BC222" s="60"/>
      <c r="BD222" s="60"/>
      <c r="BE222" s="60"/>
      <c r="BF222" s="60"/>
      <c r="BG222" s="60"/>
      <c r="BH222" s="60"/>
      <c r="BI222" s="60"/>
      <c r="BJ222" s="60"/>
      <c r="BK222" s="60"/>
      <c r="BL222" s="60"/>
      <c r="BM222" s="60"/>
      <c r="BN222" s="60"/>
      <c r="BO222" s="60"/>
      <c r="BP222" s="60"/>
      <c r="BQ222" s="60"/>
      <c r="BR222" s="60"/>
      <c r="BS222" s="60"/>
      <c r="BT222" s="60"/>
      <c r="BU222" s="60"/>
      <c r="BV222" s="60"/>
      <c r="BW222" s="60"/>
      <c r="BX222" s="60"/>
      <c r="BY222" s="60"/>
      <c r="BZ222" s="60"/>
      <c r="CA222" s="60"/>
      <c r="CB222" s="60"/>
      <c r="CC222" s="60"/>
      <c r="CD222" s="60"/>
      <c r="CE222" s="60"/>
      <c r="CF222" s="60"/>
      <c r="CG222" s="60"/>
      <c r="CH222" s="60"/>
      <c r="CI222" s="60"/>
      <c r="CJ222" s="60"/>
      <c r="CK222" s="60"/>
      <c r="CL222" s="60"/>
      <c r="CM222" s="60"/>
      <c r="CN222" s="60"/>
      <c r="CO222" s="60"/>
      <c r="CP222" s="60"/>
      <c r="CQ222" s="60"/>
      <c r="CR222" s="60"/>
      <c r="CS222" s="60"/>
      <c r="CT222" s="60"/>
      <c r="CU222" s="60"/>
      <c r="CV222" s="60"/>
      <c r="CW222" s="60"/>
      <c r="CX222" s="60"/>
      <c r="CY222" s="60"/>
      <c r="CZ222" s="60"/>
      <c r="DA222" s="60"/>
      <c r="DB222" s="60"/>
      <c r="DC222" s="60"/>
      <c r="DD222" s="60"/>
      <c r="DE222" s="60"/>
      <c r="DF222" s="60"/>
      <c r="DG222" s="60"/>
      <c r="DH222" s="60"/>
      <c r="DI222" s="60"/>
      <c r="DJ222" s="60"/>
      <c r="DK222" s="60"/>
      <c r="DL222" s="60"/>
      <c r="DM222" s="60"/>
      <c r="DN222" s="60"/>
      <c r="DO222" s="60"/>
      <c r="DP222" s="60"/>
      <c r="DQ222" s="60"/>
      <c r="DR222" s="60"/>
      <c r="DS222" s="60"/>
      <c r="DT222" s="60"/>
      <c r="DU222" s="60"/>
      <c r="DV222" s="60"/>
      <c r="DW222" s="60"/>
      <c r="DX222" s="60"/>
      <c r="DY222" s="60"/>
      <c r="DZ222" s="60"/>
      <c r="EA222" s="60"/>
      <c r="EB222" s="60"/>
      <c r="EC222" s="60"/>
      <c r="ED222" s="60"/>
      <c r="EE222" s="60"/>
      <c r="EF222" s="60"/>
      <c r="EG222" s="60"/>
      <c r="EH222" s="60"/>
      <c r="EI222" s="60"/>
      <c r="EJ222" s="60"/>
      <c r="EK222" s="60"/>
      <c r="EL222" s="60"/>
      <c r="EM222" s="60"/>
      <c r="EN222" s="60"/>
      <c r="EO222" s="60"/>
      <c r="EP222" s="60"/>
      <c r="EQ222" s="60"/>
      <c r="ER222" s="60"/>
      <c r="ES222" s="60"/>
      <c r="ET222" s="60"/>
      <c r="EU222" s="60"/>
      <c r="EV222" s="60"/>
      <c r="EW222" s="60"/>
      <c r="EX222" s="60"/>
      <c r="EY222" s="60"/>
      <c r="EZ222" s="60"/>
      <c r="FA222" s="60"/>
      <c r="FB222" s="60"/>
      <c r="FC222" s="60"/>
      <c r="FD222" s="60"/>
      <c r="FE222" s="60"/>
      <c r="FF222" s="60"/>
      <c r="FG222" s="60"/>
      <c r="FH222" s="60"/>
      <c r="FI222" s="60"/>
      <c r="FJ222" s="60"/>
      <c r="FK222" s="60"/>
      <c r="FL222" s="60"/>
      <c r="FM222" s="60"/>
      <c r="FN222" s="60"/>
      <c r="FO222" s="60"/>
      <c r="FP222" s="60"/>
      <c r="FQ222" s="60"/>
      <c r="FR222" s="60"/>
      <c r="FS222" s="60"/>
      <c r="FT222" s="60"/>
      <c r="FU222" s="60"/>
      <c r="FV222" s="60"/>
      <c r="FW222" s="60"/>
      <c r="FX222" s="60"/>
      <c r="FY222" s="60"/>
      <c r="FZ222" s="60"/>
      <c r="GA222" s="60"/>
      <c r="GB222" s="60"/>
      <c r="GC222" s="60"/>
      <c r="GD222" s="60"/>
      <c r="GE222" s="60"/>
      <c r="GF222" s="60"/>
      <c r="GG222" s="60"/>
      <c r="GH222" s="60"/>
      <c r="GI222" s="60"/>
      <c r="GJ222" s="60"/>
      <c r="GK222" s="60"/>
      <c r="GL222" s="60"/>
      <c r="GM222" s="60"/>
      <c r="GN222" s="60"/>
      <c r="GO222" s="60"/>
      <c r="GP222" s="60"/>
      <c r="GQ222" s="60"/>
      <c r="GR222" s="60"/>
      <c r="GS222" s="60"/>
      <c r="GT222" s="60"/>
      <c r="GU222" s="60"/>
      <c r="GV222" s="60"/>
      <c r="GW222" s="60"/>
      <c r="GX222" s="60"/>
      <c r="GY222" s="60"/>
      <c r="GZ222" s="60"/>
      <c r="HA222" s="60"/>
      <c r="HB222" s="60"/>
      <c r="HC222" s="60"/>
      <c r="HD222" s="60"/>
      <c r="HE222" s="60"/>
      <c r="HF222" s="60"/>
      <c r="HG222" s="60"/>
      <c r="HH222" s="60"/>
      <c r="HI222" s="60"/>
      <c r="HJ222" s="60"/>
      <c r="HK222" s="60"/>
      <c r="HL222" s="60"/>
      <c r="HM222" s="60"/>
      <c r="HN222" s="60"/>
      <c r="HO222" s="60"/>
      <c r="HP222" s="60"/>
      <c r="HQ222" s="60"/>
      <c r="HR222" s="60"/>
      <c r="HS222" s="60"/>
      <c r="HT222" s="60"/>
      <c r="HU222" s="60"/>
      <c r="HV222" s="60"/>
      <c r="HW222" s="60"/>
      <c r="HX222" s="60"/>
      <c r="HY222" s="60"/>
      <c r="HZ222" s="60"/>
      <c r="IA222" s="60"/>
      <c r="IB222" s="60"/>
      <c r="IC222" s="60"/>
      <c r="ID222" s="60"/>
      <c r="IE222" s="60"/>
      <c r="IF222" s="60"/>
      <c r="IG222" s="60"/>
      <c r="IH222" s="60"/>
      <c r="II222" s="60"/>
      <c r="IJ222" s="60"/>
      <c r="IK222" s="60"/>
      <c r="IL222" s="60"/>
      <c r="IM222" s="60"/>
      <c r="IN222" s="60"/>
      <c r="IO222" s="60"/>
      <c r="IP222" s="60"/>
      <c r="IQ222" s="60"/>
      <c r="IR222" s="60"/>
      <c r="IS222" s="60"/>
      <c r="IT222" s="60"/>
      <c r="IU222" s="60"/>
      <c r="IV222" s="60"/>
      <c r="IW222" s="60"/>
      <c r="IX222" s="60"/>
      <c r="IY222" s="60"/>
      <c r="IZ222" s="60"/>
      <c r="JA222" s="60"/>
      <c r="JB222" s="60"/>
      <c r="JC222" s="60"/>
      <c r="JD222" s="60"/>
      <c r="JE222" s="60"/>
      <c r="JF222" s="60"/>
      <c r="JG222" s="60"/>
      <c r="JH222" s="60"/>
      <c r="JI222" s="60"/>
      <c r="JJ222" s="60"/>
      <c r="JK222" s="60"/>
      <c r="JL222" s="60"/>
      <c r="JM222" s="60"/>
      <c r="JN222" s="60"/>
      <c r="JO222" s="60"/>
      <c r="JP222" s="60"/>
      <c r="JQ222" s="60"/>
      <c r="JR222" s="60"/>
      <c r="JS222" s="60"/>
      <c r="JT222" s="60"/>
      <c r="JU222" s="60"/>
      <c r="JV222" s="60"/>
      <c r="JW222" s="60"/>
      <c r="JX222" s="60"/>
      <c r="JY222" s="60"/>
      <c r="JZ222" s="60"/>
      <c r="KA222" s="60"/>
      <c r="KB222" s="60"/>
      <c r="KC222" s="60"/>
      <c r="KD222" s="60"/>
      <c r="KE222" s="60"/>
      <c r="KF222" s="60"/>
      <c r="KG222" s="60"/>
      <c r="KH222" s="60"/>
      <c r="KI222" s="60"/>
      <c r="KJ222" s="60"/>
      <c r="KK222" s="60"/>
      <c r="KL222" s="60"/>
      <c r="KM222" s="60"/>
      <c r="KN222" s="60"/>
      <c r="KO222" s="60"/>
      <c r="KP222" s="60"/>
      <c r="KQ222" s="60"/>
      <c r="KR222" s="60"/>
      <c r="KS222" s="60"/>
      <c r="KT222" s="60"/>
      <c r="KU222" s="60"/>
      <c r="KV222" s="60"/>
      <c r="KW222" s="60"/>
      <c r="KX222" s="60"/>
      <c r="KY222" s="60"/>
      <c r="KZ222" s="60"/>
      <c r="LA222" s="60"/>
      <c r="LB222" s="60"/>
      <c r="LC222" s="60"/>
      <c r="LD222" s="60"/>
      <c r="LE222" s="60"/>
      <c r="LF222" s="60"/>
      <c r="LG222" s="60"/>
      <c r="LH222" s="60"/>
    </row>
    <row r="223" spans="1:320" s="146" customFormat="1" x14ac:dyDescent="0.25">
      <c r="A223" s="147"/>
      <c r="B223" s="1"/>
      <c r="C223" s="1"/>
      <c r="D223" s="1"/>
      <c r="F223" s="148">
        <v>4</v>
      </c>
      <c r="G223" s="148"/>
      <c r="T223" s="17"/>
      <c r="U223" s="17"/>
      <c r="V223" s="17"/>
      <c r="W223" s="17"/>
      <c r="X223" s="17"/>
      <c r="Y223" s="17"/>
      <c r="Z223" s="17"/>
      <c r="AA223" s="17"/>
      <c r="AB223" s="17"/>
      <c r="AC223" s="60"/>
      <c r="AD223" s="60"/>
      <c r="AE223" s="60"/>
      <c r="AF223" s="60"/>
      <c r="AG223" s="60"/>
      <c r="AH223" s="60"/>
      <c r="AI223" s="60"/>
      <c r="AJ223" s="60"/>
      <c r="AK223" s="60"/>
      <c r="AL223" s="60"/>
      <c r="AM223" s="60"/>
      <c r="AN223" s="60"/>
      <c r="AO223" s="60"/>
      <c r="AP223" s="60"/>
      <c r="AQ223" s="60"/>
      <c r="AR223" s="60"/>
      <c r="AS223" s="60"/>
      <c r="AT223" s="60"/>
      <c r="AU223" s="60"/>
      <c r="AV223" s="60"/>
      <c r="AW223" s="60"/>
      <c r="AX223" s="60"/>
      <c r="AY223" s="60"/>
      <c r="AZ223" s="60"/>
      <c r="BA223" s="60"/>
      <c r="BB223" s="60"/>
      <c r="BC223" s="60"/>
      <c r="BD223" s="60"/>
      <c r="BE223" s="60"/>
      <c r="BF223" s="60"/>
      <c r="BG223" s="60"/>
      <c r="BH223" s="60"/>
      <c r="BI223" s="60"/>
      <c r="BJ223" s="60"/>
      <c r="BK223" s="60"/>
      <c r="BL223" s="60"/>
      <c r="BM223" s="60"/>
      <c r="BN223" s="60"/>
      <c r="BO223" s="60"/>
      <c r="BP223" s="60"/>
      <c r="BQ223" s="60"/>
      <c r="BR223" s="60"/>
      <c r="BS223" s="60"/>
      <c r="BT223" s="60"/>
      <c r="BU223" s="60"/>
      <c r="BV223" s="60"/>
      <c r="BW223" s="60"/>
      <c r="BX223" s="60"/>
      <c r="BY223" s="60"/>
      <c r="BZ223" s="60"/>
      <c r="CA223" s="60"/>
      <c r="CB223" s="60"/>
      <c r="CC223" s="60"/>
      <c r="CD223" s="60"/>
      <c r="CE223" s="60"/>
      <c r="CF223" s="60"/>
      <c r="CG223" s="60"/>
      <c r="CH223" s="60"/>
      <c r="CI223" s="60"/>
      <c r="CJ223" s="60"/>
      <c r="CK223" s="60"/>
      <c r="CL223" s="60"/>
      <c r="CM223" s="60"/>
      <c r="CN223" s="60"/>
      <c r="CO223" s="60"/>
      <c r="CP223" s="60"/>
      <c r="CQ223" s="60"/>
      <c r="CR223" s="60"/>
      <c r="CS223" s="60"/>
      <c r="CT223" s="60"/>
      <c r="CU223" s="60"/>
      <c r="CV223" s="60"/>
      <c r="CW223" s="60"/>
      <c r="CX223" s="60"/>
      <c r="CY223" s="60"/>
      <c r="CZ223" s="60"/>
      <c r="DA223" s="60"/>
      <c r="DB223" s="60"/>
      <c r="DC223" s="60"/>
      <c r="DD223" s="60"/>
      <c r="DE223" s="60"/>
      <c r="DF223" s="60"/>
      <c r="DG223" s="60"/>
      <c r="DH223" s="60"/>
      <c r="DI223" s="60"/>
      <c r="DJ223" s="60"/>
      <c r="DK223" s="60"/>
      <c r="DL223" s="60"/>
      <c r="DM223" s="60"/>
      <c r="DN223" s="60"/>
      <c r="DO223" s="60"/>
      <c r="DP223" s="60"/>
      <c r="DQ223" s="60"/>
      <c r="DR223" s="60"/>
      <c r="DS223" s="60"/>
      <c r="DT223" s="60"/>
      <c r="DU223" s="60"/>
      <c r="DV223" s="60"/>
      <c r="DW223" s="60"/>
      <c r="DX223" s="60"/>
      <c r="DY223" s="60"/>
      <c r="DZ223" s="60"/>
      <c r="EA223" s="60"/>
      <c r="EB223" s="60"/>
      <c r="EC223" s="60"/>
      <c r="ED223" s="60"/>
      <c r="EE223" s="60"/>
      <c r="EF223" s="60"/>
      <c r="EG223" s="60"/>
      <c r="EH223" s="60"/>
      <c r="EI223" s="60"/>
      <c r="EJ223" s="60"/>
      <c r="EK223" s="60"/>
      <c r="EL223" s="60"/>
      <c r="EM223" s="60"/>
      <c r="EN223" s="60"/>
      <c r="EO223" s="60"/>
      <c r="EP223" s="60"/>
      <c r="EQ223" s="60"/>
      <c r="ER223" s="60"/>
      <c r="ES223" s="60"/>
      <c r="ET223" s="60"/>
      <c r="EU223" s="60"/>
      <c r="EV223" s="60"/>
      <c r="EW223" s="60"/>
      <c r="EX223" s="60"/>
      <c r="EY223" s="60"/>
      <c r="EZ223" s="60"/>
      <c r="FA223" s="60"/>
      <c r="FB223" s="60"/>
      <c r="FC223" s="60"/>
      <c r="FD223" s="60"/>
      <c r="FE223" s="60"/>
      <c r="FF223" s="60"/>
      <c r="FG223" s="60"/>
      <c r="FH223" s="60"/>
      <c r="FI223" s="60"/>
      <c r="FJ223" s="60"/>
      <c r="FK223" s="60"/>
      <c r="FL223" s="60"/>
      <c r="FM223" s="60"/>
      <c r="FN223" s="60"/>
      <c r="FO223" s="60"/>
      <c r="FP223" s="60"/>
      <c r="FQ223" s="60"/>
      <c r="FR223" s="60"/>
      <c r="FS223" s="60"/>
      <c r="FT223" s="60"/>
      <c r="FU223" s="60"/>
      <c r="FV223" s="60"/>
      <c r="FW223" s="60"/>
      <c r="FX223" s="60"/>
      <c r="FY223" s="60"/>
      <c r="FZ223" s="60"/>
      <c r="GA223" s="60"/>
      <c r="GB223" s="60"/>
      <c r="GC223" s="60"/>
      <c r="GD223" s="60"/>
      <c r="GE223" s="60"/>
      <c r="GF223" s="60"/>
      <c r="GG223" s="60"/>
      <c r="GH223" s="60"/>
      <c r="GI223" s="60"/>
      <c r="GJ223" s="60"/>
      <c r="GK223" s="60"/>
      <c r="GL223" s="60"/>
      <c r="GM223" s="60"/>
      <c r="GN223" s="60"/>
      <c r="GO223" s="60"/>
      <c r="GP223" s="60"/>
      <c r="GQ223" s="60"/>
      <c r="GR223" s="60"/>
      <c r="GS223" s="60"/>
      <c r="GT223" s="60"/>
      <c r="GU223" s="60"/>
      <c r="GV223" s="60"/>
      <c r="GW223" s="60"/>
      <c r="GX223" s="60"/>
      <c r="GY223" s="60"/>
      <c r="GZ223" s="60"/>
      <c r="HA223" s="60"/>
      <c r="HB223" s="60"/>
      <c r="HC223" s="60"/>
      <c r="HD223" s="60"/>
      <c r="HE223" s="60"/>
      <c r="HF223" s="60"/>
      <c r="HG223" s="60"/>
      <c r="HH223" s="60"/>
      <c r="HI223" s="60"/>
      <c r="HJ223" s="60"/>
      <c r="HK223" s="60"/>
      <c r="HL223" s="60"/>
      <c r="HM223" s="60"/>
      <c r="HN223" s="60"/>
      <c r="HO223" s="60"/>
      <c r="HP223" s="60"/>
      <c r="HQ223" s="60"/>
      <c r="HR223" s="60"/>
      <c r="HS223" s="60"/>
      <c r="HT223" s="60"/>
      <c r="HU223" s="60"/>
      <c r="HV223" s="60"/>
      <c r="HW223" s="60"/>
      <c r="HX223" s="60"/>
      <c r="HY223" s="60"/>
      <c r="HZ223" s="60"/>
      <c r="IA223" s="60"/>
      <c r="IB223" s="60"/>
      <c r="IC223" s="60"/>
      <c r="ID223" s="60"/>
      <c r="IE223" s="60"/>
      <c r="IF223" s="60"/>
      <c r="IG223" s="60"/>
      <c r="IH223" s="60"/>
      <c r="II223" s="60"/>
      <c r="IJ223" s="60"/>
      <c r="IK223" s="60"/>
      <c r="IL223" s="60"/>
      <c r="IM223" s="60"/>
      <c r="IN223" s="60"/>
      <c r="IO223" s="60"/>
      <c r="IP223" s="60"/>
      <c r="IQ223" s="60"/>
      <c r="IR223" s="60"/>
      <c r="IS223" s="60"/>
      <c r="IT223" s="60"/>
      <c r="IU223" s="60"/>
      <c r="IV223" s="60"/>
      <c r="IW223" s="60"/>
      <c r="IX223" s="60"/>
      <c r="IY223" s="60"/>
      <c r="IZ223" s="60"/>
      <c r="JA223" s="60"/>
      <c r="JB223" s="60"/>
      <c r="JC223" s="60"/>
      <c r="JD223" s="60"/>
      <c r="JE223" s="60"/>
      <c r="JF223" s="60"/>
      <c r="JG223" s="60"/>
      <c r="JH223" s="60"/>
      <c r="JI223" s="60"/>
      <c r="JJ223" s="60"/>
      <c r="JK223" s="60"/>
      <c r="JL223" s="60"/>
      <c r="JM223" s="60"/>
      <c r="JN223" s="60"/>
      <c r="JO223" s="60"/>
      <c r="JP223" s="60"/>
      <c r="JQ223" s="60"/>
      <c r="JR223" s="60"/>
      <c r="JS223" s="60"/>
      <c r="JT223" s="60"/>
      <c r="JU223" s="60"/>
      <c r="JV223" s="60"/>
      <c r="JW223" s="60"/>
      <c r="JX223" s="60"/>
      <c r="JY223" s="60"/>
      <c r="JZ223" s="60"/>
      <c r="KA223" s="60"/>
      <c r="KB223" s="60"/>
      <c r="KC223" s="60"/>
      <c r="KD223" s="60"/>
      <c r="KE223" s="60"/>
      <c r="KF223" s="60"/>
      <c r="KG223" s="60"/>
      <c r="KH223" s="60"/>
      <c r="KI223" s="60"/>
      <c r="KJ223" s="60"/>
      <c r="KK223" s="60"/>
      <c r="KL223" s="60"/>
      <c r="KM223" s="60"/>
      <c r="KN223" s="60"/>
      <c r="KO223" s="60"/>
      <c r="KP223" s="60"/>
      <c r="KQ223" s="60"/>
      <c r="KR223" s="60"/>
      <c r="KS223" s="60"/>
      <c r="KT223" s="60"/>
      <c r="KU223" s="60"/>
      <c r="KV223" s="60"/>
      <c r="KW223" s="60"/>
      <c r="KX223" s="60"/>
      <c r="KY223" s="60"/>
      <c r="KZ223" s="60"/>
      <c r="LA223" s="60"/>
      <c r="LB223" s="60"/>
      <c r="LC223" s="60"/>
      <c r="LD223" s="60"/>
      <c r="LE223" s="60"/>
      <c r="LF223" s="60"/>
      <c r="LG223" s="60"/>
      <c r="LH223" s="60"/>
    </row>
    <row r="224" spans="1:320" s="146" customFormat="1" x14ac:dyDescent="0.25">
      <c r="A224" s="147"/>
      <c r="B224" s="1"/>
      <c r="C224" s="1"/>
      <c r="D224" s="1"/>
      <c r="F224" s="148">
        <v>5</v>
      </c>
      <c r="G224" s="148"/>
      <c r="T224" s="17"/>
      <c r="U224" s="17"/>
      <c r="V224" s="17"/>
      <c r="W224" s="17"/>
      <c r="X224" s="17"/>
      <c r="Y224" s="17"/>
      <c r="Z224" s="17"/>
      <c r="AA224" s="17"/>
      <c r="AB224" s="17"/>
      <c r="AC224" s="60"/>
      <c r="AD224" s="60"/>
      <c r="AE224" s="60"/>
      <c r="AF224" s="60"/>
      <c r="AG224" s="60"/>
      <c r="AH224" s="60"/>
      <c r="AI224" s="60"/>
      <c r="AJ224" s="60"/>
      <c r="AK224" s="60"/>
      <c r="AL224" s="60"/>
      <c r="AM224" s="60"/>
      <c r="AN224" s="60"/>
      <c r="AO224" s="60"/>
      <c r="AP224" s="60"/>
      <c r="AQ224" s="60"/>
      <c r="AR224" s="60"/>
      <c r="AS224" s="60"/>
      <c r="AT224" s="60"/>
      <c r="AU224" s="60"/>
      <c r="AV224" s="60"/>
      <c r="AW224" s="60"/>
      <c r="AX224" s="60"/>
      <c r="AY224" s="60"/>
      <c r="AZ224" s="60"/>
      <c r="BA224" s="60"/>
      <c r="BB224" s="60"/>
      <c r="BC224" s="60"/>
      <c r="BD224" s="60"/>
      <c r="BE224" s="60"/>
      <c r="BF224" s="60"/>
      <c r="BG224" s="60"/>
      <c r="BH224" s="60"/>
      <c r="BI224" s="60"/>
      <c r="BJ224" s="60"/>
      <c r="BK224" s="60"/>
      <c r="BL224" s="60"/>
      <c r="BM224" s="60"/>
      <c r="BN224" s="60"/>
      <c r="BO224" s="60"/>
      <c r="BP224" s="60"/>
      <c r="BQ224" s="60"/>
      <c r="BR224" s="60"/>
      <c r="BS224" s="60"/>
      <c r="BT224" s="60"/>
      <c r="BU224" s="60"/>
      <c r="BV224" s="60"/>
      <c r="BW224" s="60"/>
      <c r="BX224" s="60"/>
      <c r="BY224" s="60"/>
      <c r="BZ224" s="60"/>
      <c r="CA224" s="60"/>
      <c r="CB224" s="60"/>
      <c r="CC224" s="60"/>
      <c r="CD224" s="60"/>
      <c r="CE224" s="60"/>
      <c r="CF224" s="60"/>
      <c r="CG224" s="60"/>
      <c r="CH224" s="60"/>
      <c r="CI224" s="60"/>
      <c r="CJ224" s="60"/>
      <c r="CK224" s="60"/>
      <c r="CL224" s="60"/>
      <c r="CM224" s="60"/>
      <c r="CN224" s="60"/>
      <c r="CO224" s="60"/>
      <c r="CP224" s="60"/>
      <c r="CQ224" s="60"/>
      <c r="CR224" s="60"/>
      <c r="CS224" s="60"/>
      <c r="CT224" s="60"/>
      <c r="CU224" s="60"/>
      <c r="CV224" s="60"/>
      <c r="CW224" s="60"/>
      <c r="CX224" s="60"/>
      <c r="CY224" s="60"/>
      <c r="CZ224" s="60"/>
      <c r="DA224" s="60"/>
      <c r="DB224" s="60"/>
      <c r="DC224" s="60"/>
      <c r="DD224" s="60"/>
      <c r="DE224" s="60"/>
      <c r="DF224" s="60"/>
      <c r="DG224" s="60"/>
      <c r="DH224" s="60"/>
      <c r="DI224" s="60"/>
      <c r="DJ224" s="60"/>
      <c r="DK224" s="60"/>
      <c r="DL224" s="60"/>
      <c r="DM224" s="60"/>
      <c r="DN224" s="60"/>
      <c r="DO224" s="60"/>
      <c r="DP224" s="60"/>
      <c r="DQ224" s="60"/>
      <c r="DR224" s="60"/>
      <c r="DS224" s="60"/>
      <c r="DT224" s="60"/>
      <c r="DU224" s="60"/>
      <c r="DV224" s="60"/>
      <c r="DW224" s="60"/>
      <c r="DX224" s="60"/>
      <c r="DY224" s="60"/>
      <c r="DZ224" s="60"/>
      <c r="EA224" s="60"/>
      <c r="EB224" s="60"/>
      <c r="EC224" s="60"/>
      <c r="ED224" s="60"/>
      <c r="EE224" s="60"/>
      <c r="EF224" s="60"/>
      <c r="EG224" s="60"/>
      <c r="EH224" s="60"/>
      <c r="EI224" s="60"/>
      <c r="EJ224" s="60"/>
      <c r="EK224" s="60"/>
      <c r="EL224" s="60"/>
      <c r="EM224" s="60"/>
      <c r="EN224" s="60"/>
      <c r="EO224" s="60"/>
      <c r="EP224" s="60"/>
      <c r="EQ224" s="60"/>
      <c r="ER224" s="60"/>
      <c r="ES224" s="60"/>
      <c r="ET224" s="60"/>
      <c r="EU224" s="60"/>
      <c r="EV224" s="60"/>
      <c r="EW224" s="60"/>
      <c r="EX224" s="60"/>
      <c r="EY224" s="60"/>
      <c r="EZ224" s="60"/>
      <c r="FA224" s="60"/>
      <c r="FB224" s="60"/>
      <c r="FC224" s="60"/>
      <c r="FD224" s="60"/>
      <c r="FE224" s="60"/>
      <c r="FF224" s="60"/>
      <c r="FG224" s="60"/>
      <c r="FH224" s="60"/>
      <c r="FI224" s="60"/>
      <c r="FJ224" s="60"/>
      <c r="FK224" s="60"/>
      <c r="FL224" s="60"/>
      <c r="FM224" s="60"/>
      <c r="FN224" s="60"/>
      <c r="FO224" s="60"/>
      <c r="FP224" s="60"/>
      <c r="FQ224" s="60"/>
      <c r="FR224" s="60"/>
      <c r="FS224" s="60"/>
      <c r="FT224" s="60"/>
      <c r="FU224" s="60"/>
      <c r="FV224" s="60"/>
      <c r="FW224" s="60"/>
      <c r="FX224" s="60"/>
      <c r="FY224" s="60"/>
      <c r="FZ224" s="60"/>
      <c r="GA224" s="60"/>
      <c r="GB224" s="60"/>
      <c r="GC224" s="60"/>
      <c r="GD224" s="60"/>
      <c r="GE224" s="60"/>
      <c r="GF224" s="60"/>
      <c r="GG224" s="60"/>
      <c r="GH224" s="60"/>
      <c r="GI224" s="60"/>
      <c r="GJ224" s="60"/>
      <c r="GK224" s="60"/>
      <c r="GL224" s="60"/>
      <c r="GM224" s="60"/>
      <c r="GN224" s="60"/>
      <c r="GO224" s="60"/>
      <c r="GP224" s="60"/>
      <c r="GQ224" s="60"/>
      <c r="GR224" s="60"/>
      <c r="GS224" s="60"/>
      <c r="GT224" s="60"/>
      <c r="GU224" s="60"/>
      <c r="GV224" s="60"/>
      <c r="GW224" s="60"/>
      <c r="GX224" s="60"/>
      <c r="GY224" s="60"/>
      <c r="GZ224" s="60"/>
      <c r="HA224" s="60"/>
      <c r="HB224" s="60"/>
      <c r="HC224" s="60"/>
      <c r="HD224" s="60"/>
      <c r="HE224" s="60"/>
      <c r="HF224" s="60"/>
      <c r="HG224" s="60"/>
      <c r="HH224" s="60"/>
      <c r="HI224" s="60"/>
      <c r="HJ224" s="60"/>
      <c r="HK224" s="60"/>
      <c r="HL224" s="60"/>
      <c r="HM224" s="60"/>
      <c r="HN224" s="60"/>
      <c r="HO224" s="60"/>
      <c r="HP224" s="60"/>
      <c r="HQ224" s="60"/>
      <c r="HR224" s="60"/>
      <c r="HS224" s="60"/>
      <c r="HT224" s="60"/>
      <c r="HU224" s="60"/>
      <c r="HV224" s="60"/>
      <c r="HW224" s="60"/>
      <c r="HX224" s="60"/>
      <c r="HY224" s="60"/>
      <c r="HZ224" s="60"/>
      <c r="IA224" s="60"/>
      <c r="IB224" s="60"/>
      <c r="IC224" s="60"/>
      <c r="ID224" s="60"/>
      <c r="IE224" s="60"/>
      <c r="IF224" s="60"/>
      <c r="IG224" s="60"/>
      <c r="IH224" s="60"/>
      <c r="II224" s="60"/>
      <c r="IJ224" s="60"/>
      <c r="IK224" s="60"/>
      <c r="IL224" s="60"/>
      <c r="IM224" s="60"/>
      <c r="IN224" s="60"/>
      <c r="IO224" s="60"/>
      <c r="IP224" s="60"/>
      <c r="IQ224" s="60"/>
      <c r="IR224" s="60"/>
      <c r="IS224" s="60"/>
      <c r="IT224" s="60"/>
      <c r="IU224" s="60"/>
      <c r="IV224" s="60"/>
      <c r="IW224" s="60"/>
      <c r="IX224" s="60"/>
      <c r="IY224" s="60"/>
      <c r="IZ224" s="60"/>
      <c r="JA224" s="60"/>
      <c r="JB224" s="60"/>
      <c r="JC224" s="60"/>
      <c r="JD224" s="60"/>
      <c r="JE224" s="60"/>
      <c r="JF224" s="60"/>
      <c r="JG224" s="60"/>
      <c r="JH224" s="60"/>
      <c r="JI224" s="60"/>
      <c r="JJ224" s="60"/>
      <c r="JK224" s="60"/>
      <c r="JL224" s="60"/>
      <c r="JM224" s="60"/>
      <c r="JN224" s="60"/>
      <c r="JO224" s="60"/>
      <c r="JP224" s="60"/>
      <c r="JQ224" s="60"/>
      <c r="JR224" s="60"/>
      <c r="JS224" s="60"/>
      <c r="JT224" s="60"/>
      <c r="JU224" s="60"/>
      <c r="JV224" s="60"/>
      <c r="JW224" s="60"/>
      <c r="JX224" s="60"/>
      <c r="JY224" s="60"/>
      <c r="JZ224" s="60"/>
      <c r="KA224" s="60"/>
      <c r="KB224" s="60"/>
      <c r="KC224" s="60"/>
      <c r="KD224" s="60"/>
      <c r="KE224" s="60"/>
      <c r="KF224" s="60"/>
      <c r="KG224" s="60"/>
      <c r="KH224" s="60"/>
      <c r="KI224" s="60"/>
      <c r="KJ224" s="60"/>
      <c r="KK224" s="60"/>
      <c r="KL224" s="60"/>
      <c r="KM224" s="60"/>
      <c r="KN224" s="60"/>
      <c r="KO224" s="60"/>
      <c r="KP224" s="60"/>
      <c r="KQ224" s="60"/>
      <c r="KR224" s="60"/>
      <c r="KS224" s="60"/>
      <c r="KT224" s="60"/>
      <c r="KU224" s="60"/>
      <c r="KV224" s="60"/>
      <c r="KW224" s="60"/>
      <c r="KX224" s="60"/>
      <c r="KY224" s="60"/>
      <c r="KZ224" s="60"/>
      <c r="LA224" s="60"/>
      <c r="LB224" s="60"/>
      <c r="LC224" s="60"/>
      <c r="LD224" s="60"/>
      <c r="LE224" s="60"/>
      <c r="LF224" s="60"/>
      <c r="LG224" s="60"/>
      <c r="LH224" s="60"/>
    </row>
    <row r="225" spans="1:320" s="146" customFormat="1" x14ac:dyDescent="0.25">
      <c r="A225" s="147"/>
      <c r="B225" s="1"/>
      <c r="C225" s="1"/>
      <c r="D225" s="1"/>
      <c r="F225" s="148">
        <v>6</v>
      </c>
      <c r="G225" s="148"/>
      <c r="T225" s="17"/>
      <c r="U225" s="17"/>
      <c r="V225" s="17"/>
      <c r="W225" s="17"/>
      <c r="X225" s="17"/>
      <c r="Y225" s="17"/>
      <c r="Z225" s="17"/>
      <c r="AA225" s="17"/>
      <c r="AB225" s="17"/>
      <c r="AC225" s="60"/>
      <c r="AD225" s="60"/>
      <c r="AE225" s="60"/>
      <c r="AF225" s="60"/>
      <c r="AG225" s="60"/>
      <c r="AH225" s="60"/>
      <c r="AI225" s="60"/>
      <c r="AJ225" s="60"/>
      <c r="AK225" s="60"/>
      <c r="AL225" s="60"/>
      <c r="AM225" s="60"/>
      <c r="AN225" s="60"/>
      <c r="AO225" s="60"/>
      <c r="AP225" s="60"/>
      <c r="AQ225" s="60"/>
      <c r="AR225" s="60"/>
      <c r="AS225" s="60"/>
      <c r="AT225" s="60"/>
      <c r="AU225" s="60"/>
      <c r="AV225" s="60"/>
      <c r="AW225" s="60"/>
      <c r="AX225" s="60"/>
      <c r="AY225" s="60"/>
      <c r="AZ225" s="60"/>
      <c r="BA225" s="60"/>
      <c r="BB225" s="60"/>
      <c r="BC225" s="60"/>
      <c r="BD225" s="60"/>
      <c r="BE225" s="60"/>
      <c r="BF225" s="60"/>
      <c r="BG225" s="60"/>
      <c r="BH225" s="60"/>
      <c r="BI225" s="60"/>
      <c r="BJ225" s="60"/>
      <c r="BK225" s="60"/>
      <c r="BL225" s="60"/>
      <c r="BM225" s="60"/>
      <c r="BN225" s="60"/>
      <c r="BO225" s="60"/>
      <c r="BP225" s="60"/>
      <c r="BQ225" s="60"/>
      <c r="BR225" s="60"/>
      <c r="BS225" s="60"/>
      <c r="BT225" s="60"/>
      <c r="BU225" s="60"/>
      <c r="BV225" s="60"/>
      <c r="BW225" s="60"/>
      <c r="BX225" s="60"/>
      <c r="BY225" s="60"/>
      <c r="BZ225" s="60"/>
      <c r="CA225" s="60"/>
      <c r="CB225" s="60"/>
      <c r="CC225" s="60"/>
      <c r="CD225" s="60"/>
      <c r="CE225" s="60"/>
      <c r="CF225" s="60"/>
      <c r="CG225" s="60"/>
      <c r="CH225" s="60"/>
      <c r="CI225" s="60"/>
      <c r="CJ225" s="60"/>
      <c r="CK225" s="60"/>
      <c r="CL225" s="60"/>
      <c r="CM225" s="60"/>
      <c r="CN225" s="60"/>
      <c r="CO225" s="60"/>
      <c r="CP225" s="60"/>
      <c r="CQ225" s="60"/>
      <c r="CR225" s="60"/>
      <c r="CS225" s="60"/>
      <c r="CT225" s="60"/>
      <c r="CU225" s="60"/>
      <c r="CV225" s="60"/>
      <c r="CW225" s="60"/>
      <c r="CX225" s="60"/>
      <c r="CY225" s="60"/>
      <c r="CZ225" s="60"/>
      <c r="DA225" s="60"/>
      <c r="DB225" s="60"/>
      <c r="DC225" s="60"/>
      <c r="DD225" s="60"/>
      <c r="DE225" s="60"/>
      <c r="DF225" s="60"/>
      <c r="DG225" s="60"/>
      <c r="DH225" s="60"/>
      <c r="DI225" s="60"/>
      <c r="DJ225" s="60"/>
      <c r="DK225" s="60"/>
      <c r="DL225" s="60"/>
      <c r="DM225" s="60"/>
      <c r="DN225" s="60"/>
      <c r="DO225" s="60"/>
      <c r="DP225" s="60"/>
      <c r="DQ225" s="60"/>
      <c r="DR225" s="60"/>
      <c r="DS225" s="60"/>
      <c r="DT225" s="60"/>
      <c r="DU225" s="60"/>
      <c r="DV225" s="60"/>
      <c r="DW225" s="60"/>
      <c r="DX225" s="60"/>
      <c r="DY225" s="60"/>
      <c r="DZ225" s="60"/>
      <c r="EA225" s="60"/>
      <c r="EB225" s="60"/>
      <c r="EC225" s="60"/>
      <c r="ED225" s="60"/>
      <c r="EE225" s="60"/>
      <c r="EF225" s="60"/>
      <c r="EG225" s="60"/>
      <c r="EH225" s="60"/>
      <c r="EI225" s="60"/>
      <c r="EJ225" s="60"/>
      <c r="EK225" s="60"/>
      <c r="EL225" s="60"/>
      <c r="EM225" s="60"/>
      <c r="EN225" s="60"/>
      <c r="EO225" s="60"/>
      <c r="EP225" s="60"/>
      <c r="EQ225" s="60"/>
      <c r="ER225" s="60"/>
      <c r="ES225" s="60"/>
      <c r="ET225" s="60"/>
      <c r="EU225" s="60"/>
      <c r="EV225" s="60"/>
      <c r="EW225" s="60"/>
      <c r="EX225" s="60"/>
      <c r="EY225" s="60"/>
      <c r="EZ225" s="60"/>
      <c r="FA225" s="60"/>
      <c r="FB225" s="60"/>
      <c r="FC225" s="60"/>
      <c r="FD225" s="60"/>
      <c r="FE225" s="60"/>
      <c r="FF225" s="60"/>
      <c r="FG225" s="60"/>
      <c r="FH225" s="60"/>
      <c r="FI225" s="60"/>
      <c r="FJ225" s="60"/>
      <c r="FK225" s="60"/>
      <c r="FL225" s="60"/>
      <c r="FM225" s="60"/>
      <c r="FN225" s="60"/>
      <c r="FO225" s="60"/>
      <c r="FP225" s="60"/>
      <c r="FQ225" s="60"/>
      <c r="FR225" s="60"/>
      <c r="FS225" s="60"/>
      <c r="FT225" s="60"/>
      <c r="FU225" s="60"/>
      <c r="FV225" s="60"/>
      <c r="FW225" s="60"/>
      <c r="FX225" s="60"/>
      <c r="FY225" s="60"/>
      <c r="FZ225" s="60"/>
      <c r="GA225" s="60"/>
      <c r="GB225" s="60"/>
      <c r="GC225" s="60"/>
      <c r="GD225" s="60"/>
      <c r="GE225" s="60"/>
      <c r="GF225" s="60"/>
      <c r="GG225" s="60"/>
      <c r="GH225" s="60"/>
      <c r="GI225" s="60"/>
      <c r="GJ225" s="60"/>
      <c r="GK225" s="60"/>
      <c r="GL225" s="60"/>
      <c r="GM225" s="60"/>
      <c r="GN225" s="60"/>
      <c r="GO225" s="60"/>
      <c r="GP225" s="60"/>
      <c r="GQ225" s="60"/>
      <c r="GR225" s="60"/>
      <c r="GS225" s="60"/>
      <c r="GT225" s="60"/>
      <c r="GU225" s="60"/>
      <c r="GV225" s="60"/>
      <c r="GW225" s="60"/>
      <c r="GX225" s="60"/>
      <c r="GY225" s="60"/>
      <c r="GZ225" s="60"/>
      <c r="HA225" s="60"/>
      <c r="HB225" s="60"/>
      <c r="HC225" s="60"/>
      <c r="HD225" s="60"/>
      <c r="HE225" s="60"/>
      <c r="HF225" s="60"/>
      <c r="HG225" s="60"/>
      <c r="HH225" s="60"/>
      <c r="HI225" s="60"/>
      <c r="HJ225" s="60"/>
      <c r="HK225" s="60"/>
      <c r="HL225" s="60"/>
      <c r="HM225" s="60"/>
      <c r="HN225" s="60"/>
      <c r="HO225" s="60"/>
      <c r="HP225" s="60"/>
      <c r="HQ225" s="60"/>
      <c r="HR225" s="60"/>
      <c r="HS225" s="60"/>
      <c r="HT225" s="60"/>
      <c r="HU225" s="60"/>
      <c r="HV225" s="60"/>
      <c r="HW225" s="60"/>
      <c r="HX225" s="60"/>
      <c r="HY225" s="60"/>
      <c r="HZ225" s="60"/>
      <c r="IA225" s="60"/>
      <c r="IB225" s="60"/>
      <c r="IC225" s="60"/>
      <c r="ID225" s="60"/>
      <c r="IE225" s="60"/>
      <c r="IF225" s="60"/>
      <c r="IG225" s="60"/>
      <c r="IH225" s="60"/>
      <c r="II225" s="60"/>
      <c r="IJ225" s="60"/>
      <c r="IK225" s="60"/>
      <c r="IL225" s="60"/>
      <c r="IM225" s="60"/>
      <c r="IN225" s="60"/>
      <c r="IO225" s="60"/>
      <c r="IP225" s="60"/>
      <c r="IQ225" s="60"/>
      <c r="IR225" s="60"/>
      <c r="IS225" s="60"/>
      <c r="IT225" s="60"/>
      <c r="IU225" s="60"/>
      <c r="IV225" s="60"/>
      <c r="IW225" s="60"/>
      <c r="IX225" s="60"/>
      <c r="IY225" s="60"/>
      <c r="IZ225" s="60"/>
      <c r="JA225" s="60"/>
      <c r="JB225" s="60"/>
      <c r="JC225" s="60"/>
      <c r="JD225" s="60"/>
      <c r="JE225" s="60"/>
      <c r="JF225" s="60"/>
      <c r="JG225" s="60"/>
      <c r="JH225" s="60"/>
      <c r="JI225" s="60"/>
      <c r="JJ225" s="60"/>
      <c r="JK225" s="60"/>
      <c r="JL225" s="60"/>
      <c r="JM225" s="60"/>
      <c r="JN225" s="60"/>
      <c r="JO225" s="60"/>
      <c r="JP225" s="60"/>
      <c r="JQ225" s="60"/>
      <c r="JR225" s="60"/>
      <c r="JS225" s="60"/>
      <c r="JT225" s="60"/>
      <c r="JU225" s="60"/>
      <c r="JV225" s="60"/>
      <c r="JW225" s="60"/>
      <c r="JX225" s="60"/>
      <c r="JY225" s="60"/>
      <c r="JZ225" s="60"/>
      <c r="KA225" s="60"/>
      <c r="KB225" s="60"/>
      <c r="KC225" s="60"/>
      <c r="KD225" s="60"/>
      <c r="KE225" s="60"/>
      <c r="KF225" s="60"/>
      <c r="KG225" s="60"/>
      <c r="KH225" s="60"/>
      <c r="KI225" s="60"/>
      <c r="KJ225" s="60"/>
      <c r="KK225" s="60"/>
      <c r="KL225" s="60"/>
      <c r="KM225" s="60"/>
      <c r="KN225" s="60"/>
      <c r="KO225" s="60"/>
      <c r="KP225" s="60"/>
      <c r="KQ225" s="60"/>
      <c r="KR225" s="60"/>
      <c r="KS225" s="60"/>
      <c r="KT225" s="60"/>
      <c r="KU225" s="60"/>
      <c r="KV225" s="60"/>
      <c r="KW225" s="60"/>
      <c r="KX225" s="60"/>
      <c r="KY225" s="60"/>
      <c r="KZ225" s="60"/>
      <c r="LA225" s="60"/>
      <c r="LB225" s="60"/>
      <c r="LC225" s="60"/>
      <c r="LD225" s="60"/>
      <c r="LE225" s="60"/>
      <c r="LF225" s="60"/>
      <c r="LG225" s="60"/>
      <c r="LH225" s="60"/>
    </row>
    <row r="226" spans="1:320" s="146" customFormat="1" x14ac:dyDescent="0.25">
      <c r="A226" s="147"/>
      <c r="B226" s="1"/>
      <c r="C226" s="1"/>
      <c r="D226" s="1"/>
      <c r="F226" s="148">
        <v>7</v>
      </c>
      <c r="G226" s="148"/>
      <c r="T226" s="17"/>
      <c r="U226" s="17"/>
      <c r="V226" s="17"/>
      <c r="W226" s="17"/>
      <c r="X226" s="17"/>
      <c r="Y226" s="17"/>
      <c r="Z226" s="17"/>
      <c r="AA226" s="17"/>
      <c r="AB226" s="17"/>
      <c r="AC226" s="60"/>
      <c r="AD226" s="60"/>
      <c r="AE226" s="60"/>
      <c r="AF226" s="60"/>
      <c r="AG226" s="60"/>
      <c r="AH226" s="60"/>
      <c r="AI226" s="60"/>
      <c r="AJ226" s="60"/>
      <c r="AK226" s="60"/>
      <c r="AL226" s="60"/>
      <c r="AM226" s="60"/>
      <c r="AN226" s="60"/>
      <c r="AO226" s="60"/>
      <c r="AP226" s="60"/>
      <c r="AQ226" s="60"/>
      <c r="AR226" s="60"/>
      <c r="AS226" s="60"/>
      <c r="AT226" s="60"/>
      <c r="AU226" s="60"/>
      <c r="AV226" s="60"/>
      <c r="AW226" s="60"/>
      <c r="AX226" s="60"/>
      <c r="AY226" s="60"/>
      <c r="AZ226" s="60"/>
      <c r="BA226" s="60"/>
      <c r="BB226" s="60"/>
      <c r="BC226" s="60"/>
      <c r="BD226" s="60"/>
      <c r="BE226" s="60"/>
      <c r="BF226" s="60"/>
      <c r="BG226" s="60"/>
      <c r="BH226" s="60"/>
      <c r="BI226" s="60"/>
      <c r="BJ226" s="60"/>
      <c r="BK226" s="60"/>
      <c r="BL226" s="60"/>
      <c r="BM226" s="60"/>
      <c r="BN226" s="60"/>
      <c r="BO226" s="60"/>
      <c r="BP226" s="60"/>
      <c r="BQ226" s="60"/>
      <c r="BR226" s="60"/>
      <c r="BS226" s="60"/>
      <c r="BT226" s="60"/>
      <c r="BU226" s="60"/>
      <c r="BV226" s="60"/>
      <c r="BW226" s="60"/>
      <c r="BX226" s="60"/>
      <c r="BY226" s="60"/>
      <c r="BZ226" s="60"/>
      <c r="CA226" s="60"/>
      <c r="CB226" s="60"/>
      <c r="CC226" s="60"/>
      <c r="CD226" s="60"/>
      <c r="CE226" s="60"/>
      <c r="CF226" s="60"/>
      <c r="CG226" s="60"/>
      <c r="CH226" s="60"/>
      <c r="CI226" s="60"/>
      <c r="CJ226" s="60"/>
      <c r="CK226" s="60"/>
      <c r="CL226" s="60"/>
      <c r="CM226" s="60"/>
      <c r="CN226" s="60"/>
      <c r="CO226" s="60"/>
      <c r="CP226" s="60"/>
      <c r="CQ226" s="60"/>
      <c r="CR226" s="60"/>
      <c r="CS226" s="60"/>
      <c r="CT226" s="60"/>
      <c r="CU226" s="60"/>
      <c r="CV226" s="60"/>
      <c r="CW226" s="60"/>
      <c r="CX226" s="60"/>
      <c r="CY226" s="60"/>
      <c r="CZ226" s="60"/>
      <c r="DA226" s="60"/>
      <c r="DB226" s="60"/>
      <c r="DC226" s="60"/>
      <c r="DD226" s="60"/>
      <c r="DE226" s="60"/>
      <c r="DF226" s="60"/>
      <c r="DG226" s="60"/>
      <c r="DH226" s="60"/>
      <c r="DI226" s="60"/>
      <c r="DJ226" s="60"/>
      <c r="DK226" s="60"/>
      <c r="DL226" s="60"/>
      <c r="DM226" s="60"/>
      <c r="DN226" s="60"/>
      <c r="DO226" s="60"/>
      <c r="DP226" s="60"/>
      <c r="DQ226" s="60"/>
      <c r="DR226" s="60"/>
      <c r="DS226" s="60"/>
      <c r="DT226" s="60"/>
      <c r="DU226" s="60"/>
      <c r="DV226" s="60"/>
      <c r="DW226" s="60"/>
      <c r="DX226" s="60"/>
      <c r="DY226" s="60"/>
      <c r="DZ226" s="60"/>
      <c r="EA226" s="60"/>
      <c r="EB226" s="60"/>
      <c r="EC226" s="60"/>
      <c r="ED226" s="60"/>
      <c r="EE226" s="60"/>
      <c r="EF226" s="60"/>
      <c r="EG226" s="60"/>
      <c r="EH226" s="60"/>
      <c r="EI226" s="60"/>
      <c r="EJ226" s="60"/>
      <c r="EK226" s="60"/>
      <c r="EL226" s="60"/>
      <c r="EM226" s="60"/>
      <c r="EN226" s="60"/>
      <c r="EO226" s="60"/>
      <c r="EP226" s="60"/>
      <c r="EQ226" s="60"/>
      <c r="ER226" s="60"/>
      <c r="ES226" s="60"/>
      <c r="ET226" s="60"/>
      <c r="EU226" s="60"/>
      <c r="EV226" s="60"/>
      <c r="EW226" s="60"/>
      <c r="EX226" s="60"/>
      <c r="EY226" s="60"/>
      <c r="EZ226" s="60"/>
      <c r="FA226" s="60"/>
      <c r="FB226" s="60"/>
      <c r="FC226" s="60"/>
      <c r="FD226" s="60"/>
      <c r="FE226" s="60"/>
      <c r="FF226" s="60"/>
      <c r="FG226" s="60"/>
      <c r="FH226" s="60"/>
      <c r="FI226" s="60"/>
      <c r="FJ226" s="60"/>
      <c r="FK226" s="60"/>
      <c r="FL226" s="60"/>
      <c r="FM226" s="60"/>
      <c r="FN226" s="60"/>
      <c r="FO226" s="60"/>
      <c r="FP226" s="60"/>
      <c r="FQ226" s="60"/>
      <c r="FR226" s="60"/>
      <c r="FS226" s="60"/>
      <c r="FT226" s="60"/>
      <c r="FU226" s="60"/>
      <c r="FV226" s="60"/>
      <c r="FW226" s="60"/>
      <c r="FX226" s="60"/>
      <c r="FY226" s="60"/>
      <c r="FZ226" s="60"/>
      <c r="GA226" s="60"/>
      <c r="GB226" s="60"/>
      <c r="GC226" s="60"/>
      <c r="GD226" s="60"/>
      <c r="GE226" s="60"/>
      <c r="GF226" s="60"/>
      <c r="GG226" s="60"/>
      <c r="GH226" s="60"/>
      <c r="GI226" s="60"/>
      <c r="GJ226" s="60"/>
      <c r="GK226" s="60"/>
      <c r="GL226" s="60"/>
      <c r="GM226" s="60"/>
      <c r="GN226" s="60"/>
      <c r="GO226" s="60"/>
      <c r="GP226" s="60"/>
      <c r="GQ226" s="60"/>
      <c r="GR226" s="60"/>
      <c r="GS226" s="60"/>
      <c r="GT226" s="60"/>
      <c r="GU226" s="60"/>
      <c r="GV226" s="60"/>
      <c r="GW226" s="60"/>
      <c r="GX226" s="60"/>
      <c r="GY226" s="60"/>
      <c r="GZ226" s="60"/>
      <c r="HA226" s="60"/>
      <c r="HB226" s="60"/>
      <c r="HC226" s="60"/>
      <c r="HD226" s="60"/>
      <c r="HE226" s="60"/>
      <c r="HF226" s="60"/>
      <c r="HG226" s="60"/>
      <c r="HH226" s="60"/>
      <c r="HI226" s="60"/>
      <c r="HJ226" s="60"/>
      <c r="HK226" s="60"/>
      <c r="HL226" s="60"/>
      <c r="HM226" s="60"/>
      <c r="HN226" s="60"/>
      <c r="HO226" s="60"/>
      <c r="HP226" s="60"/>
      <c r="HQ226" s="60"/>
      <c r="HR226" s="60"/>
      <c r="HS226" s="60"/>
      <c r="HT226" s="60"/>
      <c r="HU226" s="60"/>
      <c r="HV226" s="60"/>
      <c r="HW226" s="60"/>
      <c r="HX226" s="60"/>
      <c r="HY226" s="60"/>
      <c r="HZ226" s="60"/>
      <c r="IA226" s="60"/>
      <c r="IB226" s="60"/>
      <c r="IC226" s="60"/>
      <c r="ID226" s="60"/>
      <c r="IE226" s="60"/>
      <c r="IF226" s="60"/>
      <c r="IG226" s="60"/>
      <c r="IH226" s="60"/>
      <c r="II226" s="60"/>
      <c r="IJ226" s="60"/>
      <c r="IK226" s="60"/>
      <c r="IL226" s="60"/>
      <c r="IM226" s="60"/>
      <c r="IN226" s="60"/>
      <c r="IO226" s="60"/>
      <c r="IP226" s="60"/>
      <c r="IQ226" s="60"/>
      <c r="IR226" s="60"/>
      <c r="IS226" s="60"/>
      <c r="IT226" s="60"/>
      <c r="IU226" s="60"/>
      <c r="IV226" s="60"/>
      <c r="IW226" s="60"/>
      <c r="IX226" s="60"/>
      <c r="IY226" s="60"/>
      <c r="IZ226" s="60"/>
      <c r="JA226" s="60"/>
      <c r="JB226" s="60"/>
      <c r="JC226" s="60"/>
      <c r="JD226" s="60"/>
      <c r="JE226" s="60"/>
      <c r="JF226" s="60"/>
      <c r="JG226" s="60"/>
      <c r="JH226" s="60"/>
      <c r="JI226" s="60"/>
      <c r="JJ226" s="60"/>
      <c r="JK226" s="60"/>
      <c r="JL226" s="60"/>
      <c r="JM226" s="60"/>
      <c r="JN226" s="60"/>
      <c r="JO226" s="60"/>
      <c r="JP226" s="60"/>
      <c r="JQ226" s="60"/>
      <c r="JR226" s="60"/>
      <c r="JS226" s="60"/>
      <c r="JT226" s="60"/>
      <c r="JU226" s="60"/>
      <c r="JV226" s="60"/>
      <c r="JW226" s="60"/>
      <c r="JX226" s="60"/>
      <c r="JY226" s="60"/>
      <c r="JZ226" s="60"/>
      <c r="KA226" s="60"/>
      <c r="KB226" s="60"/>
      <c r="KC226" s="60"/>
      <c r="KD226" s="60"/>
      <c r="KE226" s="60"/>
      <c r="KF226" s="60"/>
      <c r="KG226" s="60"/>
      <c r="KH226" s="60"/>
      <c r="KI226" s="60"/>
      <c r="KJ226" s="60"/>
      <c r="KK226" s="60"/>
      <c r="KL226" s="60"/>
      <c r="KM226" s="60"/>
      <c r="KN226" s="60"/>
      <c r="KO226" s="60"/>
      <c r="KP226" s="60"/>
      <c r="KQ226" s="60"/>
      <c r="KR226" s="60"/>
      <c r="KS226" s="60"/>
      <c r="KT226" s="60"/>
      <c r="KU226" s="60"/>
      <c r="KV226" s="60"/>
      <c r="KW226" s="60"/>
      <c r="KX226" s="60"/>
      <c r="KY226" s="60"/>
      <c r="KZ226" s="60"/>
      <c r="LA226" s="60"/>
      <c r="LB226" s="60"/>
      <c r="LC226" s="60"/>
      <c r="LD226" s="60"/>
      <c r="LE226" s="60"/>
      <c r="LF226" s="60"/>
      <c r="LG226" s="60"/>
      <c r="LH226" s="60"/>
    </row>
    <row r="227" spans="1:320" s="146" customFormat="1" x14ac:dyDescent="0.25">
      <c r="A227" s="147"/>
      <c r="B227" s="1"/>
      <c r="C227" s="1"/>
      <c r="D227" s="1"/>
      <c r="F227" s="148">
        <v>8</v>
      </c>
      <c r="G227" s="148"/>
      <c r="T227" s="17"/>
      <c r="U227" s="17"/>
      <c r="V227" s="17"/>
      <c r="W227" s="17"/>
      <c r="X227" s="17"/>
      <c r="Y227" s="17"/>
      <c r="Z227" s="17"/>
      <c r="AA227" s="17"/>
      <c r="AB227" s="17"/>
      <c r="AC227" s="60"/>
      <c r="AD227" s="60"/>
      <c r="AE227" s="60"/>
      <c r="AF227" s="60"/>
      <c r="AG227" s="60"/>
      <c r="AH227" s="60"/>
      <c r="AI227" s="60"/>
      <c r="AJ227" s="60"/>
      <c r="AK227" s="60"/>
      <c r="AL227" s="60"/>
      <c r="AM227" s="60"/>
      <c r="AN227" s="60"/>
      <c r="AO227" s="60"/>
      <c r="AP227" s="60"/>
      <c r="AQ227" s="60"/>
      <c r="AR227" s="60"/>
      <c r="AS227" s="60"/>
      <c r="AT227" s="60"/>
      <c r="AU227" s="60"/>
      <c r="AV227" s="60"/>
      <c r="AW227" s="60"/>
      <c r="AX227" s="60"/>
      <c r="AY227" s="60"/>
      <c r="AZ227" s="60"/>
      <c r="BA227" s="60"/>
      <c r="BB227" s="60"/>
      <c r="BC227" s="60"/>
      <c r="BD227" s="60"/>
      <c r="BE227" s="60"/>
      <c r="BF227" s="60"/>
      <c r="BG227" s="60"/>
      <c r="BH227" s="60"/>
      <c r="BI227" s="60"/>
      <c r="BJ227" s="60"/>
      <c r="BK227" s="60"/>
      <c r="BL227" s="60"/>
      <c r="BM227" s="60"/>
      <c r="BN227" s="60"/>
      <c r="BO227" s="60"/>
      <c r="BP227" s="60"/>
      <c r="BQ227" s="60"/>
      <c r="BR227" s="60"/>
      <c r="BS227" s="60"/>
      <c r="BT227" s="60"/>
      <c r="BU227" s="60"/>
      <c r="BV227" s="60"/>
      <c r="BW227" s="60"/>
      <c r="BX227" s="60"/>
      <c r="BY227" s="60"/>
      <c r="BZ227" s="60"/>
      <c r="CA227" s="60"/>
      <c r="CB227" s="60"/>
      <c r="CC227" s="60"/>
      <c r="CD227" s="60"/>
      <c r="CE227" s="60"/>
      <c r="CF227" s="60"/>
      <c r="CG227" s="60"/>
      <c r="CH227" s="60"/>
      <c r="CI227" s="60"/>
      <c r="CJ227" s="60"/>
      <c r="CK227" s="60"/>
      <c r="CL227" s="60"/>
      <c r="CM227" s="60"/>
      <c r="CN227" s="60"/>
      <c r="CO227" s="60"/>
      <c r="CP227" s="60"/>
      <c r="CQ227" s="60"/>
      <c r="CR227" s="60"/>
      <c r="CS227" s="60"/>
      <c r="CT227" s="60"/>
      <c r="CU227" s="60"/>
      <c r="CV227" s="60"/>
      <c r="CW227" s="60"/>
      <c r="CX227" s="60"/>
      <c r="CY227" s="60"/>
      <c r="CZ227" s="60"/>
      <c r="DA227" s="60"/>
      <c r="DB227" s="60"/>
      <c r="DC227" s="60"/>
      <c r="DD227" s="60"/>
      <c r="DE227" s="60"/>
      <c r="DF227" s="60"/>
      <c r="DG227" s="60"/>
      <c r="DH227" s="60"/>
      <c r="DI227" s="60"/>
      <c r="DJ227" s="60"/>
      <c r="DK227" s="60"/>
      <c r="DL227" s="60"/>
      <c r="DM227" s="60"/>
      <c r="DN227" s="60"/>
      <c r="DO227" s="60"/>
      <c r="DP227" s="60"/>
      <c r="DQ227" s="60"/>
      <c r="DR227" s="60"/>
      <c r="DS227" s="60"/>
      <c r="DT227" s="60"/>
      <c r="DU227" s="60"/>
      <c r="DV227" s="60"/>
      <c r="DW227" s="60"/>
      <c r="DX227" s="60"/>
      <c r="DY227" s="60"/>
      <c r="DZ227" s="60"/>
      <c r="EA227" s="60"/>
      <c r="EB227" s="60"/>
      <c r="EC227" s="60"/>
      <c r="ED227" s="60"/>
      <c r="EE227" s="60"/>
      <c r="EF227" s="60"/>
      <c r="EG227" s="60"/>
      <c r="EH227" s="60"/>
      <c r="EI227" s="60"/>
      <c r="EJ227" s="60"/>
      <c r="EK227" s="60"/>
      <c r="EL227" s="60"/>
      <c r="EM227" s="60"/>
      <c r="EN227" s="60"/>
      <c r="EO227" s="60"/>
      <c r="EP227" s="60"/>
      <c r="EQ227" s="60"/>
      <c r="ER227" s="60"/>
      <c r="ES227" s="60"/>
      <c r="ET227" s="60"/>
      <c r="EU227" s="60"/>
      <c r="EV227" s="60"/>
      <c r="EW227" s="60"/>
      <c r="EX227" s="60"/>
      <c r="EY227" s="60"/>
      <c r="EZ227" s="60"/>
      <c r="FA227" s="60"/>
      <c r="FB227" s="60"/>
      <c r="FC227" s="60"/>
      <c r="FD227" s="60"/>
      <c r="FE227" s="60"/>
      <c r="FF227" s="60"/>
      <c r="FG227" s="60"/>
      <c r="FH227" s="60"/>
      <c r="FI227" s="60"/>
      <c r="FJ227" s="60"/>
      <c r="FK227" s="60"/>
      <c r="FL227" s="60"/>
      <c r="FM227" s="60"/>
      <c r="FN227" s="60"/>
      <c r="FO227" s="60"/>
      <c r="FP227" s="60"/>
      <c r="FQ227" s="60"/>
      <c r="FR227" s="60"/>
      <c r="FS227" s="60"/>
      <c r="FT227" s="60"/>
      <c r="FU227" s="60"/>
      <c r="FV227" s="60"/>
      <c r="FW227" s="60"/>
      <c r="FX227" s="60"/>
      <c r="FY227" s="60"/>
      <c r="FZ227" s="60"/>
      <c r="GA227" s="60"/>
      <c r="GB227" s="60"/>
      <c r="GC227" s="60"/>
      <c r="GD227" s="60"/>
      <c r="GE227" s="60"/>
      <c r="GF227" s="60"/>
      <c r="GG227" s="60"/>
      <c r="GH227" s="60"/>
      <c r="GI227" s="60"/>
      <c r="GJ227" s="60"/>
      <c r="GK227" s="60"/>
      <c r="GL227" s="60"/>
      <c r="GM227" s="60"/>
      <c r="GN227" s="60"/>
      <c r="GO227" s="60"/>
      <c r="GP227" s="60"/>
      <c r="GQ227" s="60"/>
      <c r="GR227" s="60"/>
      <c r="GS227" s="60"/>
      <c r="GT227" s="60"/>
      <c r="GU227" s="60"/>
      <c r="GV227" s="60"/>
      <c r="GW227" s="60"/>
      <c r="GX227" s="60"/>
      <c r="GY227" s="60"/>
      <c r="GZ227" s="60"/>
      <c r="HA227" s="60"/>
      <c r="HB227" s="60"/>
      <c r="HC227" s="60"/>
      <c r="HD227" s="60"/>
      <c r="HE227" s="60"/>
      <c r="HF227" s="60"/>
      <c r="HG227" s="60"/>
      <c r="HH227" s="60"/>
      <c r="HI227" s="60"/>
      <c r="HJ227" s="60"/>
      <c r="HK227" s="60"/>
      <c r="HL227" s="60"/>
      <c r="HM227" s="60"/>
      <c r="HN227" s="60"/>
      <c r="HO227" s="60"/>
      <c r="HP227" s="60"/>
      <c r="HQ227" s="60"/>
      <c r="HR227" s="60"/>
      <c r="HS227" s="60"/>
      <c r="HT227" s="60"/>
      <c r="HU227" s="60"/>
      <c r="HV227" s="60"/>
      <c r="HW227" s="60"/>
      <c r="HX227" s="60"/>
      <c r="HY227" s="60"/>
      <c r="HZ227" s="60"/>
      <c r="IA227" s="60"/>
      <c r="IB227" s="60"/>
      <c r="IC227" s="60"/>
      <c r="ID227" s="60"/>
      <c r="IE227" s="60"/>
      <c r="IF227" s="60"/>
      <c r="IG227" s="60"/>
      <c r="IH227" s="60"/>
      <c r="II227" s="60"/>
      <c r="IJ227" s="60"/>
      <c r="IK227" s="60"/>
      <c r="IL227" s="60"/>
      <c r="IM227" s="60"/>
      <c r="IN227" s="60"/>
      <c r="IO227" s="60"/>
      <c r="IP227" s="60"/>
      <c r="IQ227" s="60"/>
      <c r="IR227" s="60"/>
      <c r="IS227" s="60"/>
      <c r="IT227" s="60"/>
      <c r="IU227" s="60"/>
      <c r="IV227" s="60"/>
      <c r="IW227" s="60"/>
      <c r="IX227" s="60"/>
      <c r="IY227" s="60"/>
      <c r="IZ227" s="60"/>
      <c r="JA227" s="60"/>
      <c r="JB227" s="60"/>
      <c r="JC227" s="60"/>
      <c r="JD227" s="60"/>
      <c r="JE227" s="60"/>
      <c r="JF227" s="60"/>
      <c r="JG227" s="60"/>
      <c r="JH227" s="60"/>
      <c r="JI227" s="60"/>
      <c r="JJ227" s="60"/>
      <c r="JK227" s="60"/>
      <c r="JL227" s="60"/>
      <c r="JM227" s="60"/>
      <c r="JN227" s="60"/>
      <c r="JO227" s="60"/>
      <c r="JP227" s="60"/>
      <c r="JQ227" s="60"/>
      <c r="JR227" s="60"/>
      <c r="JS227" s="60"/>
      <c r="JT227" s="60"/>
      <c r="JU227" s="60"/>
      <c r="JV227" s="60"/>
      <c r="JW227" s="60"/>
      <c r="JX227" s="60"/>
      <c r="JY227" s="60"/>
      <c r="JZ227" s="60"/>
      <c r="KA227" s="60"/>
      <c r="KB227" s="60"/>
      <c r="KC227" s="60"/>
      <c r="KD227" s="60"/>
      <c r="KE227" s="60"/>
      <c r="KF227" s="60"/>
      <c r="KG227" s="60"/>
      <c r="KH227" s="60"/>
      <c r="KI227" s="60"/>
      <c r="KJ227" s="60"/>
      <c r="KK227" s="60"/>
      <c r="KL227" s="60"/>
      <c r="KM227" s="60"/>
      <c r="KN227" s="60"/>
      <c r="KO227" s="60"/>
      <c r="KP227" s="60"/>
      <c r="KQ227" s="60"/>
      <c r="KR227" s="60"/>
      <c r="KS227" s="60"/>
      <c r="KT227" s="60"/>
      <c r="KU227" s="60"/>
      <c r="KV227" s="60"/>
      <c r="KW227" s="60"/>
      <c r="KX227" s="60"/>
      <c r="KY227" s="60"/>
      <c r="KZ227" s="60"/>
      <c r="LA227" s="60"/>
      <c r="LB227" s="60"/>
      <c r="LC227" s="60"/>
      <c r="LD227" s="60"/>
      <c r="LE227" s="60"/>
      <c r="LF227" s="60"/>
      <c r="LG227" s="60"/>
      <c r="LH227" s="60"/>
    </row>
    <row r="228" spans="1:320" s="146" customFormat="1" x14ac:dyDescent="0.25">
      <c r="A228" s="147"/>
      <c r="B228" s="1"/>
      <c r="C228" s="1"/>
      <c r="D228" s="1"/>
      <c r="F228" s="148">
        <v>9</v>
      </c>
      <c r="G228" s="148"/>
      <c r="T228" s="17"/>
      <c r="U228" s="17"/>
      <c r="V228" s="17"/>
      <c r="W228" s="17"/>
      <c r="X228" s="17"/>
      <c r="Y228" s="17"/>
      <c r="Z228" s="17"/>
      <c r="AA228" s="17"/>
      <c r="AB228" s="17"/>
      <c r="AC228" s="60"/>
      <c r="AD228" s="60"/>
      <c r="AE228" s="60"/>
      <c r="AF228" s="60"/>
      <c r="AG228" s="60"/>
      <c r="AH228" s="60"/>
      <c r="AI228" s="60"/>
      <c r="AJ228" s="60"/>
      <c r="AK228" s="60"/>
      <c r="AL228" s="60"/>
      <c r="AM228" s="60"/>
      <c r="AN228" s="60"/>
      <c r="AO228" s="60"/>
      <c r="AP228" s="60"/>
      <c r="AQ228" s="60"/>
      <c r="AR228" s="60"/>
      <c r="AS228" s="60"/>
      <c r="AT228" s="60"/>
      <c r="AU228" s="60"/>
      <c r="AV228" s="60"/>
      <c r="AW228" s="60"/>
      <c r="AX228" s="60"/>
      <c r="AY228" s="60"/>
      <c r="AZ228" s="60"/>
      <c r="BA228" s="60"/>
      <c r="BB228" s="60"/>
      <c r="BC228" s="60"/>
      <c r="BD228" s="60"/>
      <c r="BE228" s="60"/>
      <c r="BF228" s="60"/>
      <c r="BG228" s="60"/>
      <c r="BH228" s="60"/>
      <c r="BI228" s="60"/>
      <c r="BJ228" s="60"/>
      <c r="BK228" s="60"/>
      <c r="BL228" s="60"/>
      <c r="BM228" s="60"/>
      <c r="BN228" s="60"/>
      <c r="BO228" s="60"/>
      <c r="BP228" s="60"/>
      <c r="BQ228" s="60"/>
      <c r="BR228" s="60"/>
      <c r="BS228" s="60"/>
      <c r="BT228" s="60"/>
      <c r="BU228" s="60"/>
      <c r="BV228" s="60"/>
      <c r="BW228" s="60"/>
      <c r="BX228" s="60"/>
      <c r="BY228" s="60"/>
      <c r="BZ228" s="60"/>
      <c r="CA228" s="60"/>
      <c r="CB228" s="60"/>
      <c r="CC228" s="60"/>
      <c r="CD228" s="60"/>
      <c r="CE228" s="60"/>
      <c r="CF228" s="60"/>
      <c r="CG228" s="60"/>
      <c r="CH228" s="60"/>
      <c r="CI228" s="60"/>
      <c r="CJ228" s="60"/>
      <c r="CK228" s="60"/>
      <c r="CL228" s="60"/>
      <c r="CM228" s="60"/>
      <c r="CN228" s="60"/>
      <c r="CO228" s="60"/>
      <c r="CP228" s="60"/>
      <c r="CQ228" s="60"/>
      <c r="CR228" s="60"/>
      <c r="CS228" s="60"/>
      <c r="CT228" s="60"/>
      <c r="CU228" s="60"/>
      <c r="CV228" s="60"/>
      <c r="CW228" s="60"/>
      <c r="CX228" s="60"/>
      <c r="CY228" s="60"/>
      <c r="CZ228" s="60"/>
      <c r="DA228" s="60"/>
      <c r="DB228" s="60"/>
      <c r="DC228" s="60"/>
      <c r="DD228" s="60"/>
      <c r="DE228" s="60"/>
      <c r="DF228" s="60"/>
      <c r="DG228" s="60"/>
      <c r="DH228" s="60"/>
      <c r="DI228" s="60"/>
      <c r="DJ228" s="60"/>
      <c r="DK228" s="60"/>
      <c r="DL228" s="60"/>
      <c r="DM228" s="60"/>
      <c r="DN228" s="60"/>
      <c r="DO228" s="60"/>
      <c r="DP228" s="60"/>
      <c r="DQ228" s="60"/>
      <c r="DR228" s="60"/>
      <c r="DS228" s="60"/>
      <c r="DT228" s="60"/>
      <c r="DU228" s="60"/>
      <c r="DV228" s="60"/>
      <c r="DW228" s="60"/>
      <c r="DX228" s="60"/>
      <c r="DY228" s="60"/>
      <c r="DZ228" s="60"/>
      <c r="EA228" s="60"/>
      <c r="EB228" s="60"/>
      <c r="EC228" s="60"/>
      <c r="ED228" s="60"/>
      <c r="EE228" s="60"/>
      <c r="EF228" s="60"/>
      <c r="EG228" s="60"/>
      <c r="EH228" s="60"/>
      <c r="EI228" s="60"/>
      <c r="EJ228" s="60"/>
      <c r="EK228" s="60"/>
      <c r="EL228" s="60"/>
      <c r="EM228" s="60"/>
      <c r="EN228" s="60"/>
      <c r="EO228" s="60"/>
      <c r="EP228" s="60"/>
      <c r="EQ228" s="60"/>
      <c r="ER228" s="60"/>
      <c r="ES228" s="60"/>
      <c r="ET228" s="60"/>
      <c r="EU228" s="60"/>
      <c r="EV228" s="60"/>
      <c r="EW228" s="60"/>
      <c r="EX228" s="60"/>
      <c r="EY228" s="60"/>
      <c r="EZ228" s="60"/>
      <c r="FA228" s="60"/>
      <c r="FB228" s="60"/>
      <c r="FC228" s="60"/>
      <c r="FD228" s="60"/>
      <c r="FE228" s="60"/>
      <c r="FF228" s="60"/>
      <c r="FG228" s="60"/>
      <c r="FH228" s="60"/>
      <c r="FI228" s="60"/>
      <c r="FJ228" s="60"/>
      <c r="FK228" s="60"/>
      <c r="FL228" s="60"/>
      <c r="FM228" s="60"/>
      <c r="FN228" s="60"/>
      <c r="FO228" s="60"/>
      <c r="FP228" s="60"/>
      <c r="FQ228" s="60"/>
      <c r="FR228" s="60"/>
      <c r="FS228" s="60"/>
      <c r="FT228" s="60"/>
      <c r="FU228" s="60"/>
      <c r="FV228" s="60"/>
      <c r="FW228" s="60"/>
      <c r="FX228" s="60"/>
      <c r="FY228" s="60"/>
      <c r="FZ228" s="60"/>
      <c r="GA228" s="60"/>
      <c r="GB228" s="60"/>
      <c r="GC228" s="60"/>
      <c r="GD228" s="60"/>
      <c r="GE228" s="60"/>
      <c r="GF228" s="60"/>
      <c r="GG228" s="60"/>
      <c r="GH228" s="60"/>
      <c r="GI228" s="60"/>
      <c r="GJ228" s="60"/>
      <c r="GK228" s="60"/>
      <c r="GL228" s="60"/>
      <c r="GM228" s="60"/>
      <c r="GN228" s="60"/>
      <c r="GO228" s="60"/>
      <c r="GP228" s="60"/>
      <c r="GQ228" s="60"/>
      <c r="GR228" s="60"/>
      <c r="GS228" s="60"/>
      <c r="GT228" s="60"/>
      <c r="GU228" s="60"/>
      <c r="GV228" s="60"/>
      <c r="GW228" s="60"/>
      <c r="GX228" s="60"/>
      <c r="GY228" s="60"/>
      <c r="GZ228" s="60"/>
      <c r="HA228" s="60"/>
      <c r="HB228" s="60"/>
      <c r="HC228" s="60"/>
      <c r="HD228" s="60"/>
      <c r="HE228" s="60"/>
      <c r="HF228" s="60"/>
      <c r="HG228" s="60"/>
      <c r="HH228" s="60"/>
      <c r="HI228" s="60"/>
      <c r="HJ228" s="60"/>
      <c r="HK228" s="60"/>
      <c r="HL228" s="60"/>
      <c r="HM228" s="60"/>
      <c r="HN228" s="60"/>
      <c r="HO228" s="60"/>
      <c r="HP228" s="60"/>
      <c r="HQ228" s="60"/>
      <c r="HR228" s="60"/>
      <c r="HS228" s="60"/>
      <c r="HT228" s="60"/>
      <c r="HU228" s="60"/>
      <c r="HV228" s="60"/>
      <c r="HW228" s="60"/>
      <c r="HX228" s="60"/>
      <c r="HY228" s="60"/>
      <c r="HZ228" s="60"/>
      <c r="IA228" s="60"/>
      <c r="IB228" s="60"/>
      <c r="IC228" s="60"/>
      <c r="ID228" s="60"/>
      <c r="IE228" s="60"/>
      <c r="IF228" s="60"/>
      <c r="IG228" s="60"/>
      <c r="IH228" s="60"/>
      <c r="II228" s="60"/>
      <c r="IJ228" s="60"/>
      <c r="IK228" s="60"/>
      <c r="IL228" s="60"/>
      <c r="IM228" s="60"/>
      <c r="IN228" s="60"/>
      <c r="IO228" s="60"/>
      <c r="IP228" s="60"/>
      <c r="IQ228" s="60"/>
      <c r="IR228" s="60"/>
      <c r="IS228" s="60"/>
      <c r="IT228" s="60"/>
      <c r="IU228" s="60"/>
      <c r="IV228" s="60"/>
      <c r="IW228" s="60"/>
      <c r="IX228" s="60"/>
      <c r="IY228" s="60"/>
      <c r="IZ228" s="60"/>
      <c r="JA228" s="60"/>
      <c r="JB228" s="60"/>
      <c r="JC228" s="60"/>
      <c r="JD228" s="60"/>
      <c r="JE228" s="60"/>
      <c r="JF228" s="60"/>
      <c r="JG228" s="60"/>
      <c r="JH228" s="60"/>
      <c r="JI228" s="60"/>
      <c r="JJ228" s="60"/>
      <c r="JK228" s="60"/>
      <c r="JL228" s="60"/>
      <c r="JM228" s="60"/>
      <c r="JN228" s="60"/>
      <c r="JO228" s="60"/>
      <c r="JP228" s="60"/>
      <c r="JQ228" s="60"/>
      <c r="JR228" s="60"/>
      <c r="JS228" s="60"/>
      <c r="JT228" s="60"/>
      <c r="JU228" s="60"/>
      <c r="JV228" s="60"/>
      <c r="JW228" s="60"/>
      <c r="JX228" s="60"/>
      <c r="JY228" s="60"/>
      <c r="JZ228" s="60"/>
      <c r="KA228" s="60"/>
      <c r="KB228" s="60"/>
      <c r="KC228" s="60"/>
      <c r="KD228" s="60"/>
      <c r="KE228" s="60"/>
      <c r="KF228" s="60"/>
      <c r="KG228" s="60"/>
      <c r="KH228" s="60"/>
      <c r="KI228" s="60"/>
      <c r="KJ228" s="60"/>
      <c r="KK228" s="60"/>
      <c r="KL228" s="60"/>
      <c r="KM228" s="60"/>
      <c r="KN228" s="60"/>
      <c r="KO228" s="60"/>
      <c r="KP228" s="60"/>
      <c r="KQ228" s="60"/>
      <c r="KR228" s="60"/>
      <c r="KS228" s="60"/>
      <c r="KT228" s="60"/>
      <c r="KU228" s="60"/>
      <c r="KV228" s="60"/>
      <c r="KW228" s="60"/>
      <c r="KX228" s="60"/>
      <c r="KY228" s="60"/>
      <c r="KZ228" s="60"/>
      <c r="LA228" s="60"/>
      <c r="LB228" s="60"/>
      <c r="LC228" s="60"/>
      <c r="LD228" s="60"/>
      <c r="LE228" s="60"/>
      <c r="LF228" s="60"/>
      <c r="LG228" s="60"/>
      <c r="LH228" s="60"/>
    </row>
    <row r="229" spans="1:320" s="146" customFormat="1" x14ac:dyDescent="0.25">
      <c r="A229" s="147"/>
      <c r="B229" s="1"/>
      <c r="C229" s="1"/>
      <c r="D229" s="1"/>
      <c r="F229" s="148">
        <v>10</v>
      </c>
      <c r="G229" s="148"/>
      <c r="T229" s="17"/>
      <c r="U229" s="17"/>
      <c r="V229" s="17"/>
      <c r="W229" s="17"/>
      <c r="X229" s="17"/>
      <c r="Y229" s="17"/>
      <c r="Z229" s="17"/>
      <c r="AA229" s="17"/>
      <c r="AB229" s="17"/>
      <c r="AC229" s="60"/>
      <c r="AD229" s="60"/>
      <c r="AE229" s="60"/>
      <c r="AF229" s="60"/>
      <c r="AG229" s="60"/>
      <c r="AH229" s="60"/>
      <c r="AI229" s="60"/>
      <c r="AJ229" s="60"/>
      <c r="AK229" s="60"/>
      <c r="AL229" s="60"/>
      <c r="AM229" s="60"/>
      <c r="AN229" s="60"/>
      <c r="AO229" s="60"/>
      <c r="AP229" s="60"/>
      <c r="AQ229" s="60"/>
      <c r="AR229" s="60"/>
      <c r="AS229" s="60"/>
      <c r="AT229" s="60"/>
      <c r="AU229" s="60"/>
      <c r="AV229" s="60"/>
      <c r="AW229" s="60"/>
      <c r="AX229" s="60"/>
      <c r="AY229" s="60"/>
      <c r="AZ229" s="60"/>
      <c r="BA229" s="60"/>
      <c r="BB229" s="60"/>
      <c r="BC229" s="60"/>
      <c r="BD229" s="60"/>
      <c r="BE229" s="60"/>
      <c r="BF229" s="60"/>
      <c r="BG229" s="60"/>
      <c r="BH229" s="60"/>
      <c r="BI229" s="60"/>
      <c r="BJ229" s="60"/>
      <c r="BK229" s="60"/>
      <c r="BL229" s="60"/>
      <c r="BM229" s="60"/>
      <c r="BN229" s="60"/>
      <c r="BO229" s="60"/>
      <c r="BP229" s="60"/>
      <c r="BQ229" s="60"/>
      <c r="BR229" s="60"/>
      <c r="BS229" s="60"/>
      <c r="BT229" s="60"/>
      <c r="BU229" s="60"/>
      <c r="BV229" s="60"/>
      <c r="BW229" s="60"/>
      <c r="BX229" s="60"/>
      <c r="BY229" s="60"/>
      <c r="BZ229" s="60"/>
      <c r="CA229" s="60"/>
      <c r="CB229" s="60"/>
      <c r="CC229" s="60"/>
      <c r="CD229" s="60"/>
      <c r="CE229" s="60"/>
      <c r="CF229" s="60"/>
      <c r="CG229" s="60"/>
      <c r="CH229" s="60"/>
      <c r="CI229" s="60"/>
      <c r="CJ229" s="60"/>
      <c r="CK229" s="60"/>
      <c r="CL229" s="60"/>
      <c r="CM229" s="60"/>
      <c r="CN229" s="60"/>
      <c r="CO229" s="60"/>
      <c r="CP229" s="60"/>
      <c r="CQ229" s="60"/>
      <c r="CR229" s="60"/>
      <c r="CS229" s="60"/>
      <c r="CT229" s="60"/>
      <c r="CU229" s="60"/>
      <c r="CV229" s="60"/>
      <c r="CW229" s="60"/>
      <c r="CX229" s="60"/>
      <c r="CY229" s="60"/>
      <c r="CZ229" s="60"/>
      <c r="DA229" s="60"/>
      <c r="DB229" s="60"/>
      <c r="DC229" s="60"/>
      <c r="DD229" s="60"/>
      <c r="DE229" s="60"/>
      <c r="DF229" s="60"/>
      <c r="DG229" s="60"/>
      <c r="DH229" s="60"/>
      <c r="DI229" s="60"/>
      <c r="DJ229" s="60"/>
      <c r="DK229" s="60"/>
      <c r="DL229" s="60"/>
      <c r="DM229" s="60"/>
      <c r="DN229" s="60"/>
      <c r="DO229" s="60"/>
      <c r="DP229" s="60"/>
      <c r="DQ229" s="60"/>
      <c r="DR229" s="60"/>
      <c r="DS229" s="60"/>
      <c r="DT229" s="60"/>
      <c r="DU229" s="60"/>
      <c r="DV229" s="60"/>
      <c r="DW229" s="60"/>
      <c r="DX229" s="60"/>
      <c r="DY229" s="60"/>
      <c r="DZ229" s="60"/>
      <c r="EA229" s="60"/>
      <c r="EB229" s="60"/>
      <c r="EC229" s="60"/>
      <c r="ED229" s="60"/>
      <c r="EE229" s="60"/>
      <c r="EF229" s="60"/>
      <c r="EG229" s="60"/>
      <c r="EH229" s="60"/>
      <c r="EI229" s="60"/>
      <c r="EJ229" s="60"/>
      <c r="EK229" s="60"/>
      <c r="EL229" s="60"/>
      <c r="EM229" s="60"/>
      <c r="EN229" s="60"/>
      <c r="EO229" s="60"/>
      <c r="EP229" s="60"/>
      <c r="EQ229" s="60"/>
      <c r="ER229" s="60"/>
      <c r="ES229" s="60"/>
      <c r="ET229" s="60"/>
      <c r="EU229" s="60"/>
      <c r="EV229" s="60"/>
      <c r="EW229" s="60"/>
      <c r="EX229" s="60"/>
      <c r="EY229" s="60"/>
      <c r="EZ229" s="60"/>
      <c r="FA229" s="60"/>
      <c r="FB229" s="60"/>
      <c r="FC229" s="60"/>
      <c r="FD229" s="60"/>
      <c r="FE229" s="60"/>
      <c r="FF229" s="60"/>
      <c r="FG229" s="60"/>
      <c r="FH229" s="60"/>
      <c r="FI229" s="60"/>
      <c r="FJ229" s="60"/>
      <c r="FK229" s="60"/>
      <c r="FL229" s="60"/>
      <c r="FM229" s="60"/>
      <c r="FN229" s="60"/>
      <c r="FO229" s="60"/>
      <c r="FP229" s="60"/>
      <c r="FQ229" s="60"/>
      <c r="FR229" s="60"/>
      <c r="FS229" s="60"/>
      <c r="FT229" s="60"/>
      <c r="FU229" s="60"/>
      <c r="FV229" s="60"/>
      <c r="FW229" s="60"/>
      <c r="FX229" s="60"/>
      <c r="FY229" s="60"/>
      <c r="FZ229" s="60"/>
      <c r="GA229" s="60"/>
      <c r="GB229" s="60"/>
      <c r="GC229" s="60"/>
      <c r="GD229" s="60"/>
      <c r="GE229" s="60"/>
      <c r="GF229" s="60"/>
      <c r="GG229" s="60"/>
      <c r="GH229" s="60"/>
      <c r="GI229" s="60"/>
      <c r="GJ229" s="60"/>
      <c r="GK229" s="60"/>
      <c r="GL229" s="60"/>
      <c r="GM229" s="60"/>
      <c r="GN229" s="60"/>
      <c r="GO229" s="60"/>
      <c r="GP229" s="60"/>
      <c r="GQ229" s="60"/>
      <c r="GR229" s="60"/>
      <c r="GS229" s="60"/>
      <c r="GT229" s="60"/>
      <c r="GU229" s="60"/>
      <c r="GV229" s="60"/>
      <c r="GW229" s="60"/>
      <c r="GX229" s="60"/>
      <c r="GY229" s="60"/>
      <c r="GZ229" s="60"/>
      <c r="HA229" s="60"/>
      <c r="HB229" s="60"/>
      <c r="HC229" s="60"/>
      <c r="HD229" s="60"/>
      <c r="HE229" s="60"/>
      <c r="HF229" s="60"/>
      <c r="HG229" s="60"/>
      <c r="HH229" s="60"/>
      <c r="HI229" s="60"/>
      <c r="HJ229" s="60"/>
      <c r="HK229" s="60"/>
      <c r="HL229" s="60"/>
      <c r="HM229" s="60"/>
      <c r="HN229" s="60"/>
      <c r="HO229" s="60"/>
      <c r="HP229" s="60"/>
      <c r="HQ229" s="60"/>
      <c r="HR229" s="60"/>
      <c r="HS229" s="60"/>
      <c r="HT229" s="60"/>
      <c r="HU229" s="60"/>
      <c r="HV229" s="60"/>
      <c r="HW229" s="60"/>
      <c r="HX229" s="60"/>
      <c r="HY229" s="60"/>
      <c r="HZ229" s="60"/>
      <c r="IA229" s="60"/>
      <c r="IB229" s="60"/>
      <c r="IC229" s="60"/>
      <c r="ID229" s="60"/>
      <c r="IE229" s="60"/>
      <c r="IF229" s="60"/>
      <c r="IG229" s="60"/>
      <c r="IH229" s="60"/>
      <c r="II229" s="60"/>
      <c r="IJ229" s="60"/>
      <c r="IK229" s="60"/>
      <c r="IL229" s="60"/>
      <c r="IM229" s="60"/>
      <c r="IN229" s="60"/>
      <c r="IO229" s="60"/>
      <c r="IP229" s="60"/>
      <c r="IQ229" s="60"/>
      <c r="IR229" s="60"/>
      <c r="IS229" s="60"/>
      <c r="IT229" s="60"/>
      <c r="IU229" s="60"/>
      <c r="IV229" s="60"/>
      <c r="IW229" s="60"/>
      <c r="IX229" s="60"/>
      <c r="IY229" s="60"/>
      <c r="IZ229" s="60"/>
      <c r="JA229" s="60"/>
      <c r="JB229" s="60"/>
      <c r="JC229" s="60"/>
      <c r="JD229" s="60"/>
      <c r="JE229" s="60"/>
      <c r="JF229" s="60"/>
      <c r="JG229" s="60"/>
      <c r="JH229" s="60"/>
      <c r="JI229" s="60"/>
      <c r="JJ229" s="60"/>
      <c r="JK229" s="60"/>
      <c r="JL229" s="60"/>
      <c r="JM229" s="60"/>
      <c r="JN229" s="60"/>
      <c r="JO229" s="60"/>
      <c r="JP229" s="60"/>
      <c r="JQ229" s="60"/>
      <c r="JR229" s="60"/>
      <c r="JS229" s="60"/>
      <c r="JT229" s="60"/>
      <c r="JU229" s="60"/>
      <c r="JV229" s="60"/>
      <c r="JW229" s="60"/>
      <c r="JX229" s="60"/>
      <c r="JY229" s="60"/>
      <c r="JZ229" s="60"/>
      <c r="KA229" s="60"/>
      <c r="KB229" s="60"/>
      <c r="KC229" s="60"/>
      <c r="KD229" s="60"/>
      <c r="KE229" s="60"/>
      <c r="KF229" s="60"/>
      <c r="KG229" s="60"/>
      <c r="KH229" s="60"/>
      <c r="KI229" s="60"/>
      <c r="KJ229" s="60"/>
      <c r="KK229" s="60"/>
      <c r="KL229" s="60"/>
      <c r="KM229" s="60"/>
      <c r="KN229" s="60"/>
      <c r="KO229" s="60"/>
      <c r="KP229" s="60"/>
      <c r="KQ229" s="60"/>
      <c r="KR229" s="60"/>
      <c r="KS229" s="60"/>
      <c r="KT229" s="60"/>
      <c r="KU229" s="60"/>
      <c r="KV229" s="60"/>
      <c r="KW229" s="60"/>
      <c r="KX229" s="60"/>
      <c r="KY229" s="60"/>
      <c r="KZ229" s="60"/>
      <c r="LA229" s="60"/>
      <c r="LB229" s="60"/>
      <c r="LC229" s="60"/>
      <c r="LD229" s="60"/>
      <c r="LE229" s="60"/>
      <c r="LF229" s="60"/>
      <c r="LG229" s="60"/>
      <c r="LH229" s="60"/>
    </row>
    <row r="230" spans="1:320" s="146" customFormat="1" x14ac:dyDescent="0.25">
      <c r="A230" s="147"/>
      <c r="B230" s="1"/>
      <c r="C230" s="1"/>
      <c r="D230" s="1"/>
      <c r="F230" s="148">
        <v>11</v>
      </c>
      <c r="G230" s="148"/>
      <c r="T230" s="17"/>
      <c r="U230" s="17"/>
      <c r="V230" s="17"/>
      <c r="W230" s="17"/>
      <c r="X230" s="17"/>
      <c r="Y230" s="17"/>
      <c r="Z230" s="17"/>
      <c r="AA230" s="17"/>
      <c r="AB230" s="17"/>
      <c r="AC230" s="60"/>
      <c r="AD230" s="60"/>
      <c r="AE230" s="60"/>
      <c r="AF230" s="60"/>
      <c r="AG230" s="60"/>
      <c r="AH230" s="60"/>
      <c r="AI230" s="60"/>
      <c r="AJ230" s="60"/>
      <c r="AK230" s="60"/>
      <c r="AL230" s="60"/>
      <c r="AM230" s="60"/>
      <c r="AN230" s="60"/>
      <c r="AO230" s="60"/>
      <c r="AP230" s="60"/>
      <c r="AQ230" s="60"/>
      <c r="AR230" s="60"/>
      <c r="AS230" s="60"/>
      <c r="AT230" s="60"/>
      <c r="AU230" s="60"/>
      <c r="AV230" s="60"/>
      <c r="AW230" s="60"/>
      <c r="AX230" s="60"/>
      <c r="AY230" s="60"/>
      <c r="AZ230" s="60"/>
      <c r="BA230" s="60"/>
      <c r="BB230" s="60"/>
      <c r="BC230" s="60"/>
      <c r="BD230" s="60"/>
      <c r="BE230" s="60"/>
      <c r="BF230" s="60"/>
      <c r="BG230" s="60"/>
      <c r="BH230" s="60"/>
      <c r="BI230" s="60"/>
      <c r="BJ230" s="60"/>
      <c r="BK230" s="60"/>
      <c r="BL230" s="60"/>
      <c r="BM230" s="60"/>
      <c r="BN230" s="60"/>
      <c r="BO230" s="60"/>
      <c r="BP230" s="60"/>
      <c r="BQ230" s="60"/>
      <c r="BR230" s="60"/>
      <c r="BS230" s="60"/>
      <c r="BT230" s="60"/>
      <c r="BU230" s="60"/>
      <c r="BV230" s="60"/>
      <c r="BW230" s="60"/>
      <c r="BX230" s="60"/>
      <c r="BY230" s="60"/>
      <c r="BZ230" s="60"/>
      <c r="CA230" s="60"/>
      <c r="CB230" s="60"/>
      <c r="CC230" s="60"/>
      <c r="CD230" s="60"/>
      <c r="CE230" s="60"/>
      <c r="CF230" s="60"/>
      <c r="CG230" s="60"/>
      <c r="CH230" s="60"/>
      <c r="CI230" s="60"/>
      <c r="CJ230" s="60"/>
      <c r="CK230" s="60"/>
      <c r="CL230" s="60"/>
      <c r="CM230" s="60"/>
      <c r="CN230" s="60"/>
      <c r="CO230" s="60"/>
      <c r="CP230" s="60"/>
      <c r="CQ230" s="60"/>
      <c r="CR230" s="60"/>
      <c r="CS230" s="60"/>
      <c r="CT230" s="60"/>
      <c r="CU230" s="60"/>
      <c r="CV230" s="60"/>
      <c r="CW230" s="60"/>
      <c r="CX230" s="60"/>
      <c r="CY230" s="60"/>
      <c r="CZ230" s="60"/>
      <c r="DA230" s="60"/>
      <c r="DB230" s="60"/>
      <c r="DC230" s="60"/>
      <c r="DD230" s="60"/>
      <c r="DE230" s="60"/>
      <c r="DF230" s="60"/>
      <c r="DG230" s="60"/>
      <c r="DH230" s="60"/>
      <c r="DI230" s="60"/>
      <c r="DJ230" s="60"/>
      <c r="DK230" s="60"/>
      <c r="DL230" s="60"/>
      <c r="DM230" s="60"/>
      <c r="DN230" s="60"/>
      <c r="DO230" s="60"/>
      <c r="DP230" s="60"/>
      <c r="DQ230" s="60"/>
      <c r="DR230" s="60"/>
      <c r="DS230" s="60"/>
      <c r="DT230" s="60"/>
      <c r="DU230" s="60"/>
      <c r="DV230" s="60"/>
      <c r="DW230" s="60"/>
      <c r="DX230" s="60"/>
      <c r="DY230" s="60"/>
      <c r="DZ230" s="60"/>
      <c r="EA230" s="60"/>
      <c r="EB230" s="60"/>
      <c r="EC230" s="60"/>
      <c r="ED230" s="60"/>
      <c r="EE230" s="60"/>
      <c r="EF230" s="60"/>
      <c r="EG230" s="60"/>
      <c r="EH230" s="60"/>
      <c r="EI230" s="60"/>
      <c r="EJ230" s="60"/>
      <c r="EK230" s="60"/>
      <c r="EL230" s="60"/>
      <c r="EM230" s="60"/>
      <c r="EN230" s="60"/>
      <c r="EO230" s="60"/>
      <c r="EP230" s="60"/>
      <c r="EQ230" s="60"/>
      <c r="ER230" s="60"/>
      <c r="ES230" s="60"/>
      <c r="ET230" s="60"/>
      <c r="EU230" s="60"/>
      <c r="EV230" s="60"/>
      <c r="EW230" s="60"/>
      <c r="EX230" s="60"/>
      <c r="EY230" s="60"/>
      <c r="EZ230" s="60"/>
      <c r="FA230" s="60"/>
      <c r="FB230" s="60"/>
      <c r="FC230" s="60"/>
      <c r="FD230" s="60"/>
      <c r="FE230" s="60"/>
      <c r="FF230" s="60"/>
      <c r="FG230" s="60"/>
      <c r="FH230" s="60"/>
      <c r="FI230" s="60"/>
      <c r="FJ230" s="60"/>
      <c r="FK230" s="60"/>
      <c r="FL230" s="60"/>
      <c r="FM230" s="60"/>
      <c r="FN230" s="60"/>
      <c r="FO230" s="60"/>
      <c r="FP230" s="60"/>
      <c r="FQ230" s="60"/>
      <c r="FR230" s="60"/>
      <c r="FS230" s="60"/>
      <c r="FT230" s="60"/>
      <c r="FU230" s="60"/>
      <c r="FV230" s="60"/>
      <c r="FW230" s="60"/>
      <c r="FX230" s="60"/>
      <c r="FY230" s="60"/>
      <c r="FZ230" s="60"/>
      <c r="GA230" s="60"/>
      <c r="GB230" s="60"/>
      <c r="GC230" s="60"/>
      <c r="GD230" s="60"/>
      <c r="GE230" s="60"/>
      <c r="GF230" s="60"/>
      <c r="GG230" s="60"/>
      <c r="GH230" s="60"/>
      <c r="GI230" s="60"/>
      <c r="GJ230" s="60"/>
      <c r="GK230" s="60"/>
      <c r="GL230" s="60"/>
      <c r="GM230" s="60"/>
      <c r="GN230" s="60"/>
      <c r="GO230" s="60"/>
      <c r="GP230" s="60"/>
      <c r="GQ230" s="60"/>
      <c r="GR230" s="60"/>
      <c r="GS230" s="60"/>
      <c r="GT230" s="60"/>
      <c r="GU230" s="60"/>
      <c r="GV230" s="60"/>
      <c r="GW230" s="60"/>
      <c r="GX230" s="60"/>
      <c r="GY230" s="60"/>
      <c r="GZ230" s="60"/>
      <c r="HA230" s="60"/>
      <c r="HB230" s="60"/>
      <c r="HC230" s="60"/>
      <c r="HD230" s="60"/>
      <c r="HE230" s="60"/>
      <c r="HF230" s="60"/>
      <c r="HG230" s="60"/>
      <c r="HH230" s="60"/>
      <c r="HI230" s="60"/>
      <c r="HJ230" s="60"/>
      <c r="HK230" s="60"/>
      <c r="HL230" s="60"/>
      <c r="HM230" s="60"/>
      <c r="HN230" s="60"/>
      <c r="HO230" s="60"/>
      <c r="HP230" s="60"/>
      <c r="HQ230" s="60"/>
      <c r="HR230" s="60"/>
      <c r="HS230" s="60"/>
      <c r="HT230" s="60"/>
      <c r="HU230" s="60"/>
      <c r="HV230" s="60"/>
      <c r="HW230" s="60"/>
      <c r="HX230" s="60"/>
      <c r="HY230" s="60"/>
      <c r="HZ230" s="60"/>
      <c r="IA230" s="60"/>
      <c r="IB230" s="60"/>
      <c r="IC230" s="60"/>
      <c r="ID230" s="60"/>
      <c r="IE230" s="60"/>
      <c r="IF230" s="60"/>
      <c r="IG230" s="60"/>
      <c r="IH230" s="60"/>
      <c r="II230" s="60"/>
      <c r="IJ230" s="60"/>
      <c r="IK230" s="60"/>
      <c r="IL230" s="60"/>
      <c r="IM230" s="60"/>
      <c r="IN230" s="60"/>
      <c r="IO230" s="60"/>
      <c r="IP230" s="60"/>
      <c r="IQ230" s="60"/>
      <c r="IR230" s="60"/>
      <c r="IS230" s="60"/>
      <c r="IT230" s="60"/>
      <c r="IU230" s="60"/>
      <c r="IV230" s="60"/>
      <c r="IW230" s="60"/>
      <c r="IX230" s="60"/>
      <c r="IY230" s="60"/>
      <c r="IZ230" s="60"/>
      <c r="JA230" s="60"/>
      <c r="JB230" s="60"/>
      <c r="JC230" s="60"/>
      <c r="JD230" s="60"/>
      <c r="JE230" s="60"/>
      <c r="JF230" s="60"/>
      <c r="JG230" s="60"/>
      <c r="JH230" s="60"/>
      <c r="JI230" s="60"/>
      <c r="JJ230" s="60"/>
      <c r="JK230" s="60"/>
      <c r="JL230" s="60"/>
      <c r="JM230" s="60"/>
      <c r="JN230" s="60"/>
      <c r="JO230" s="60"/>
      <c r="JP230" s="60"/>
      <c r="JQ230" s="60"/>
      <c r="JR230" s="60"/>
      <c r="JS230" s="60"/>
      <c r="JT230" s="60"/>
      <c r="JU230" s="60"/>
      <c r="JV230" s="60"/>
      <c r="JW230" s="60"/>
      <c r="JX230" s="60"/>
      <c r="JY230" s="60"/>
      <c r="JZ230" s="60"/>
      <c r="KA230" s="60"/>
      <c r="KB230" s="60"/>
      <c r="KC230" s="60"/>
      <c r="KD230" s="60"/>
      <c r="KE230" s="60"/>
      <c r="KF230" s="60"/>
      <c r="KG230" s="60"/>
      <c r="KH230" s="60"/>
      <c r="KI230" s="60"/>
      <c r="KJ230" s="60"/>
      <c r="KK230" s="60"/>
      <c r="KL230" s="60"/>
      <c r="KM230" s="60"/>
      <c r="KN230" s="60"/>
      <c r="KO230" s="60"/>
      <c r="KP230" s="60"/>
      <c r="KQ230" s="60"/>
      <c r="KR230" s="60"/>
      <c r="KS230" s="60"/>
      <c r="KT230" s="60"/>
      <c r="KU230" s="60"/>
      <c r="KV230" s="60"/>
      <c r="KW230" s="60"/>
      <c r="KX230" s="60"/>
      <c r="KY230" s="60"/>
      <c r="KZ230" s="60"/>
      <c r="LA230" s="60"/>
      <c r="LB230" s="60"/>
      <c r="LC230" s="60"/>
      <c r="LD230" s="60"/>
      <c r="LE230" s="60"/>
      <c r="LF230" s="60"/>
      <c r="LG230" s="60"/>
      <c r="LH230" s="60"/>
    </row>
    <row r="231" spans="1:320" s="146" customFormat="1" x14ac:dyDescent="0.25">
      <c r="A231" s="147"/>
      <c r="B231" s="1"/>
      <c r="C231" s="1"/>
      <c r="D231" s="1"/>
      <c r="F231" s="148" t="s">
        <v>94</v>
      </c>
      <c r="G231" s="148"/>
      <c r="T231" s="17"/>
      <c r="U231" s="17"/>
      <c r="V231" s="17"/>
      <c r="W231" s="17"/>
      <c r="X231" s="17"/>
      <c r="Y231" s="17"/>
      <c r="Z231" s="17"/>
      <c r="AA231" s="17"/>
      <c r="AB231" s="17"/>
      <c r="AC231" s="60"/>
      <c r="AD231" s="60"/>
      <c r="AE231" s="60"/>
      <c r="AF231" s="60"/>
      <c r="AG231" s="60"/>
      <c r="AH231" s="60"/>
      <c r="AI231" s="60"/>
      <c r="AJ231" s="60"/>
      <c r="AK231" s="60"/>
      <c r="AL231" s="60"/>
      <c r="AM231" s="60"/>
      <c r="AN231" s="60"/>
      <c r="AO231" s="60"/>
      <c r="AP231" s="60"/>
      <c r="AQ231" s="60"/>
      <c r="AR231" s="60"/>
      <c r="AS231" s="60"/>
      <c r="AT231" s="60"/>
      <c r="AU231" s="60"/>
      <c r="AV231" s="60"/>
      <c r="AW231" s="60"/>
      <c r="AX231" s="60"/>
      <c r="AY231" s="60"/>
      <c r="AZ231" s="60"/>
      <c r="BA231" s="60"/>
      <c r="BB231" s="60"/>
      <c r="BC231" s="60"/>
      <c r="BD231" s="60"/>
      <c r="BE231" s="60"/>
      <c r="BF231" s="60"/>
      <c r="BG231" s="60"/>
      <c r="BH231" s="60"/>
      <c r="BI231" s="60"/>
      <c r="BJ231" s="60"/>
      <c r="BK231" s="60"/>
      <c r="BL231" s="60"/>
      <c r="BM231" s="60"/>
      <c r="BN231" s="60"/>
      <c r="BO231" s="60"/>
      <c r="BP231" s="60"/>
      <c r="BQ231" s="60"/>
      <c r="BR231" s="60"/>
      <c r="BS231" s="60"/>
      <c r="BT231" s="60"/>
      <c r="BU231" s="60"/>
      <c r="BV231" s="60"/>
      <c r="BW231" s="60"/>
      <c r="BX231" s="60"/>
      <c r="BY231" s="60"/>
      <c r="BZ231" s="60"/>
      <c r="CA231" s="60"/>
      <c r="CB231" s="60"/>
      <c r="CC231" s="60"/>
      <c r="CD231" s="60"/>
      <c r="CE231" s="60"/>
      <c r="CF231" s="60"/>
      <c r="CG231" s="60"/>
      <c r="CH231" s="60"/>
      <c r="CI231" s="60"/>
      <c r="CJ231" s="60"/>
      <c r="CK231" s="60"/>
      <c r="CL231" s="60"/>
      <c r="CM231" s="60"/>
      <c r="CN231" s="60"/>
      <c r="CO231" s="60"/>
      <c r="CP231" s="60"/>
      <c r="CQ231" s="60"/>
      <c r="CR231" s="60"/>
      <c r="CS231" s="60"/>
      <c r="CT231" s="60"/>
      <c r="CU231" s="60"/>
      <c r="CV231" s="60"/>
      <c r="CW231" s="60"/>
      <c r="CX231" s="60"/>
      <c r="CY231" s="60"/>
      <c r="CZ231" s="60"/>
      <c r="DA231" s="60"/>
      <c r="DB231" s="60"/>
      <c r="DC231" s="60"/>
      <c r="DD231" s="60"/>
      <c r="DE231" s="60"/>
      <c r="DF231" s="60"/>
      <c r="DG231" s="60"/>
      <c r="DH231" s="60"/>
      <c r="DI231" s="60"/>
      <c r="DJ231" s="60"/>
      <c r="DK231" s="60"/>
      <c r="DL231" s="60"/>
      <c r="DM231" s="60"/>
      <c r="DN231" s="60"/>
      <c r="DO231" s="60"/>
      <c r="DP231" s="60"/>
      <c r="DQ231" s="60"/>
      <c r="DR231" s="60"/>
      <c r="DS231" s="60"/>
      <c r="DT231" s="60"/>
      <c r="DU231" s="60"/>
      <c r="DV231" s="60"/>
      <c r="DW231" s="60"/>
      <c r="DX231" s="60"/>
      <c r="DY231" s="60"/>
      <c r="DZ231" s="60"/>
      <c r="EA231" s="60"/>
      <c r="EB231" s="60"/>
      <c r="EC231" s="60"/>
      <c r="ED231" s="60"/>
      <c r="EE231" s="60"/>
      <c r="EF231" s="60"/>
      <c r="EG231" s="60"/>
      <c r="EH231" s="60"/>
      <c r="EI231" s="60"/>
      <c r="EJ231" s="60"/>
      <c r="EK231" s="60"/>
      <c r="EL231" s="60"/>
      <c r="EM231" s="60"/>
      <c r="EN231" s="60"/>
      <c r="EO231" s="60"/>
      <c r="EP231" s="60"/>
      <c r="EQ231" s="60"/>
      <c r="ER231" s="60"/>
      <c r="ES231" s="60"/>
      <c r="ET231" s="60"/>
      <c r="EU231" s="60"/>
      <c r="EV231" s="60"/>
      <c r="EW231" s="60"/>
      <c r="EX231" s="60"/>
      <c r="EY231" s="60"/>
      <c r="EZ231" s="60"/>
      <c r="FA231" s="60"/>
      <c r="FB231" s="60"/>
      <c r="FC231" s="60"/>
      <c r="FD231" s="60"/>
      <c r="FE231" s="60"/>
      <c r="FF231" s="60"/>
      <c r="FG231" s="60"/>
      <c r="FH231" s="60"/>
      <c r="FI231" s="60"/>
      <c r="FJ231" s="60"/>
      <c r="FK231" s="60"/>
      <c r="FL231" s="60"/>
      <c r="FM231" s="60"/>
      <c r="FN231" s="60"/>
      <c r="FO231" s="60"/>
      <c r="FP231" s="60"/>
      <c r="FQ231" s="60"/>
      <c r="FR231" s="60"/>
      <c r="FS231" s="60"/>
      <c r="FT231" s="60"/>
      <c r="FU231" s="60"/>
      <c r="FV231" s="60"/>
      <c r="FW231" s="60"/>
      <c r="FX231" s="60"/>
      <c r="FY231" s="60"/>
      <c r="FZ231" s="60"/>
      <c r="GA231" s="60"/>
      <c r="GB231" s="60"/>
      <c r="GC231" s="60"/>
      <c r="GD231" s="60"/>
      <c r="GE231" s="60"/>
      <c r="GF231" s="60"/>
      <c r="GG231" s="60"/>
      <c r="GH231" s="60"/>
      <c r="GI231" s="60"/>
      <c r="GJ231" s="60"/>
      <c r="GK231" s="60"/>
      <c r="GL231" s="60"/>
      <c r="GM231" s="60"/>
      <c r="GN231" s="60"/>
      <c r="GO231" s="60"/>
      <c r="GP231" s="60"/>
      <c r="GQ231" s="60"/>
      <c r="GR231" s="60"/>
      <c r="GS231" s="60"/>
      <c r="GT231" s="60"/>
      <c r="GU231" s="60"/>
      <c r="GV231" s="60"/>
      <c r="GW231" s="60"/>
      <c r="GX231" s="60"/>
      <c r="GY231" s="60"/>
      <c r="GZ231" s="60"/>
      <c r="HA231" s="60"/>
      <c r="HB231" s="60"/>
      <c r="HC231" s="60"/>
      <c r="HD231" s="60"/>
      <c r="HE231" s="60"/>
      <c r="HF231" s="60"/>
      <c r="HG231" s="60"/>
      <c r="HH231" s="60"/>
      <c r="HI231" s="60"/>
      <c r="HJ231" s="60"/>
      <c r="HK231" s="60"/>
      <c r="HL231" s="60"/>
      <c r="HM231" s="60"/>
      <c r="HN231" s="60"/>
      <c r="HO231" s="60"/>
      <c r="HP231" s="60"/>
      <c r="HQ231" s="60"/>
      <c r="HR231" s="60"/>
      <c r="HS231" s="60"/>
      <c r="HT231" s="60"/>
      <c r="HU231" s="60"/>
      <c r="HV231" s="60"/>
      <c r="HW231" s="60"/>
      <c r="HX231" s="60"/>
      <c r="HY231" s="60"/>
      <c r="HZ231" s="60"/>
      <c r="IA231" s="60"/>
      <c r="IB231" s="60"/>
      <c r="IC231" s="60"/>
      <c r="ID231" s="60"/>
      <c r="IE231" s="60"/>
      <c r="IF231" s="60"/>
      <c r="IG231" s="60"/>
      <c r="IH231" s="60"/>
      <c r="II231" s="60"/>
      <c r="IJ231" s="60"/>
      <c r="IK231" s="60"/>
      <c r="IL231" s="60"/>
      <c r="IM231" s="60"/>
      <c r="IN231" s="60"/>
      <c r="IO231" s="60"/>
      <c r="IP231" s="60"/>
      <c r="IQ231" s="60"/>
      <c r="IR231" s="60"/>
      <c r="IS231" s="60"/>
      <c r="IT231" s="60"/>
      <c r="IU231" s="60"/>
      <c r="IV231" s="60"/>
      <c r="IW231" s="60"/>
      <c r="IX231" s="60"/>
      <c r="IY231" s="60"/>
      <c r="IZ231" s="60"/>
      <c r="JA231" s="60"/>
      <c r="JB231" s="60"/>
      <c r="JC231" s="60"/>
      <c r="JD231" s="60"/>
      <c r="JE231" s="60"/>
      <c r="JF231" s="60"/>
      <c r="JG231" s="60"/>
      <c r="JH231" s="60"/>
      <c r="JI231" s="60"/>
      <c r="JJ231" s="60"/>
      <c r="JK231" s="60"/>
      <c r="JL231" s="60"/>
      <c r="JM231" s="60"/>
      <c r="JN231" s="60"/>
      <c r="JO231" s="60"/>
      <c r="JP231" s="60"/>
      <c r="JQ231" s="60"/>
      <c r="JR231" s="60"/>
      <c r="JS231" s="60"/>
      <c r="JT231" s="60"/>
      <c r="JU231" s="60"/>
      <c r="JV231" s="60"/>
      <c r="JW231" s="60"/>
      <c r="JX231" s="60"/>
      <c r="JY231" s="60"/>
      <c r="JZ231" s="60"/>
      <c r="KA231" s="60"/>
      <c r="KB231" s="60"/>
      <c r="KC231" s="60"/>
      <c r="KD231" s="60"/>
      <c r="KE231" s="60"/>
      <c r="KF231" s="60"/>
      <c r="KG231" s="60"/>
      <c r="KH231" s="60"/>
      <c r="KI231" s="60"/>
      <c r="KJ231" s="60"/>
      <c r="KK231" s="60"/>
      <c r="KL231" s="60"/>
      <c r="KM231" s="60"/>
      <c r="KN231" s="60"/>
      <c r="KO231" s="60"/>
      <c r="KP231" s="60"/>
      <c r="KQ231" s="60"/>
      <c r="KR231" s="60"/>
      <c r="KS231" s="60"/>
      <c r="KT231" s="60"/>
      <c r="KU231" s="60"/>
      <c r="KV231" s="60"/>
      <c r="KW231" s="60"/>
      <c r="KX231" s="60"/>
      <c r="KY231" s="60"/>
      <c r="KZ231" s="60"/>
      <c r="LA231" s="60"/>
      <c r="LB231" s="60"/>
      <c r="LC231" s="60"/>
      <c r="LD231" s="60"/>
      <c r="LE231" s="60"/>
      <c r="LF231" s="60"/>
      <c r="LG231" s="60"/>
      <c r="LH231" s="60"/>
    </row>
    <row r="232" spans="1:320" s="146" customFormat="1" x14ac:dyDescent="0.25">
      <c r="A232" s="147"/>
      <c r="B232" s="1"/>
      <c r="C232" s="1"/>
      <c r="D232" s="1"/>
      <c r="F232" s="148">
        <v>13</v>
      </c>
      <c r="G232" s="148"/>
      <c r="T232" s="17"/>
      <c r="U232" s="17"/>
      <c r="V232" s="17"/>
      <c r="W232" s="17"/>
      <c r="X232" s="17"/>
      <c r="Y232" s="17"/>
      <c r="Z232" s="17"/>
      <c r="AA232" s="17"/>
      <c r="AB232" s="17"/>
      <c r="AC232" s="60"/>
      <c r="AD232" s="60"/>
      <c r="AE232" s="60"/>
      <c r="AF232" s="60"/>
      <c r="AG232" s="60"/>
      <c r="AH232" s="60"/>
      <c r="AI232" s="60"/>
      <c r="AJ232" s="60"/>
      <c r="AK232" s="60"/>
      <c r="AL232" s="60"/>
      <c r="AM232" s="60"/>
      <c r="AN232" s="60"/>
      <c r="AO232" s="60"/>
      <c r="AP232" s="60"/>
      <c r="AQ232" s="60"/>
      <c r="AR232" s="60"/>
      <c r="AS232" s="60"/>
      <c r="AT232" s="60"/>
      <c r="AU232" s="60"/>
      <c r="AV232" s="60"/>
      <c r="AW232" s="60"/>
      <c r="AX232" s="60"/>
      <c r="AY232" s="60"/>
      <c r="AZ232" s="60"/>
      <c r="BA232" s="60"/>
      <c r="BB232" s="60"/>
      <c r="BC232" s="60"/>
      <c r="BD232" s="60"/>
      <c r="BE232" s="60"/>
      <c r="BF232" s="60"/>
      <c r="BG232" s="60"/>
      <c r="BH232" s="60"/>
      <c r="BI232" s="60"/>
      <c r="BJ232" s="60"/>
      <c r="BK232" s="60"/>
      <c r="BL232" s="60"/>
      <c r="BM232" s="60"/>
      <c r="BN232" s="60"/>
      <c r="BO232" s="60"/>
      <c r="BP232" s="60"/>
      <c r="BQ232" s="60"/>
      <c r="BR232" s="60"/>
      <c r="BS232" s="60"/>
      <c r="BT232" s="60"/>
      <c r="BU232" s="60"/>
      <c r="BV232" s="60"/>
      <c r="BW232" s="60"/>
      <c r="BX232" s="60"/>
      <c r="BY232" s="60"/>
      <c r="BZ232" s="60"/>
      <c r="CA232" s="60"/>
      <c r="CB232" s="60"/>
      <c r="CC232" s="60"/>
      <c r="CD232" s="60"/>
      <c r="CE232" s="60"/>
      <c r="CF232" s="60"/>
      <c r="CG232" s="60"/>
      <c r="CH232" s="60"/>
      <c r="CI232" s="60"/>
      <c r="CJ232" s="60"/>
      <c r="CK232" s="60"/>
      <c r="CL232" s="60"/>
      <c r="CM232" s="60"/>
      <c r="CN232" s="60"/>
      <c r="CO232" s="60"/>
      <c r="CP232" s="60"/>
      <c r="CQ232" s="60"/>
      <c r="CR232" s="60"/>
      <c r="CS232" s="60"/>
      <c r="CT232" s="60"/>
      <c r="CU232" s="60"/>
      <c r="CV232" s="60"/>
      <c r="CW232" s="60"/>
      <c r="CX232" s="60"/>
      <c r="CY232" s="60"/>
      <c r="CZ232" s="60"/>
      <c r="DA232" s="60"/>
      <c r="DB232" s="60"/>
      <c r="DC232" s="60"/>
      <c r="DD232" s="60"/>
      <c r="DE232" s="60"/>
      <c r="DF232" s="60"/>
      <c r="DG232" s="60"/>
      <c r="DH232" s="60"/>
      <c r="DI232" s="60"/>
      <c r="DJ232" s="60"/>
      <c r="DK232" s="60"/>
      <c r="DL232" s="60"/>
      <c r="DM232" s="60"/>
      <c r="DN232" s="60"/>
      <c r="DO232" s="60"/>
      <c r="DP232" s="60"/>
      <c r="DQ232" s="60"/>
      <c r="DR232" s="60"/>
      <c r="DS232" s="60"/>
      <c r="DT232" s="60"/>
      <c r="DU232" s="60"/>
      <c r="DV232" s="60"/>
      <c r="DW232" s="60"/>
      <c r="DX232" s="60"/>
      <c r="DY232" s="60"/>
      <c r="DZ232" s="60"/>
      <c r="EA232" s="60"/>
      <c r="EB232" s="60"/>
      <c r="EC232" s="60"/>
      <c r="ED232" s="60"/>
      <c r="EE232" s="60"/>
      <c r="EF232" s="60"/>
      <c r="EG232" s="60"/>
      <c r="EH232" s="60"/>
      <c r="EI232" s="60"/>
      <c r="EJ232" s="60"/>
      <c r="EK232" s="60"/>
      <c r="EL232" s="60"/>
      <c r="EM232" s="60"/>
      <c r="EN232" s="60"/>
      <c r="EO232" s="60"/>
      <c r="EP232" s="60"/>
      <c r="EQ232" s="60"/>
      <c r="ER232" s="60"/>
      <c r="ES232" s="60"/>
      <c r="ET232" s="60"/>
      <c r="EU232" s="60"/>
      <c r="EV232" s="60"/>
      <c r="EW232" s="60"/>
      <c r="EX232" s="60"/>
      <c r="EY232" s="60"/>
      <c r="EZ232" s="60"/>
      <c r="FA232" s="60"/>
      <c r="FB232" s="60"/>
      <c r="FC232" s="60"/>
      <c r="FD232" s="60"/>
      <c r="FE232" s="60"/>
      <c r="FF232" s="60"/>
      <c r="FG232" s="60"/>
      <c r="FH232" s="60"/>
      <c r="FI232" s="60"/>
      <c r="FJ232" s="60"/>
      <c r="FK232" s="60"/>
      <c r="FL232" s="60"/>
      <c r="FM232" s="60"/>
      <c r="FN232" s="60"/>
      <c r="FO232" s="60"/>
      <c r="FP232" s="60"/>
      <c r="FQ232" s="60"/>
      <c r="FR232" s="60"/>
      <c r="FS232" s="60"/>
      <c r="FT232" s="60"/>
      <c r="FU232" s="60"/>
      <c r="FV232" s="60"/>
      <c r="FW232" s="60"/>
      <c r="FX232" s="60"/>
      <c r="FY232" s="60"/>
      <c r="FZ232" s="60"/>
      <c r="GA232" s="60"/>
      <c r="GB232" s="60"/>
      <c r="GC232" s="60"/>
      <c r="GD232" s="60"/>
      <c r="GE232" s="60"/>
      <c r="GF232" s="60"/>
      <c r="GG232" s="60"/>
      <c r="GH232" s="60"/>
      <c r="GI232" s="60"/>
      <c r="GJ232" s="60"/>
      <c r="GK232" s="60"/>
      <c r="GL232" s="60"/>
      <c r="GM232" s="60"/>
      <c r="GN232" s="60"/>
      <c r="GO232" s="60"/>
      <c r="GP232" s="60"/>
      <c r="GQ232" s="60"/>
      <c r="GR232" s="60"/>
      <c r="GS232" s="60"/>
      <c r="GT232" s="60"/>
      <c r="GU232" s="60"/>
      <c r="GV232" s="60"/>
      <c r="GW232" s="60"/>
      <c r="GX232" s="60"/>
      <c r="GY232" s="60"/>
      <c r="GZ232" s="60"/>
      <c r="HA232" s="60"/>
      <c r="HB232" s="60"/>
      <c r="HC232" s="60"/>
      <c r="HD232" s="60"/>
      <c r="HE232" s="60"/>
      <c r="HF232" s="60"/>
      <c r="HG232" s="60"/>
      <c r="HH232" s="60"/>
      <c r="HI232" s="60"/>
      <c r="HJ232" s="60"/>
      <c r="HK232" s="60"/>
      <c r="HL232" s="60"/>
      <c r="HM232" s="60"/>
      <c r="HN232" s="60"/>
      <c r="HO232" s="60"/>
      <c r="HP232" s="60"/>
      <c r="HQ232" s="60"/>
      <c r="HR232" s="60"/>
      <c r="HS232" s="60"/>
      <c r="HT232" s="60"/>
      <c r="HU232" s="60"/>
      <c r="HV232" s="60"/>
      <c r="HW232" s="60"/>
      <c r="HX232" s="60"/>
      <c r="HY232" s="60"/>
      <c r="HZ232" s="60"/>
      <c r="IA232" s="60"/>
      <c r="IB232" s="60"/>
      <c r="IC232" s="60"/>
      <c r="ID232" s="60"/>
      <c r="IE232" s="60"/>
      <c r="IF232" s="60"/>
      <c r="IG232" s="60"/>
      <c r="IH232" s="60"/>
      <c r="II232" s="60"/>
      <c r="IJ232" s="60"/>
      <c r="IK232" s="60"/>
      <c r="IL232" s="60"/>
      <c r="IM232" s="60"/>
      <c r="IN232" s="60"/>
      <c r="IO232" s="60"/>
      <c r="IP232" s="60"/>
      <c r="IQ232" s="60"/>
      <c r="IR232" s="60"/>
      <c r="IS232" s="60"/>
      <c r="IT232" s="60"/>
      <c r="IU232" s="60"/>
      <c r="IV232" s="60"/>
      <c r="IW232" s="60"/>
      <c r="IX232" s="60"/>
      <c r="IY232" s="60"/>
      <c r="IZ232" s="60"/>
      <c r="JA232" s="60"/>
      <c r="JB232" s="60"/>
      <c r="JC232" s="60"/>
      <c r="JD232" s="60"/>
      <c r="JE232" s="60"/>
      <c r="JF232" s="60"/>
      <c r="JG232" s="60"/>
      <c r="JH232" s="60"/>
      <c r="JI232" s="60"/>
      <c r="JJ232" s="60"/>
      <c r="JK232" s="60"/>
      <c r="JL232" s="60"/>
      <c r="JM232" s="60"/>
      <c r="JN232" s="60"/>
      <c r="JO232" s="60"/>
      <c r="JP232" s="60"/>
      <c r="JQ232" s="60"/>
      <c r="JR232" s="60"/>
      <c r="JS232" s="60"/>
      <c r="JT232" s="60"/>
      <c r="JU232" s="60"/>
      <c r="JV232" s="60"/>
      <c r="JW232" s="60"/>
      <c r="JX232" s="60"/>
      <c r="JY232" s="60"/>
      <c r="JZ232" s="60"/>
      <c r="KA232" s="60"/>
      <c r="KB232" s="60"/>
      <c r="KC232" s="60"/>
      <c r="KD232" s="60"/>
      <c r="KE232" s="60"/>
      <c r="KF232" s="60"/>
      <c r="KG232" s="60"/>
      <c r="KH232" s="60"/>
      <c r="KI232" s="60"/>
      <c r="KJ232" s="60"/>
      <c r="KK232" s="60"/>
      <c r="KL232" s="60"/>
      <c r="KM232" s="60"/>
      <c r="KN232" s="60"/>
      <c r="KO232" s="60"/>
      <c r="KP232" s="60"/>
      <c r="KQ232" s="60"/>
      <c r="KR232" s="60"/>
      <c r="KS232" s="60"/>
      <c r="KT232" s="60"/>
      <c r="KU232" s="60"/>
      <c r="KV232" s="60"/>
      <c r="KW232" s="60"/>
      <c r="KX232" s="60"/>
      <c r="KY232" s="60"/>
      <c r="KZ232" s="60"/>
      <c r="LA232" s="60"/>
      <c r="LB232" s="60"/>
      <c r="LC232" s="60"/>
      <c r="LD232" s="60"/>
      <c r="LE232" s="60"/>
      <c r="LF232" s="60"/>
      <c r="LG232" s="60"/>
      <c r="LH232" s="60"/>
    </row>
    <row r="233" spans="1:320" s="146" customFormat="1" x14ac:dyDescent="0.25">
      <c r="A233" s="147"/>
      <c r="B233" s="1"/>
      <c r="C233" s="1"/>
      <c r="D233" s="1"/>
      <c r="F233" s="148">
        <v>14</v>
      </c>
      <c r="G233" s="148"/>
      <c r="T233" s="17"/>
      <c r="U233" s="17"/>
      <c r="V233" s="17"/>
      <c r="W233" s="17"/>
      <c r="X233" s="17"/>
      <c r="Y233" s="17"/>
      <c r="Z233" s="17"/>
      <c r="AA233" s="17"/>
      <c r="AB233" s="17"/>
      <c r="AC233" s="60"/>
      <c r="AD233" s="60"/>
      <c r="AE233" s="60"/>
      <c r="AF233" s="60"/>
      <c r="AG233" s="60"/>
      <c r="AH233" s="60"/>
      <c r="AI233" s="60"/>
      <c r="AJ233" s="60"/>
      <c r="AK233" s="60"/>
      <c r="AL233" s="60"/>
      <c r="AM233" s="60"/>
      <c r="AN233" s="60"/>
      <c r="AO233" s="60"/>
      <c r="AP233" s="60"/>
      <c r="AQ233" s="60"/>
      <c r="AR233" s="60"/>
      <c r="AS233" s="60"/>
      <c r="AT233" s="60"/>
      <c r="AU233" s="60"/>
      <c r="AV233" s="60"/>
      <c r="AW233" s="60"/>
      <c r="AX233" s="60"/>
      <c r="AY233" s="60"/>
      <c r="AZ233" s="60"/>
      <c r="BA233" s="60"/>
      <c r="BB233" s="60"/>
      <c r="BC233" s="60"/>
      <c r="BD233" s="60"/>
      <c r="BE233" s="60"/>
      <c r="BF233" s="60"/>
      <c r="BG233" s="60"/>
      <c r="BH233" s="60"/>
      <c r="BI233" s="60"/>
      <c r="BJ233" s="60"/>
      <c r="BK233" s="60"/>
      <c r="BL233" s="60"/>
      <c r="BM233" s="60"/>
      <c r="BN233" s="60"/>
      <c r="BO233" s="60"/>
      <c r="BP233" s="60"/>
      <c r="BQ233" s="60"/>
      <c r="BR233" s="60"/>
      <c r="BS233" s="60"/>
      <c r="BT233" s="60"/>
      <c r="BU233" s="60"/>
      <c r="BV233" s="60"/>
      <c r="BW233" s="60"/>
      <c r="BX233" s="60"/>
      <c r="BY233" s="60"/>
      <c r="BZ233" s="60"/>
      <c r="CA233" s="60"/>
      <c r="CB233" s="60"/>
      <c r="CC233" s="60"/>
      <c r="CD233" s="60"/>
      <c r="CE233" s="60"/>
      <c r="CF233" s="60"/>
      <c r="CG233" s="60"/>
      <c r="CH233" s="60"/>
      <c r="CI233" s="60"/>
      <c r="CJ233" s="60"/>
      <c r="CK233" s="60"/>
      <c r="CL233" s="60"/>
      <c r="CM233" s="60"/>
      <c r="CN233" s="60"/>
      <c r="CO233" s="60"/>
      <c r="CP233" s="60"/>
      <c r="CQ233" s="60"/>
      <c r="CR233" s="60"/>
      <c r="CS233" s="60"/>
      <c r="CT233" s="60"/>
      <c r="CU233" s="60"/>
      <c r="CV233" s="60"/>
      <c r="CW233" s="60"/>
      <c r="CX233" s="60"/>
      <c r="CY233" s="60"/>
      <c r="CZ233" s="60"/>
      <c r="DA233" s="60"/>
      <c r="DB233" s="60"/>
      <c r="DC233" s="60"/>
      <c r="DD233" s="60"/>
      <c r="DE233" s="60"/>
      <c r="DF233" s="60"/>
      <c r="DG233" s="60"/>
      <c r="DH233" s="60"/>
      <c r="DI233" s="60"/>
      <c r="DJ233" s="60"/>
      <c r="DK233" s="60"/>
      <c r="DL233" s="60"/>
      <c r="DM233" s="60"/>
      <c r="DN233" s="60"/>
      <c r="DO233" s="60"/>
      <c r="DP233" s="60"/>
      <c r="DQ233" s="60"/>
      <c r="DR233" s="60"/>
      <c r="DS233" s="60"/>
      <c r="DT233" s="60"/>
      <c r="DU233" s="60"/>
      <c r="DV233" s="60"/>
      <c r="DW233" s="60"/>
      <c r="DX233" s="60"/>
      <c r="DY233" s="60"/>
      <c r="DZ233" s="60"/>
      <c r="EA233" s="60"/>
      <c r="EB233" s="60"/>
      <c r="EC233" s="60"/>
      <c r="ED233" s="60"/>
      <c r="EE233" s="60"/>
      <c r="EF233" s="60"/>
      <c r="EG233" s="60"/>
      <c r="EH233" s="60"/>
      <c r="EI233" s="60"/>
      <c r="EJ233" s="60"/>
      <c r="EK233" s="60"/>
      <c r="EL233" s="60"/>
      <c r="EM233" s="60"/>
      <c r="EN233" s="60"/>
      <c r="EO233" s="60"/>
      <c r="EP233" s="60"/>
      <c r="EQ233" s="60"/>
      <c r="ER233" s="60"/>
      <c r="ES233" s="60"/>
      <c r="ET233" s="60"/>
      <c r="EU233" s="60"/>
      <c r="EV233" s="60"/>
      <c r="EW233" s="60"/>
      <c r="EX233" s="60"/>
      <c r="EY233" s="60"/>
      <c r="EZ233" s="60"/>
      <c r="FA233" s="60"/>
      <c r="FB233" s="60"/>
      <c r="FC233" s="60"/>
      <c r="FD233" s="60"/>
      <c r="FE233" s="60"/>
      <c r="FF233" s="60"/>
      <c r="FG233" s="60"/>
      <c r="FH233" s="60"/>
      <c r="FI233" s="60"/>
      <c r="FJ233" s="60"/>
      <c r="FK233" s="60"/>
      <c r="FL233" s="60"/>
      <c r="FM233" s="60"/>
      <c r="FN233" s="60"/>
      <c r="FO233" s="60"/>
      <c r="FP233" s="60"/>
      <c r="FQ233" s="60"/>
      <c r="FR233" s="60"/>
      <c r="FS233" s="60"/>
      <c r="FT233" s="60"/>
      <c r="FU233" s="60"/>
      <c r="FV233" s="60"/>
      <c r="FW233" s="60"/>
      <c r="FX233" s="60"/>
      <c r="FY233" s="60"/>
      <c r="FZ233" s="60"/>
      <c r="GA233" s="60"/>
      <c r="GB233" s="60"/>
      <c r="GC233" s="60"/>
      <c r="GD233" s="60"/>
      <c r="GE233" s="60"/>
      <c r="GF233" s="60"/>
      <c r="GG233" s="60"/>
      <c r="GH233" s="60"/>
      <c r="GI233" s="60"/>
      <c r="GJ233" s="60"/>
      <c r="GK233" s="60"/>
      <c r="GL233" s="60"/>
      <c r="GM233" s="60"/>
      <c r="GN233" s="60"/>
      <c r="GO233" s="60"/>
      <c r="GP233" s="60"/>
      <c r="GQ233" s="60"/>
      <c r="GR233" s="60"/>
      <c r="GS233" s="60"/>
      <c r="GT233" s="60"/>
      <c r="GU233" s="60"/>
      <c r="GV233" s="60"/>
      <c r="GW233" s="60"/>
      <c r="GX233" s="60"/>
      <c r="GY233" s="60"/>
      <c r="GZ233" s="60"/>
      <c r="HA233" s="60"/>
      <c r="HB233" s="60"/>
      <c r="HC233" s="60"/>
      <c r="HD233" s="60"/>
      <c r="HE233" s="60"/>
      <c r="HF233" s="60"/>
      <c r="HG233" s="60"/>
      <c r="HH233" s="60"/>
      <c r="HI233" s="60"/>
      <c r="HJ233" s="60"/>
      <c r="HK233" s="60"/>
      <c r="HL233" s="60"/>
      <c r="HM233" s="60"/>
      <c r="HN233" s="60"/>
      <c r="HO233" s="60"/>
      <c r="HP233" s="60"/>
      <c r="HQ233" s="60"/>
      <c r="HR233" s="60"/>
      <c r="HS233" s="60"/>
      <c r="HT233" s="60"/>
      <c r="HU233" s="60"/>
      <c r="HV233" s="60"/>
      <c r="HW233" s="60"/>
      <c r="HX233" s="60"/>
      <c r="HY233" s="60"/>
      <c r="HZ233" s="60"/>
      <c r="IA233" s="60"/>
      <c r="IB233" s="60"/>
      <c r="IC233" s="60"/>
      <c r="ID233" s="60"/>
      <c r="IE233" s="60"/>
      <c r="IF233" s="60"/>
      <c r="IG233" s="60"/>
      <c r="IH233" s="60"/>
      <c r="II233" s="60"/>
      <c r="IJ233" s="60"/>
      <c r="IK233" s="60"/>
      <c r="IL233" s="60"/>
      <c r="IM233" s="60"/>
      <c r="IN233" s="60"/>
      <c r="IO233" s="60"/>
      <c r="IP233" s="60"/>
      <c r="IQ233" s="60"/>
      <c r="IR233" s="60"/>
      <c r="IS233" s="60"/>
      <c r="IT233" s="60"/>
      <c r="IU233" s="60"/>
      <c r="IV233" s="60"/>
      <c r="IW233" s="60"/>
      <c r="IX233" s="60"/>
      <c r="IY233" s="60"/>
      <c r="IZ233" s="60"/>
      <c r="JA233" s="60"/>
      <c r="JB233" s="60"/>
      <c r="JC233" s="60"/>
      <c r="JD233" s="60"/>
      <c r="JE233" s="60"/>
      <c r="JF233" s="60"/>
      <c r="JG233" s="60"/>
      <c r="JH233" s="60"/>
      <c r="JI233" s="60"/>
      <c r="JJ233" s="60"/>
      <c r="JK233" s="60"/>
      <c r="JL233" s="60"/>
      <c r="JM233" s="60"/>
      <c r="JN233" s="60"/>
      <c r="JO233" s="60"/>
      <c r="JP233" s="60"/>
      <c r="JQ233" s="60"/>
      <c r="JR233" s="60"/>
      <c r="JS233" s="60"/>
      <c r="JT233" s="60"/>
      <c r="JU233" s="60"/>
      <c r="JV233" s="60"/>
      <c r="JW233" s="60"/>
      <c r="JX233" s="60"/>
      <c r="JY233" s="60"/>
      <c r="JZ233" s="60"/>
      <c r="KA233" s="60"/>
      <c r="KB233" s="60"/>
      <c r="KC233" s="60"/>
      <c r="KD233" s="60"/>
      <c r="KE233" s="60"/>
      <c r="KF233" s="60"/>
      <c r="KG233" s="60"/>
      <c r="KH233" s="60"/>
      <c r="KI233" s="60"/>
      <c r="KJ233" s="60"/>
      <c r="KK233" s="60"/>
      <c r="KL233" s="60"/>
      <c r="KM233" s="60"/>
      <c r="KN233" s="60"/>
      <c r="KO233" s="60"/>
      <c r="KP233" s="60"/>
      <c r="KQ233" s="60"/>
      <c r="KR233" s="60"/>
      <c r="KS233" s="60"/>
      <c r="KT233" s="60"/>
      <c r="KU233" s="60"/>
      <c r="KV233" s="60"/>
      <c r="KW233" s="60"/>
      <c r="KX233" s="60"/>
      <c r="KY233" s="60"/>
      <c r="KZ233" s="60"/>
      <c r="LA233" s="60"/>
      <c r="LB233" s="60"/>
      <c r="LC233" s="60"/>
      <c r="LD233" s="60"/>
      <c r="LE233" s="60"/>
      <c r="LF233" s="60"/>
      <c r="LG233" s="60"/>
      <c r="LH233" s="60"/>
    </row>
    <row r="234" spans="1:320" s="146" customFormat="1" x14ac:dyDescent="0.25">
      <c r="A234" s="147"/>
      <c r="B234" s="1"/>
      <c r="C234" s="1"/>
      <c r="D234" s="1"/>
      <c r="F234" s="148">
        <v>15</v>
      </c>
      <c r="G234" s="148"/>
      <c r="T234" s="17"/>
      <c r="U234" s="17"/>
      <c r="V234" s="17"/>
      <c r="W234" s="17"/>
      <c r="X234" s="17"/>
      <c r="Y234" s="17"/>
      <c r="Z234" s="17"/>
      <c r="AA234" s="17"/>
      <c r="AB234" s="17"/>
      <c r="AC234" s="60"/>
      <c r="AD234" s="60"/>
      <c r="AE234" s="60"/>
      <c r="AF234" s="60"/>
      <c r="AG234" s="60"/>
      <c r="AH234" s="60"/>
      <c r="AI234" s="60"/>
      <c r="AJ234" s="60"/>
      <c r="AK234" s="60"/>
      <c r="AL234" s="60"/>
      <c r="AM234" s="60"/>
      <c r="AN234" s="60"/>
      <c r="AO234" s="60"/>
      <c r="AP234" s="60"/>
      <c r="AQ234" s="60"/>
      <c r="AR234" s="60"/>
      <c r="AS234" s="60"/>
      <c r="AT234" s="60"/>
      <c r="AU234" s="60"/>
      <c r="AV234" s="60"/>
      <c r="AW234" s="60"/>
      <c r="AX234" s="60"/>
      <c r="AY234" s="60"/>
      <c r="AZ234" s="60"/>
      <c r="BA234" s="60"/>
      <c r="BB234" s="60"/>
      <c r="BC234" s="60"/>
      <c r="BD234" s="60"/>
      <c r="BE234" s="60"/>
      <c r="BF234" s="60"/>
      <c r="BG234" s="60"/>
      <c r="BH234" s="60"/>
      <c r="BI234" s="60"/>
      <c r="BJ234" s="60"/>
      <c r="BK234" s="60"/>
      <c r="BL234" s="60"/>
      <c r="BM234" s="60"/>
      <c r="BN234" s="60"/>
      <c r="BO234" s="60"/>
      <c r="BP234" s="60"/>
      <c r="BQ234" s="60"/>
      <c r="BR234" s="60"/>
      <c r="BS234" s="60"/>
      <c r="BT234" s="60"/>
      <c r="BU234" s="60"/>
      <c r="BV234" s="60"/>
      <c r="BW234" s="60"/>
      <c r="BX234" s="60"/>
      <c r="BY234" s="60"/>
      <c r="BZ234" s="60"/>
      <c r="CA234" s="60"/>
      <c r="CB234" s="60"/>
      <c r="CC234" s="60"/>
      <c r="CD234" s="60"/>
      <c r="CE234" s="60"/>
      <c r="CF234" s="60"/>
      <c r="CG234" s="60"/>
      <c r="CH234" s="60"/>
      <c r="CI234" s="60"/>
      <c r="CJ234" s="60"/>
      <c r="CK234" s="60"/>
      <c r="CL234" s="60"/>
      <c r="CM234" s="60"/>
      <c r="CN234" s="60"/>
      <c r="CO234" s="60"/>
      <c r="CP234" s="60"/>
      <c r="CQ234" s="60"/>
      <c r="CR234" s="60"/>
      <c r="CS234" s="60"/>
      <c r="CT234" s="60"/>
      <c r="CU234" s="60"/>
      <c r="CV234" s="60"/>
      <c r="CW234" s="60"/>
      <c r="CX234" s="60"/>
      <c r="CY234" s="60"/>
      <c r="CZ234" s="60"/>
      <c r="DA234" s="60"/>
      <c r="DB234" s="60"/>
      <c r="DC234" s="60"/>
      <c r="DD234" s="60"/>
      <c r="DE234" s="60"/>
      <c r="DF234" s="60"/>
      <c r="DG234" s="60"/>
      <c r="DH234" s="60"/>
      <c r="DI234" s="60"/>
      <c r="DJ234" s="60"/>
      <c r="DK234" s="60"/>
      <c r="DL234" s="60"/>
      <c r="DM234" s="60"/>
      <c r="DN234" s="60"/>
      <c r="DO234" s="60"/>
      <c r="DP234" s="60"/>
      <c r="DQ234" s="60"/>
      <c r="DR234" s="60"/>
      <c r="DS234" s="60"/>
      <c r="DT234" s="60"/>
      <c r="DU234" s="60"/>
      <c r="DV234" s="60"/>
      <c r="DW234" s="60"/>
      <c r="DX234" s="60"/>
      <c r="DY234" s="60"/>
      <c r="DZ234" s="60"/>
      <c r="EA234" s="60"/>
      <c r="EB234" s="60"/>
      <c r="EC234" s="60"/>
      <c r="ED234" s="60"/>
      <c r="EE234" s="60"/>
      <c r="EF234" s="60"/>
      <c r="EG234" s="60"/>
      <c r="EH234" s="60"/>
      <c r="EI234" s="60"/>
      <c r="EJ234" s="60"/>
      <c r="EK234" s="60"/>
      <c r="EL234" s="60"/>
      <c r="EM234" s="60"/>
      <c r="EN234" s="60"/>
      <c r="EO234" s="60"/>
      <c r="EP234" s="60"/>
      <c r="EQ234" s="60"/>
      <c r="ER234" s="60"/>
      <c r="ES234" s="60"/>
      <c r="ET234" s="60"/>
      <c r="EU234" s="60"/>
      <c r="EV234" s="60"/>
      <c r="EW234" s="60"/>
      <c r="EX234" s="60"/>
      <c r="EY234" s="60"/>
      <c r="EZ234" s="60"/>
      <c r="FA234" s="60"/>
      <c r="FB234" s="60"/>
      <c r="FC234" s="60"/>
      <c r="FD234" s="60"/>
      <c r="FE234" s="60"/>
      <c r="FF234" s="60"/>
      <c r="FG234" s="60"/>
      <c r="FH234" s="60"/>
      <c r="FI234" s="60"/>
      <c r="FJ234" s="60"/>
      <c r="FK234" s="60"/>
      <c r="FL234" s="60"/>
      <c r="FM234" s="60"/>
      <c r="FN234" s="60"/>
      <c r="FO234" s="60"/>
      <c r="FP234" s="60"/>
      <c r="FQ234" s="60"/>
      <c r="FR234" s="60"/>
      <c r="FS234" s="60"/>
      <c r="FT234" s="60"/>
      <c r="FU234" s="60"/>
      <c r="FV234" s="60"/>
      <c r="FW234" s="60"/>
      <c r="FX234" s="60"/>
      <c r="FY234" s="60"/>
      <c r="FZ234" s="60"/>
      <c r="GA234" s="60"/>
      <c r="GB234" s="60"/>
      <c r="GC234" s="60"/>
      <c r="GD234" s="60"/>
      <c r="GE234" s="60"/>
      <c r="GF234" s="60"/>
      <c r="GG234" s="60"/>
      <c r="GH234" s="60"/>
      <c r="GI234" s="60"/>
      <c r="GJ234" s="60"/>
      <c r="GK234" s="60"/>
      <c r="GL234" s="60"/>
      <c r="GM234" s="60"/>
      <c r="GN234" s="60"/>
      <c r="GO234" s="60"/>
      <c r="GP234" s="60"/>
      <c r="GQ234" s="60"/>
      <c r="GR234" s="60"/>
      <c r="GS234" s="60"/>
      <c r="GT234" s="60"/>
      <c r="GU234" s="60"/>
      <c r="GV234" s="60"/>
      <c r="GW234" s="60"/>
      <c r="GX234" s="60"/>
      <c r="GY234" s="60"/>
      <c r="GZ234" s="60"/>
      <c r="HA234" s="60"/>
      <c r="HB234" s="60"/>
      <c r="HC234" s="60"/>
      <c r="HD234" s="60"/>
      <c r="HE234" s="60"/>
      <c r="HF234" s="60"/>
      <c r="HG234" s="60"/>
      <c r="HH234" s="60"/>
      <c r="HI234" s="60"/>
      <c r="HJ234" s="60"/>
      <c r="HK234" s="60"/>
      <c r="HL234" s="60"/>
      <c r="HM234" s="60"/>
      <c r="HN234" s="60"/>
      <c r="HO234" s="60"/>
      <c r="HP234" s="60"/>
      <c r="HQ234" s="60"/>
      <c r="HR234" s="60"/>
      <c r="HS234" s="60"/>
      <c r="HT234" s="60"/>
      <c r="HU234" s="60"/>
      <c r="HV234" s="60"/>
      <c r="HW234" s="60"/>
      <c r="HX234" s="60"/>
      <c r="HY234" s="60"/>
      <c r="HZ234" s="60"/>
      <c r="IA234" s="60"/>
      <c r="IB234" s="60"/>
      <c r="IC234" s="60"/>
      <c r="ID234" s="60"/>
      <c r="IE234" s="60"/>
      <c r="IF234" s="60"/>
      <c r="IG234" s="60"/>
      <c r="IH234" s="60"/>
      <c r="II234" s="60"/>
      <c r="IJ234" s="60"/>
      <c r="IK234" s="60"/>
      <c r="IL234" s="60"/>
      <c r="IM234" s="60"/>
      <c r="IN234" s="60"/>
      <c r="IO234" s="60"/>
      <c r="IP234" s="60"/>
      <c r="IQ234" s="60"/>
      <c r="IR234" s="60"/>
      <c r="IS234" s="60"/>
      <c r="IT234" s="60"/>
      <c r="IU234" s="60"/>
      <c r="IV234" s="60"/>
      <c r="IW234" s="60"/>
      <c r="IX234" s="60"/>
      <c r="IY234" s="60"/>
      <c r="IZ234" s="60"/>
      <c r="JA234" s="60"/>
      <c r="JB234" s="60"/>
      <c r="JC234" s="60"/>
      <c r="JD234" s="60"/>
      <c r="JE234" s="60"/>
      <c r="JF234" s="60"/>
      <c r="JG234" s="60"/>
      <c r="JH234" s="60"/>
      <c r="JI234" s="60"/>
      <c r="JJ234" s="60"/>
      <c r="JK234" s="60"/>
      <c r="JL234" s="60"/>
      <c r="JM234" s="60"/>
      <c r="JN234" s="60"/>
      <c r="JO234" s="60"/>
      <c r="JP234" s="60"/>
      <c r="JQ234" s="60"/>
      <c r="JR234" s="60"/>
      <c r="JS234" s="60"/>
      <c r="JT234" s="60"/>
      <c r="JU234" s="60"/>
      <c r="JV234" s="60"/>
      <c r="JW234" s="60"/>
      <c r="JX234" s="60"/>
      <c r="JY234" s="60"/>
      <c r="JZ234" s="60"/>
      <c r="KA234" s="60"/>
      <c r="KB234" s="60"/>
      <c r="KC234" s="60"/>
      <c r="KD234" s="60"/>
      <c r="KE234" s="60"/>
      <c r="KF234" s="60"/>
      <c r="KG234" s="60"/>
      <c r="KH234" s="60"/>
      <c r="KI234" s="60"/>
      <c r="KJ234" s="60"/>
      <c r="KK234" s="60"/>
      <c r="KL234" s="60"/>
      <c r="KM234" s="60"/>
      <c r="KN234" s="60"/>
      <c r="KO234" s="60"/>
      <c r="KP234" s="60"/>
      <c r="KQ234" s="60"/>
      <c r="KR234" s="60"/>
      <c r="KS234" s="60"/>
      <c r="KT234" s="60"/>
      <c r="KU234" s="60"/>
      <c r="KV234" s="60"/>
      <c r="KW234" s="60"/>
      <c r="KX234" s="60"/>
      <c r="KY234" s="60"/>
      <c r="KZ234" s="60"/>
      <c r="LA234" s="60"/>
      <c r="LB234" s="60"/>
      <c r="LC234" s="60"/>
      <c r="LD234" s="60"/>
      <c r="LE234" s="60"/>
      <c r="LF234" s="60"/>
      <c r="LG234" s="60"/>
      <c r="LH234" s="60"/>
    </row>
    <row r="235" spans="1:320" s="146" customFormat="1" x14ac:dyDescent="0.25">
      <c r="A235" s="147"/>
      <c r="B235" s="1"/>
      <c r="C235" s="1"/>
      <c r="D235" s="1"/>
      <c r="F235" s="148">
        <v>16</v>
      </c>
      <c r="G235" s="148"/>
      <c r="T235" s="17"/>
      <c r="U235" s="17"/>
      <c r="V235" s="17"/>
      <c r="W235" s="17"/>
      <c r="X235" s="17"/>
      <c r="Y235" s="17"/>
      <c r="Z235" s="17"/>
      <c r="AA235" s="17"/>
      <c r="AB235" s="17"/>
      <c r="AC235" s="60"/>
      <c r="AD235" s="60"/>
      <c r="AE235" s="60"/>
      <c r="AF235" s="60"/>
      <c r="AG235" s="60"/>
      <c r="AH235" s="60"/>
      <c r="AI235" s="60"/>
      <c r="AJ235" s="60"/>
      <c r="AK235" s="60"/>
      <c r="AL235" s="60"/>
      <c r="AM235" s="60"/>
      <c r="AN235" s="60"/>
      <c r="AO235" s="60"/>
      <c r="AP235" s="60"/>
      <c r="AQ235" s="60"/>
      <c r="AR235" s="60"/>
      <c r="AS235" s="60"/>
      <c r="AT235" s="60"/>
      <c r="AU235" s="60"/>
      <c r="AV235" s="60"/>
      <c r="AW235" s="60"/>
      <c r="AX235" s="60"/>
      <c r="AY235" s="60"/>
      <c r="AZ235" s="60"/>
      <c r="BA235" s="60"/>
      <c r="BB235" s="60"/>
      <c r="BC235" s="60"/>
      <c r="BD235" s="60"/>
      <c r="BE235" s="60"/>
      <c r="BF235" s="60"/>
      <c r="BG235" s="60"/>
      <c r="BH235" s="60"/>
      <c r="BI235" s="60"/>
      <c r="BJ235" s="60"/>
      <c r="BK235" s="60"/>
      <c r="BL235" s="60"/>
      <c r="BM235" s="60"/>
      <c r="BN235" s="60"/>
      <c r="BO235" s="60"/>
      <c r="BP235" s="60"/>
      <c r="BQ235" s="60"/>
      <c r="BR235" s="60"/>
      <c r="BS235" s="60"/>
      <c r="BT235" s="60"/>
      <c r="BU235" s="60"/>
      <c r="BV235" s="60"/>
      <c r="BW235" s="60"/>
      <c r="BX235" s="60"/>
      <c r="BY235" s="60"/>
      <c r="BZ235" s="60"/>
      <c r="CA235" s="60"/>
      <c r="CB235" s="60"/>
      <c r="CC235" s="60"/>
      <c r="CD235" s="60"/>
      <c r="CE235" s="60"/>
      <c r="CF235" s="60"/>
      <c r="CG235" s="60"/>
      <c r="CH235" s="60"/>
      <c r="CI235" s="60"/>
      <c r="CJ235" s="60"/>
      <c r="CK235" s="60"/>
      <c r="CL235" s="60"/>
      <c r="CM235" s="60"/>
      <c r="CN235" s="60"/>
      <c r="CO235" s="60"/>
      <c r="CP235" s="60"/>
      <c r="CQ235" s="60"/>
      <c r="CR235" s="60"/>
      <c r="CS235" s="60"/>
      <c r="CT235" s="60"/>
      <c r="CU235" s="60"/>
      <c r="CV235" s="60"/>
      <c r="CW235" s="60"/>
      <c r="CX235" s="60"/>
      <c r="CY235" s="60"/>
      <c r="CZ235" s="60"/>
      <c r="DA235" s="60"/>
      <c r="DB235" s="60"/>
      <c r="DC235" s="60"/>
      <c r="DD235" s="60"/>
      <c r="DE235" s="60"/>
      <c r="DF235" s="60"/>
      <c r="DG235" s="60"/>
      <c r="DH235" s="60"/>
      <c r="DI235" s="60"/>
      <c r="DJ235" s="60"/>
      <c r="DK235" s="60"/>
      <c r="DL235" s="60"/>
      <c r="DM235" s="60"/>
      <c r="DN235" s="60"/>
      <c r="DO235" s="60"/>
      <c r="DP235" s="60"/>
      <c r="DQ235" s="60"/>
      <c r="DR235" s="60"/>
      <c r="DS235" s="60"/>
      <c r="DT235" s="60"/>
      <c r="DU235" s="60"/>
      <c r="DV235" s="60"/>
      <c r="DW235" s="60"/>
      <c r="DX235" s="60"/>
      <c r="DY235" s="60"/>
      <c r="DZ235" s="60"/>
      <c r="EA235" s="60"/>
      <c r="EB235" s="60"/>
      <c r="EC235" s="60"/>
      <c r="ED235" s="60"/>
      <c r="EE235" s="60"/>
      <c r="EF235" s="60"/>
      <c r="EG235" s="60"/>
      <c r="EH235" s="60"/>
      <c r="EI235" s="60"/>
      <c r="EJ235" s="60"/>
      <c r="EK235" s="60"/>
      <c r="EL235" s="60"/>
      <c r="EM235" s="60"/>
      <c r="EN235" s="60"/>
      <c r="EO235" s="60"/>
      <c r="EP235" s="60"/>
      <c r="EQ235" s="60"/>
      <c r="ER235" s="60"/>
      <c r="ES235" s="60"/>
      <c r="ET235" s="60"/>
      <c r="EU235" s="60"/>
      <c r="EV235" s="60"/>
      <c r="EW235" s="60"/>
      <c r="EX235" s="60"/>
      <c r="EY235" s="60"/>
      <c r="EZ235" s="60"/>
      <c r="FA235" s="60"/>
      <c r="FB235" s="60"/>
      <c r="FC235" s="60"/>
      <c r="FD235" s="60"/>
      <c r="FE235" s="60"/>
      <c r="FF235" s="60"/>
      <c r="FG235" s="60"/>
      <c r="FH235" s="60"/>
      <c r="FI235" s="60"/>
      <c r="FJ235" s="60"/>
      <c r="FK235" s="60"/>
      <c r="FL235" s="60"/>
      <c r="FM235" s="60"/>
      <c r="FN235" s="60"/>
      <c r="FO235" s="60"/>
      <c r="FP235" s="60"/>
      <c r="FQ235" s="60"/>
      <c r="FR235" s="60"/>
      <c r="FS235" s="60"/>
      <c r="FT235" s="60"/>
      <c r="FU235" s="60"/>
      <c r="FV235" s="60"/>
      <c r="FW235" s="60"/>
      <c r="FX235" s="60"/>
      <c r="FY235" s="60"/>
      <c r="FZ235" s="60"/>
      <c r="GA235" s="60"/>
      <c r="GB235" s="60"/>
      <c r="GC235" s="60"/>
      <c r="GD235" s="60"/>
      <c r="GE235" s="60"/>
      <c r="GF235" s="60"/>
      <c r="GG235" s="60"/>
      <c r="GH235" s="60"/>
      <c r="GI235" s="60"/>
      <c r="GJ235" s="60"/>
      <c r="GK235" s="60"/>
      <c r="GL235" s="60"/>
      <c r="GM235" s="60"/>
      <c r="GN235" s="60"/>
      <c r="GO235" s="60"/>
      <c r="GP235" s="60"/>
      <c r="GQ235" s="60"/>
      <c r="GR235" s="60"/>
      <c r="GS235" s="60"/>
      <c r="GT235" s="60"/>
      <c r="GU235" s="60"/>
      <c r="GV235" s="60"/>
      <c r="GW235" s="60"/>
      <c r="GX235" s="60"/>
      <c r="GY235" s="60"/>
      <c r="GZ235" s="60"/>
      <c r="HA235" s="60"/>
      <c r="HB235" s="60"/>
      <c r="HC235" s="60"/>
      <c r="HD235" s="60"/>
      <c r="HE235" s="60"/>
      <c r="HF235" s="60"/>
      <c r="HG235" s="60"/>
      <c r="HH235" s="60"/>
      <c r="HI235" s="60"/>
      <c r="HJ235" s="60"/>
      <c r="HK235" s="60"/>
      <c r="HL235" s="60"/>
      <c r="HM235" s="60"/>
      <c r="HN235" s="60"/>
      <c r="HO235" s="60"/>
      <c r="HP235" s="60"/>
      <c r="HQ235" s="60"/>
      <c r="HR235" s="60"/>
      <c r="HS235" s="60"/>
      <c r="HT235" s="60"/>
      <c r="HU235" s="60"/>
      <c r="HV235" s="60"/>
      <c r="HW235" s="60"/>
      <c r="HX235" s="60"/>
      <c r="HY235" s="60"/>
      <c r="HZ235" s="60"/>
      <c r="IA235" s="60"/>
      <c r="IB235" s="60"/>
      <c r="IC235" s="60"/>
      <c r="ID235" s="60"/>
      <c r="IE235" s="60"/>
      <c r="IF235" s="60"/>
      <c r="IG235" s="60"/>
      <c r="IH235" s="60"/>
      <c r="II235" s="60"/>
      <c r="IJ235" s="60"/>
      <c r="IK235" s="60"/>
      <c r="IL235" s="60"/>
      <c r="IM235" s="60"/>
      <c r="IN235" s="60"/>
      <c r="IO235" s="60"/>
      <c r="IP235" s="60"/>
      <c r="IQ235" s="60"/>
      <c r="IR235" s="60"/>
      <c r="IS235" s="60"/>
      <c r="IT235" s="60"/>
      <c r="IU235" s="60"/>
      <c r="IV235" s="60"/>
      <c r="IW235" s="60"/>
      <c r="IX235" s="60"/>
      <c r="IY235" s="60"/>
      <c r="IZ235" s="60"/>
      <c r="JA235" s="60"/>
      <c r="JB235" s="60"/>
      <c r="JC235" s="60"/>
      <c r="JD235" s="60"/>
      <c r="JE235" s="60"/>
      <c r="JF235" s="60"/>
      <c r="JG235" s="60"/>
      <c r="JH235" s="60"/>
      <c r="JI235" s="60"/>
      <c r="JJ235" s="60"/>
      <c r="JK235" s="60"/>
      <c r="JL235" s="60"/>
      <c r="JM235" s="60"/>
      <c r="JN235" s="60"/>
      <c r="JO235" s="60"/>
      <c r="JP235" s="60"/>
      <c r="JQ235" s="60"/>
      <c r="JR235" s="60"/>
      <c r="JS235" s="60"/>
      <c r="JT235" s="60"/>
      <c r="JU235" s="60"/>
      <c r="JV235" s="60"/>
      <c r="JW235" s="60"/>
      <c r="JX235" s="60"/>
      <c r="JY235" s="60"/>
      <c r="JZ235" s="60"/>
      <c r="KA235" s="60"/>
      <c r="KB235" s="60"/>
      <c r="KC235" s="60"/>
      <c r="KD235" s="60"/>
      <c r="KE235" s="60"/>
      <c r="KF235" s="60"/>
      <c r="KG235" s="60"/>
      <c r="KH235" s="60"/>
      <c r="KI235" s="60"/>
      <c r="KJ235" s="60"/>
      <c r="KK235" s="60"/>
      <c r="KL235" s="60"/>
      <c r="KM235" s="60"/>
      <c r="KN235" s="60"/>
      <c r="KO235" s="60"/>
      <c r="KP235" s="60"/>
      <c r="KQ235" s="60"/>
      <c r="KR235" s="60"/>
      <c r="KS235" s="60"/>
      <c r="KT235" s="60"/>
      <c r="KU235" s="60"/>
      <c r="KV235" s="60"/>
      <c r="KW235" s="60"/>
      <c r="KX235" s="60"/>
      <c r="KY235" s="60"/>
      <c r="KZ235" s="60"/>
      <c r="LA235" s="60"/>
      <c r="LB235" s="60"/>
      <c r="LC235" s="60"/>
      <c r="LD235" s="60"/>
      <c r="LE235" s="60"/>
      <c r="LF235" s="60"/>
      <c r="LG235" s="60"/>
      <c r="LH235" s="60"/>
    </row>
    <row r="236" spans="1:320" s="146" customFormat="1" ht="17.25" x14ac:dyDescent="0.25">
      <c r="A236" s="147"/>
      <c r="B236" s="1"/>
      <c r="C236" s="1"/>
      <c r="D236" s="1"/>
      <c r="F236" s="148">
        <v>17</v>
      </c>
      <c r="G236" s="148"/>
      <c r="I236" s="146" t="s">
        <v>28</v>
      </c>
      <c r="J236" s="146" t="s">
        <v>98</v>
      </c>
      <c r="L236" s="146" t="s">
        <v>97</v>
      </c>
      <c r="T236" s="17"/>
      <c r="U236" s="17"/>
      <c r="V236" s="17"/>
      <c r="W236" s="17"/>
      <c r="X236" s="17"/>
      <c r="Y236" s="17"/>
      <c r="Z236" s="17"/>
      <c r="AA236" s="17"/>
      <c r="AB236" s="17"/>
      <c r="AC236" s="60"/>
      <c r="AD236" s="60"/>
      <c r="AE236" s="60"/>
      <c r="AF236" s="60"/>
      <c r="AG236" s="60"/>
      <c r="AH236" s="60"/>
      <c r="AI236" s="60"/>
      <c r="AJ236" s="60"/>
      <c r="AK236" s="60"/>
      <c r="AL236" s="60"/>
      <c r="AM236" s="60"/>
      <c r="AN236" s="60"/>
      <c r="AO236" s="60"/>
      <c r="AP236" s="60"/>
      <c r="AQ236" s="60"/>
      <c r="AR236" s="60"/>
      <c r="AS236" s="60"/>
      <c r="AT236" s="60"/>
      <c r="AU236" s="60"/>
      <c r="AV236" s="60"/>
      <c r="AW236" s="60"/>
      <c r="AX236" s="60"/>
      <c r="AY236" s="60"/>
      <c r="AZ236" s="60"/>
      <c r="BA236" s="60"/>
      <c r="BB236" s="60"/>
      <c r="BC236" s="60"/>
      <c r="BD236" s="60"/>
      <c r="BE236" s="60"/>
      <c r="BF236" s="60"/>
      <c r="BG236" s="60"/>
      <c r="BH236" s="60"/>
      <c r="BI236" s="60"/>
      <c r="BJ236" s="60"/>
      <c r="BK236" s="60"/>
      <c r="BL236" s="60"/>
      <c r="BM236" s="60"/>
      <c r="BN236" s="60"/>
      <c r="BO236" s="60"/>
      <c r="BP236" s="60"/>
      <c r="BQ236" s="60"/>
      <c r="BR236" s="60"/>
      <c r="BS236" s="60"/>
      <c r="BT236" s="60"/>
      <c r="BU236" s="60"/>
      <c r="BV236" s="60"/>
      <c r="BW236" s="60"/>
      <c r="BX236" s="60"/>
      <c r="BY236" s="60"/>
      <c r="BZ236" s="60"/>
      <c r="CA236" s="60"/>
      <c r="CB236" s="60"/>
      <c r="CC236" s="60"/>
      <c r="CD236" s="60"/>
      <c r="CE236" s="60"/>
      <c r="CF236" s="60"/>
      <c r="CG236" s="60"/>
      <c r="CH236" s="60"/>
      <c r="CI236" s="60"/>
      <c r="CJ236" s="60"/>
      <c r="CK236" s="60"/>
      <c r="CL236" s="60"/>
      <c r="CM236" s="60"/>
      <c r="CN236" s="60"/>
      <c r="CO236" s="60"/>
      <c r="CP236" s="60"/>
      <c r="CQ236" s="60"/>
      <c r="CR236" s="60"/>
      <c r="CS236" s="60"/>
      <c r="CT236" s="60"/>
      <c r="CU236" s="60"/>
      <c r="CV236" s="60"/>
      <c r="CW236" s="60"/>
      <c r="CX236" s="60"/>
      <c r="CY236" s="60"/>
      <c r="CZ236" s="60"/>
      <c r="DA236" s="60"/>
      <c r="DB236" s="60"/>
      <c r="DC236" s="60"/>
      <c r="DD236" s="60"/>
      <c r="DE236" s="60"/>
      <c r="DF236" s="60"/>
      <c r="DG236" s="60"/>
      <c r="DH236" s="60"/>
      <c r="DI236" s="60"/>
      <c r="DJ236" s="60"/>
      <c r="DK236" s="60"/>
      <c r="DL236" s="60"/>
      <c r="DM236" s="60"/>
      <c r="DN236" s="60"/>
      <c r="DO236" s="60"/>
      <c r="DP236" s="60"/>
      <c r="DQ236" s="60"/>
      <c r="DR236" s="60"/>
      <c r="DS236" s="60"/>
      <c r="DT236" s="60"/>
      <c r="DU236" s="60"/>
      <c r="DV236" s="60"/>
      <c r="DW236" s="60"/>
      <c r="DX236" s="60"/>
      <c r="DY236" s="60"/>
      <c r="DZ236" s="60"/>
      <c r="EA236" s="60"/>
      <c r="EB236" s="60"/>
      <c r="EC236" s="60"/>
      <c r="ED236" s="60"/>
      <c r="EE236" s="60"/>
      <c r="EF236" s="60"/>
      <c r="EG236" s="60"/>
      <c r="EH236" s="60"/>
      <c r="EI236" s="60"/>
      <c r="EJ236" s="60"/>
      <c r="EK236" s="60"/>
      <c r="EL236" s="60"/>
      <c r="EM236" s="60"/>
      <c r="EN236" s="60"/>
      <c r="EO236" s="60"/>
      <c r="EP236" s="60"/>
      <c r="EQ236" s="60"/>
      <c r="ER236" s="60"/>
      <c r="ES236" s="60"/>
      <c r="ET236" s="60"/>
      <c r="EU236" s="60"/>
      <c r="EV236" s="60"/>
      <c r="EW236" s="60"/>
      <c r="EX236" s="60"/>
      <c r="EY236" s="60"/>
      <c r="EZ236" s="60"/>
      <c r="FA236" s="60"/>
      <c r="FB236" s="60"/>
      <c r="FC236" s="60"/>
      <c r="FD236" s="60"/>
      <c r="FE236" s="60"/>
      <c r="FF236" s="60"/>
      <c r="FG236" s="60"/>
      <c r="FH236" s="60"/>
      <c r="FI236" s="60"/>
      <c r="FJ236" s="60"/>
      <c r="FK236" s="60"/>
      <c r="FL236" s="60"/>
      <c r="FM236" s="60"/>
      <c r="FN236" s="60"/>
      <c r="FO236" s="60"/>
      <c r="FP236" s="60"/>
      <c r="FQ236" s="60"/>
      <c r="FR236" s="60"/>
      <c r="FS236" s="60"/>
      <c r="FT236" s="60"/>
      <c r="FU236" s="60"/>
      <c r="FV236" s="60"/>
      <c r="FW236" s="60"/>
      <c r="FX236" s="60"/>
      <c r="FY236" s="60"/>
      <c r="FZ236" s="60"/>
      <c r="GA236" s="60"/>
      <c r="GB236" s="60"/>
      <c r="GC236" s="60"/>
      <c r="GD236" s="60"/>
      <c r="GE236" s="60"/>
      <c r="GF236" s="60"/>
      <c r="GG236" s="60"/>
      <c r="GH236" s="60"/>
      <c r="GI236" s="60"/>
      <c r="GJ236" s="60"/>
      <c r="GK236" s="60"/>
      <c r="GL236" s="60"/>
      <c r="GM236" s="60"/>
      <c r="GN236" s="60"/>
      <c r="GO236" s="60"/>
      <c r="GP236" s="60"/>
      <c r="GQ236" s="60"/>
      <c r="GR236" s="60"/>
      <c r="GS236" s="60"/>
      <c r="GT236" s="60"/>
      <c r="GU236" s="60"/>
      <c r="GV236" s="60"/>
      <c r="GW236" s="60"/>
      <c r="GX236" s="60"/>
      <c r="GY236" s="60"/>
      <c r="GZ236" s="60"/>
      <c r="HA236" s="60"/>
      <c r="HB236" s="60"/>
      <c r="HC236" s="60"/>
      <c r="HD236" s="60"/>
      <c r="HE236" s="60"/>
      <c r="HF236" s="60"/>
      <c r="HG236" s="60"/>
      <c r="HH236" s="60"/>
      <c r="HI236" s="60"/>
      <c r="HJ236" s="60"/>
      <c r="HK236" s="60"/>
      <c r="HL236" s="60"/>
      <c r="HM236" s="60"/>
      <c r="HN236" s="60"/>
      <c r="HO236" s="60"/>
      <c r="HP236" s="60"/>
      <c r="HQ236" s="60"/>
      <c r="HR236" s="60"/>
      <c r="HS236" s="60"/>
      <c r="HT236" s="60"/>
      <c r="HU236" s="60"/>
      <c r="HV236" s="60"/>
      <c r="HW236" s="60"/>
      <c r="HX236" s="60"/>
      <c r="HY236" s="60"/>
      <c r="HZ236" s="60"/>
      <c r="IA236" s="60"/>
      <c r="IB236" s="60"/>
      <c r="IC236" s="60"/>
      <c r="ID236" s="60"/>
      <c r="IE236" s="60"/>
      <c r="IF236" s="60"/>
      <c r="IG236" s="60"/>
      <c r="IH236" s="60"/>
      <c r="II236" s="60"/>
      <c r="IJ236" s="60"/>
      <c r="IK236" s="60"/>
      <c r="IL236" s="60"/>
      <c r="IM236" s="60"/>
      <c r="IN236" s="60"/>
      <c r="IO236" s="60"/>
      <c r="IP236" s="60"/>
      <c r="IQ236" s="60"/>
      <c r="IR236" s="60"/>
      <c r="IS236" s="60"/>
      <c r="IT236" s="60"/>
      <c r="IU236" s="60"/>
      <c r="IV236" s="60"/>
      <c r="IW236" s="60"/>
      <c r="IX236" s="60"/>
      <c r="IY236" s="60"/>
      <c r="IZ236" s="60"/>
      <c r="JA236" s="60"/>
      <c r="JB236" s="60"/>
      <c r="JC236" s="60"/>
      <c r="JD236" s="60"/>
      <c r="JE236" s="60"/>
      <c r="JF236" s="60"/>
      <c r="JG236" s="60"/>
      <c r="JH236" s="60"/>
      <c r="JI236" s="60"/>
      <c r="JJ236" s="60"/>
      <c r="JK236" s="60"/>
      <c r="JL236" s="60"/>
      <c r="JM236" s="60"/>
      <c r="JN236" s="60"/>
      <c r="JO236" s="60"/>
      <c r="JP236" s="60"/>
      <c r="JQ236" s="60"/>
      <c r="JR236" s="60"/>
      <c r="JS236" s="60"/>
      <c r="JT236" s="60"/>
      <c r="JU236" s="60"/>
      <c r="JV236" s="60"/>
      <c r="JW236" s="60"/>
      <c r="JX236" s="60"/>
      <c r="JY236" s="60"/>
      <c r="JZ236" s="60"/>
      <c r="KA236" s="60"/>
      <c r="KB236" s="60"/>
      <c r="KC236" s="60"/>
      <c r="KD236" s="60"/>
      <c r="KE236" s="60"/>
      <c r="KF236" s="60"/>
      <c r="KG236" s="60"/>
      <c r="KH236" s="60"/>
      <c r="KI236" s="60"/>
      <c r="KJ236" s="60"/>
      <c r="KK236" s="60"/>
      <c r="KL236" s="60"/>
      <c r="KM236" s="60"/>
      <c r="KN236" s="60"/>
      <c r="KO236" s="60"/>
      <c r="KP236" s="60"/>
      <c r="KQ236" s="60"/>
      <c r="KR236" s="60"/>
      <c r="KS236" s="60"/>
      <c r="KT236" s="60"/>
      <c r="KU236" s="60"/>
      <c r="KV236" s="60"/>
      <c r="KW236" s="60"/>
      <c r="KX236" s="60"/>
      <c r="KY236" s="60"/>
      <c r="KZ236" s="60"/>
      <c r="LA236" s="60"/>
      <c r="LB236" s="60"/>
      <c r="LC236" s="60"/>
      <c r="LD236" s="60"/>
      <c r="LE236" s="60"/>
      <c r="LF236" s="60"/>
      <c r="LG236" s="60"/>
      <c r="LH236" s="60"/>
    </row>
    <row r="237" spans="1:320" s="146" customFormat="1" x14ac:dyDescent="0.25">
      <c r="A237" s="147"/>
      <c r="B237" s="1"/>
      <c r="C237" s="1"/>
      <c r="D237" s="1"/>
      <c r="F237" s="148">
        <v>18</v>
      </c>
      <c r="G237" s="148"/>
      <c r="I237" s="146" t="s">
        <v>96</v>
      </c>
      <c r="J237" s="146" t="s">
        <v>95</v>
      </c>
      <c r="T237" s="17"/>
      <c r="U237" s="17"/>
      <c r="V237" s="17"/>
      <c r="W237" s="17"/>
      <c r="X237" s="17"/>
      <c r="Y237" s="17"/>
      <c r="Z237" s="17"/>
      <c r="AA237" s="17"/>
      <c r="AB237" s="17"/>
      <c r="AC237" s="60"/>
      <c r="AD237" s="60"/>
      <c r="AE237" s="60"/>
      <c r="AF237" s="60"/>
      <c r="AG237" s="60"/>
      <c r="AH237" s="60"/>
      <c r="AI237" s="60"/>
      <c r="AJ237" s="60"/>
      <c r="AK237" s="60"/>
      <c r="AL237" s="60"/>
      <c r="AM237" s="60"/>
      <c r="AN237" s="60"/>
      <c r="AO237" s="60"/>
      <c r="AP237" s="60"/>
      <c r="AQ237" s="60"/>
      <c r="AR237" s="60"/>
      <c r="AS237" s="60"/>
      <c r="AT237" s="60"/>
      <c r="AU237" s="60"/>
      <c r="AV237" s="60"/>
      <c r="AW237" s="60"/>
      <c r="AX237" s="60"/>
      <c r="AY237" s="60"/>
      <c r="AZ237" s="60"/>
      <c r="BA237" s="60"/>
      <c r="BB237" s="60"/>
      <c r="BC237" s="60"/>
      <c r="BD237" s="60"/>
      <c r="BE237" s="60"/>
      <c r="BF237" s="60"/>
      <c r="BG237" s="60"/>
      <c r="BH237" s="60"/>
      <c r="BI237" s="60"/>
      <c r="BJ237" s="60"/>
      <c r="BK237" s="60"/>
      <c r="BL237" s="60"/>
      <c r="BM237" s="60"/>
      <c r="BN237" s="60"/>
      <c r="BO237" s="60"/>
      <c r="BP237" s="60"/>
      <c r="BQ237" s="60"/>
      <c r="BR237" s="60"/>
      <c r="BS237" s="60"/>
      <c r="BT237" s="60"/>
      <c r="BU237" s="60"/>
      <c r="BV237" s="60"/>
      <c r="BW237" s="60"/>
      <c r="BX237" s="60"/>
      <c r="BY237" s="60"/>
      <c r="BZ237" s="60"/>
      <c r="CA237" s="60"/>
      <c r="CB237" s="60"/>
      <c r="CC237" s="60"/>
      <c r="CD237" s="60"/>
      <c r="CE237" s="60"/>
      <c r="CF237" s="60"/>
      <c r="CG237" s="60"/>
      <c r="CH237" s="60"/>
      <c r="CI237" s="60"/>
      <c r="CJ237" s="60"/>
      <c r="CK237" s="60"/>
      <c r="CL237" s="60"/>
      <c r="CM237" s="60"/>
      <c r="CN237" s="60"/>
      <c r="CO237" s="60"/>
      <c r="CP237" s="60"/>
      <c r="CQ237" s="60"/>
      <c r="CR237" s="60"/>
      <c r="CS237" s="60"/>
      <c r="CT237" s="60"/>
      <c r="CU237" s="60"/>
      <c r="CV237" s="60"/>
      <c r="CW237" s="60"/>
      <c r="CX237" s="60"/>
      <c r="CY237" s="60"/>
      <c r="CZ237" s="60"/>
      <c r="DA237" s="60"/>
      <c r="DB237" s="60"/>
      <c r="DC237" s="60"/>
      <c r="DD237" s="60"/>
      <c r="DE237" s="60"/>
      <c r="DF237" s="60"/>
      <c r="DG237" s="60"/>
      <c r="DH237" s="60"/>
      <c r="DI237" s="60"/>
      <c r="DJ237" s="60"/>
      <c r="DK237" s="60"/>
      <c r="DL237" s="60"/>
      <c r="DM237" s="60"/>
      <c r="DN237" s="60"/>
      <c r="DO237" s="60"/>
      <c r="DP237" s="60"/>
      <c r="DQ237" s="60"/>
      <c r="DR237" s="60"/>
      <c r="DS237" s="60"/>
      <c r="DT237" s="60"/>
      <c r="DU237" s="60"/>
      <c r="DV237" s="60"/>
      <c r="DW237" s="60"/>
      <c r="DX237" s="60"/>
      <c r="DY237" s="60"/>
      <c r="DZ237" s="60"/>
      <c r="EA237" s="60"/>
      <c r="EB237" s="60"/>
      <c r="EC237" s="60"/>
      <c r="ED237" s="60"/>
      <c r="EE237" s="60"/>
      <c r="EF237" s="60"/>
      <c r="EG237" s="60"/>
      <c r="EH237" s="60"/>
      <c r="EI237" s="60"/>
      <c r="EJ237" s="60"/>
      <c r="EK237" s="60"/>
      <c r="EL237" s="60"/>
      <c r="EM237" s="60"/>
      <c r="EN237" s="60"/>
      <c r="EO237" s="60"/>
      <c r="EP237" s="60"/>
      <c r="EQ237" s="60"/>
      <c r="ER237" s="60"/>
      <c r="ES237" s="60"/>
      <c r="ET237" s="60"/>
      <c r="EU237" s="60"/>
      <c r="EV237" s="60"/>
      <c r="EW237" s="60"/>
      <c r="EX237" s="60"/>
      <c r="EY237" s="60"/>
      <c r="EZ237" s="60"/>
      <c r="FA237" s="60"/>
      <c r="FB237" s="60"/>
      <c r="FC237" s="60"/>
      <c r="FD237" s="60"/>
      <c r="FE237" s="60"/>
      <c r="FF237" s="60"/>
      <c r="FG237" s="60"/>
      <c r="FH237" s="60"/>
      <c r="FI237" s="60"/>
      <c r="FJ237" s="60"/>
      <c r="FK237" s="60"/>
      <c r="FL237" s="60"/>
      <c r="FM237" s="60"/>
      <c r="FN237" s="60"/>
      <c r="FO237" s="60"/>
      <c r="FP237" s="60"/>
      <c r="FQ237" s="60"/>
      <c r="FR237" s="60"/>
      <c r="FS237" s="60"/>
      <c r="FT237" s="60"/>
      <c r="FU237" s="60"/>
      <c r="FV237" s="60"/>
      <c r="FW237" s="60"/>
      <c r="FX237" s="60"/>
      <c r="FY237" s="60"/>
      <c r="FZ237" s="60"/>
      <c r="GA237" s="60"/>
      <c r="GB237" s="60"/>
      <c r="GC237" s="60"/>
      <c r="GD237" s="60"/>
      <c r="GE237" s="60"/>
      <c r="GF237" s="60"/>
      <c r="GG237" s="60"/>
      <c r="GH237" s="60"/>
      <c r="GI237" s="60"/>
      <c r="GJ237" s="60"/>
      <c r="GK237" s="60"/>
      <c r="GL237" s="60"/>
      <c r="GM237" s="60"/>
      <c r="GN237" s="60"/>
      <c r="GO237" s="60"/>
      <c r="GP237" s="60"/>
      <c r="GQ237" s="60"/>
      <c r="GR237" s="60"/>
      <c r="GS237" s="60"/>
      <c r="GT237" s="60"/>
      <c r="GU237" s="60"/>
      <c r="GV237" s="60"/>
      <c r="GW237" s="60"/>
      <c r="GX237" s="60"/>
      <c r="GY237" s="60"/>
      <c r="GZ237" s="60"/>
      <c r="HA237" s="60"/>
      <c r="HB237" s="60"/>
      <c r="HC237" s="60"/>
      <c r="HD237" s="60"/>
      <c r="HE237" s="60"/>
      <c r="HF237" s="60"/>
      <c r="HG237" s="60"/>
      <c r="HH237" s="60"/>
      <c r="HI237" s="60"/>
      <c r="HJ237" s="60"/>
      <c r="HK237" s="60"/>
      <c r="HL237" s="60"/>
      <c r="HM237" s="60"/>
      <c r="HN237" s="60"/>
      <c r="HO237" s="60"/>
      <c r="HP237" s="60"/>
      <c r="HQ237" s="60"/>
      <c r="HR237" s="60"/>
      <c r="HS237" s="60"/>
      <c r="HT237" s="60"/>
      <c r="HU237" s="60"/>
      <c r="HV237" s="60"/>
      <c r="HW237" s="60"/>
      <c r="HX237" s="60"/>
      <c r="HY237" s="60"/>
      <c r="HZ237" s="60"/>
      <c r="IA237" s="60"/>
      <c r="IB237" s="60"/>
      <c r="IC237" s="60"/>
      <c r="ID237" s="60"/>
      <c r="IE237" s="60"/>
      <c r="IF237" s="60"/>
      <c r="IG237" s="60"/>
      <c r="IH237" s="60"/>
      <c r="II237" s="60"/>
      <c r="IJ237" s="60"/>
      <c r="IK237" s="60"/>
      <c r="IL237" s="60"/>
      <c r="IM237" s="60"/>
      <c r="IN237" s="60"/>
      <c r="IO237" s="60"/>
      <c r="IP237" s="60"/>
      <c r="IQ237" s="60"/>
      <c r="IR237" s="60"/>
      <c r="IS237" s="60"/>
      <c r="IT237" s="60"/>
      <c r="IU237" s="60"/>
      <c r="IV237" s="60"/>
      <c r="IW237" s="60"/>
      <c r="IX237" s="60"/>
      <c r="IY237" s="60"/>
      <c r="IZ237" s="60"/>
      <c r="JA237" s="60"/>
      <c r="JB237" s="60"/>
      <c r="JC237" s="60"/>
      <c r="JD237" s="60"/>
      <c r="JE237" s="60"/>
      <c r="JF237" s="60"/>
      <c r="JG237" s="60"/>
      <c r="JH237" s="60"/>
      <c r="JI237" s="60"/>
      <c r="JJ237" s="60"/>
      <c r="JK237" s="60"/>
      <c r="JL237" s="60"/>
      <c r="JM237" s="60"/>
      <c r="JN237" s="60"/>
      <c r="JO237" s="60"/>
      <c r="JP237" s="60"/>
      <c r="JQ237" s="60"/>
      <c r="JR237" s="60"/>
      <c r="JS237" s="60"/>
      <c r="JT237" s="60"/>
      <c r="JU237" s="60"/>
      <c r="JV237" s="60"/>
      <c r="JW237" s="60"/>
      <c r="JX237" s="60"/>
      <c r="JY237" s="60"/>
      <c r="JZ237" s="60"/>
      <c r="KA237" s="60"/>
      <c r="KB237" s="60"/>
      <c r="KC237" s="60"/>
      <c r="KD237" s="60"/>
      <c r="KE237" s="60"/>
      <c r="KF237" s="60"/>
      <c r="KG237" s="60"/>
      <c r="KH237" s="60"/>
      <c r="KI237" s="60"/>
      <c r="KJ237" s="60"/>
      <c r="KK237" s="60"/>
      <c r="KL237" s="60"/>
      <c r="KM237" s="60"/>
      <c r="KN237" s="60"/>
      <c r="KO237" s="60"/>
      <c r="KP237" s="60"/>
      <c r="KQ237" s="60"/>
      <c r="KR237" s="60"/>
      <c r="KS237" s="60"/>
      <c r="KT237" s="60"/>
      <c r="KU237" s="60"/>
      <c r="KV237" s="60"/>
      <c r="KW237" s="60"/>
      <c r="KX237" s="60"/>
      <c r="KY237" s="60"/>
      <c r="KZ237" s="60"/>
      <c r="LA237" s="60"/>
      <c r="LB237" s="60"/>
      <c r="LC237" s="60"/>
      <c r="LD237" s="60"/>
      <c r="LE237" s="60"/>
      <c r="LF237" s="60"/>
      <c r="LG237" s="60"/>
      <c r="LH237" s="60"/>
    </row>
    <row r="238" spans="1:320" s="146" customFormat="1" x14ac:dyDescent="0.25">
      <c r="A238" s="147"/>
      <c r="B238" s="1"/>
      <c r="C238" s="1"/>
      <c r="D238" s="1"/>
      <c r="F238" s="148">
        <v>19</v>
      </c>
      <c r="G238" s="148"/>
      <c r="I238" s="1"/>
      <c r="T238" s="17"/>
      <c r="U238" s="17"/>
      <c r="V238" s="17"/>
      <c r="W238" s="17"/>
      <c r="X238" s="17"/>
      <c r="Y238" s="17"/>
      <c r="Z238" s="17"/>
      <c r="AA238" s="17"/>
      <c r="AB238" s="17"/>
      <c r="AC238" s="60"/>
      <c r="AD238" s="60"/>
      <c r="AE238" s="60"/>
      <c r="AF238" s="60"/>
      <c r="AG238" s="60"/>
      <c r="AH238" s="60"/>
      <c r="AI238" s="60"/>
      <c r="AJ238" s="60"/>
      <c r="AK238" s="60"/>
      <c r="AL238" s="60"/>
      <c r="AM238" s="60"/>
      <c r="AN238" s="60"/>
      <c r="AO238" s="60"/>
      <c r="AP238" s="60"/>
      <c r="AQ238" s="60"/>
      <c r="AR238" s="60"/>
      <c r="AS238" s="60"/>
      <c r="AT238" s="60"/>
      <c r="AU238" s="60"/>
      <c r="AV238" s="60"/>
      <c r="AW238" s="60"/>
      <c r="AX238" s="60"/>
      <c r="AY238" s="60"/>
      <c r="AZ238" s="60"/>
      <c r="BA238" s="60"/>
      <c r="BB238" s="60"/>
      <c r="BC238" s="60"/>
      <c r="BD238" s="60"/>
      <c r="BE238" s="60"/>
      <c r="BF238" s="60"/>
      <c r="BG238" s="60"/>
      <c r="BH238" s="60"/>
      <c r="BI238" s="60"/>
      <c r="BJ238" s="60"/>
      <c r="BK238" s="60"/>
      <c r="BL238" s="60"/>
      <c r="BM238" s="60"/>
      <c r="BN238" s="60"/>
      <c r="BO238" s="60"/>
      <c r="BP238" s="60"/>
      <c r="BQ238" s="60"/>
      <c r="BR238" s="60"/>
      <c r="BS238" s="60"/>
      <c r="BT238" s="60"/>
      <c r="BU238" s="60"/>
      <c r="BV238" s="60"/>
      <c r="BW238" s="60"/>
      <c r="BX238" s="60"/>
      <c r="BY238" s="60"/>
      <c r="BZ238" s="60"/>
      <c r="CA238" s="60"/>
      <c r="CB238" s="60"/>
      <c r="CC238" s="60"/>
      <c r="CD238" s="60"/>
      <c r="CE238" s="60"/>
      <c r="CF238" s="60"/>
      <c r="CG238" s="60"/>
      <c r="CH238" s="60"/>
      <c r="CI238" s="60"/>
      <c r="CJ238" s="60"/>
      <c r="CK238" s="60"/>
      <c r="CL238" s="60"/>
      <c r="CM238" s="60"/>
      <c r="CN238" s="60"/>
      <c r="CO238" s="60"/>
      <c r="CP238" s="60"/>
      <c r="CQ238" s="60"/>
      <c r="CR238" s="60"/>
      <c r="CS238" s="60"/>
      <c r="CT238" s="60"/>
      <c r="CU238" s="60"/>
      <c r="CV238" s="60"/>
      <c r="CW238" s="60"/>
      <c r="CX238" s="60"/>
      <c r="CY238" s="60"/>
      <c r="CZ238" s="60"/>
      <c r="DA238" s="60"/>
      <c r="DB238" s="60"/>
      <c r="DC238" s="60"/>
      <c r="DD238" s="60"/>
      <c r="DE238" s="60"/>
      <c r="DF238" s="60"/>
      <c r="DG238" s="60"/>
      <c r="DH238" s="60"/>
      <c r="DI238" s="60"/>
      <c r="DJ238" s="60"/>
      <c r="DK238" s="60"/>
      <c r="DL238" s="60"/>
      <c r="DM238" s="60"/>
      <c r="DN238" s="60"/>
      <c r="DO238" s="60"/>
      <c r="DP238" s="60"/>
      <c r="DQ238" s="60"/>
      <c r="DR238" s="60"/>
      <c r="DS238" s="60"/>
      <c r="DT238" s="60"/>
      <c r="DU238" s="60"/>
      <c r="DV238" s="60"/>
      <c r="DW238" s="60"/>
      <c r="DX238" s="60"/>
      <c r="DY238" s="60"/>
      <c r="DZ238" s="60"/>
      <c r="EA238" s="60"/>
      <c r="EB238" s="60"/>
      <c r="EC238" s="60"/>
      <c r="ED238" s="60"/>
      <c r="EE238" s="60"/>
      <c r="EF238" s="60"/>
      <c r="EG238" s="60"/>
      <c r="EH238" s="60"/>
      <c r="EI238" s="60"/>
      <c r="EJ238" s="60"/>
      <c r="EK238" s="60"/>
      <c r="EL238" s="60"/>
      <c r="EM238" s="60"/>
      <c r="EN238" s="60"/>
      <c r="EO238" s="60"/>
      <c r="EP238" s="60"/>
      <c r="EQ238" s="60"/>
      <c r="ER238" s="60"/>
      <c r="ES238" s="60"/>
      <c r="ET238" s="60"/>
      <c r="EU238" s="60"/>
      <c r="EV238" s="60"/>
      <c r="EW238" s="60"/>
      <c r="EX238" s="60"/>
      <c r="EY238" s="60"/>
      <c r="EZ238" s="60"/>
      <c r="FA238" s="60"/>
      <c r="FB238" s="60"/>
      <c r="FC238" s="60"/>
      <c r="FD238" s="60"/>
      <c r="FE238" s="60"/>
      <c r="FF238" s="60"/>
      <c r="FG238" s="60"/>
      <c r="FH238" s="60"/>
      <c r="FI238" s="60"/>
      <c r="FJ238" s="60"/>
      <c r="FK238" s="60"/>
      <c r="FL238" s="60"/>
      <c r="FM238" s="60"/>
      <c r="FN238" s="60"/>
      <c r="FO238" s="60"/>
      <c r="FP238" s="60"/>
      <c r="FQ238" s="60"/>
      <c r="FR238" s="60"/>
      <c r="FS238" s="60"/>
      <c r="FT238" s="60"/>
      <c r="FU238" s="60"/>
      <c r="FV238" s="60"/>
      <c r="FW238" s="60"/>
      <c r="FX238" s="60"/>
      <c r="FY238" s="60"/>
      <c r="FZ238" s="60"/>
      <c r="GA238" s="60"/>
      <c r="GB238" s="60"/>
      <c r="GC238" s="60"/>
      <c r="GD238" s="60"/>
      <c r="GE238" s="60"/>
      <c r="GF238" s="60"/>
      <c r="GG238" s="60"/>
      <c r="GH238" s="60"/>
      <c r="GI238" s="60"/>
      <c r="GJ238" s="60"/>
      <c r="GK238" s="60"/>
      <c r="GL238" s="60"/>
      <c r="GM238" s="60"/>
      <c r="GN238" s="60"/>
      <c r="GO238" s="60"/>
      <c r="GP238" s="60"/>
      <c r="GQ238" s="60"/>
      <c r="GR238" s="60"/>
      <c r="GS238" s="60"/>
      <c r="GT238" s="60"/>
      <c r="GU238" s="60"/>
      <c r="GV238" s="60"/>
      <c r="GW238" s="60"/>
      <c r="GX238" s="60"/>
      <c r="GY238" s="60"/>
      <c r="GZ238" s="60"/>
      <c r="HA238" s="60"/>
      <c r="HB238" s="60"/>
      <c r="HC238" s="60"/>
      <c r="HD238" s="60"/>
      <c r="HE238" s="60"/>
      <c r="HF238" s="60"/>
      <c r="HG238" s="60"/>
      <c r="HH238" s="60"/>
      <c r="HI238" s="60"/>
      <c r="HJ238" s="60"/>
      <c r="HK238" s="60"/>
      <c r="HL238" s="60"/>
      <c r="HM238" s="60"/>
      <c r="HN238" s="60"/>
      <c r="HO238" s="60"/>
      <c r="HP238" s="60"/>
      <c r="HQ238" s="60"/>
      <c r="HR238" s="60"/>
      <c r="HS238" s="60"/>
      <c r="HT238" s="60"/>
      <c r="HU238" s="60"/>
      <c r="HV238" s="60"/>
      <c r="HW238" s="60"/>
      <c r="HX238" s="60"/>
      <c r="HY238" s="60"/>
      <c r="HZ238" s="60"/>
      <c r="IA238" s="60"/>
      <c r="IB238" s="60"/>
      <c r="IC238" s="60"/>
      <c r="ID238" s="60"/>
      <c r="IE238" s="60"/>
      <c r="IF238" s="60"/>
      <c r="IG238" s="60"/>
      <c r="IH238" s="60"/>
      <c r="II238" s="60"/>
      <c r="IJ238" s="60"/>
      <c r="IK238" s="60"/>
      <c r="IL238" s="60"/>
      <c r="IM238" s="60"/>
      <c r="IN238" s="60"/>
      <c r="IO238" s="60"/>
      <c r="IP238" s="60"/>
      <c r="IQ238" s="60"/>
      <c r="IR238" s="60"/>
      <c r="IS238" s="60"/>
      <c r="IT238" s="60"/>
      <c r="IU238" s="60"/>
      <c r="IV238" s="60"/>
      <c r="IW238" s="60"/>
      <c r="IX238" s="60"/>
      <c r="IY238" s="60"/>
      <c r="IZ238" s="60"/>
      <c r="JA238" s="60"/>
      <c r="JB238" s="60"/>
      <c r="JC238" s="60"/>
      <c r="JD238" s="60"/>
      <c r="JE238" s="60"/>
      <c r="JF238" s="60"/>
      <c r="JG238" s="60"/>
      <c r="JH238" s="60"/>
      <c r="JI238" s="60"/>
      <c r="JJ238" s="60"/>
      <c r="JK238" s="60"/>
      <c r="JL238" s="60"/>
      <c r="JM238" s="60"/>
      <c r="JN238" s="60"/>
      <c r="JO238" s="60"/>
      <c r="JP238" s="60"/>
      <c r="JQ238" s="60"/>
      <c r="JR238" s="60"/>
      <c r="JS238" s="60"/>
      <c r="JT238" s="60"/>
      <c r="JU238" s="60"/>
      <c r="JV238" s="60"/>
      <c r="JW238" s="60"/>
      <c r="JX238" s="60"/>
      <c r="JY238" s="60"/>
      <c r="JZ238" s="60"/>
      <c r="KA238" s="60"/>
      <c r="KB238" s="60"/>
      <c r="KC238" s="60"/>
      <c r="KD238" s="60"/>
      <c r="KE238" s="60"/>
      <c r="KF238" s="60"/>
      <c r="KG238" s="60"/>
      <c r="KH238" s="60"/>
      <c r="KI238" s="60"/>
      <c r="KJ238" s="60"/>
      <c r="KK238" s="60"/>
      <c r="KL238" s="60"/>
      <c r="KM238" s="60"/>
      <c r="KN238" s="60"/>
      <c r="KO238" s="60"/>
      <c r="KP238" s="60"/>
      <c r="KQ238" s="60"/>
      <c r="KR238" s="60"/>
      <c r="KS238" s="60"/>
      <c r="KT238" s="60"/>
      <c r="KU238" s="60"/>
      <c r="KV238" s="60"/>
      <c r="KW238" s="60"/>
      <c r="KX238" s="60"/>
      <c r="KY238" s="60"/>
      <c r="KZ238" s="60"/>
      <c r="LA238" s="60"/>
      <c r="LB238" s="60"/>
      <c r="LC238" s="60"/>
      <c r="LD238" s="60"/>
      <c r="LE238" s="60"/>
      <c r="LF238" s="60"/>
      <c r="LG238" s="60"/>
      <c r="LH238" s="60"/>
    </row>
    <row r="239" spans="1:320" s="146" customFormat="1" x14ac:dyDescent="0.25">
      <c r="A239" s="147"/>
      <c r="B239" s="1"/>
      <c r="C239" s="1"/>
      <c r="D239" s="1"/>
      <c r="F239" s="148">
        <v>20</v>
      </c>
      <c r="G239" s="148"/>
      <c r="T239" s="17"/>
      <c r="U239" s="17"/>
      <c r="V239" s="17"/>
      <c r="W239" s="17"/>
      <c r="X239" s="17"/>
      <c r="Y239" s="17"/>
      <c r="Z239" s="17"/>
      <c r="AA239" s="17"/>
      <c r="AB239" s="17"/>
      <c r="AC239" s="60"/>
      <c r="AD239" s="60"/>
      <c r="AE239" s="60"/>
      <c r="AF239" s="60"/>
      <c r="AG239" s="60"/>
      <c r="AH239" s="60"/>
      <c r="AI239" s="60"/>
      <c r="AJ239" s="60"/>
      <c r="AK239" s="60"/>
      <c r="AL239" s="60"/>
      <c r="AM239" s="60"/>
      <c r="AN239" s="60"/>
      <c r="AO239" s="60"/>
      <c r="AP239" s="60"/>
      <c r="AQ239" s="60"/>
      <c r="AR239" s="60"/>
      <c r="AS239" s="60"/>
      <c r="AT239" s="60"/>
      <c r="AU239" s="60"/>
      <c r="AV239" s="60"/>
      <c r="AW239" s="60"/>
      <c r="AX239" s="60"/>
      <c r="AY239" s="60"/>
      <c r="AZ239" s="60"/>
      <c r="BA239" s="60"/>
      <c r="BB239" s="60"/>
      <c r="BC239" s="60"/>
      <c r="BD239" s="60"/>
      <c r="BE239" s="60"/>
      <c r="BF239" s="60"/>
      <c r="BG239" s="60"/>
      <c r="BH239" s="60"/>
      <c r="BI239" s="60"/>
      <c r="BJ239" s="60"/>
      <c r="BK239" s="60"/>
      <c r="BL239" s="60"/>
      <c r="BM239" s="60"/>
      <c r="BN239" s="60"/>
      <c r="BO239" s="60"/>
      <c r="BP239" s="60"/>
      <c r="BQ239" s="60"/>
      <c r="BR239" s="60"/>
      <c r="BS239" s="60"/>
      <c r="BT239" s="60"/>
      <c r="BU239" s="60"/>
      <c r="BV239" s="60"/>
      <c r="BW239" s="60"/>
      <c r="BX239" s="60"/>
      <c r="BY239" s="60"/>
      <c r="BZ239" s="60"/>
      <c r="CA239" s="60"/>
      <c r="CB239" s="60"/>
      <c r="CC239" s="60"/>
      <c r="CD239" s="60"/>
      <c r="CE239" s="60"/>
      <c r="CF239" s="60"/>
      <c r="CG239" s="60"/>
      <c r="CH239" s="60"/>
      <c r="CI239" s="60"/>
      <c r="CJ239" s="60"/>
      <c r="CK239" s="60"/>
      <c r="CL239" s="60"/>
      <c r="CM239" s="60"/>
      <c r="CN239" s="60"/>
      <c r="CO239" s="60"/>
      <c r="CP239" s="60"/>
      <c r="CQ239" s="60"/>
      <c r="CR239" s="60"/>
      <c r="CS239" s="60"/>
      <c r="CT239" s="60"/>
      <c r="CU239" s="60"/>
      <c r="CV239" s="60"/>
      <c r="CW239" s="60"/>
      <c r="CX239" s="60"/>
      <c r="CY239" s="60"/>
      <c r="CZ239" s="60"/>
      <c r="DA239" s="60"/>
      <c r="DB239" s="60"/>
      <c r="DC239" s="60"/>
      <c r="DD239" s="60"/>
      <c r="DE239" s="60"/>
      <c r="DF239" s="60"/>
      <c r="DG239" s="60"/>
      <c r="DH239" s="60"/>
      <c r="DI239" s="60"/>
      <c r="DJ239" s="60"/>
      <c r="DK239" s="60"/>
      <c r="DL239" s="60"/>
      <c r="DM239" s="60"/>
      <c r="DN239" s="60"/>
      <c r="DO239" s="60"/>
      <c r="DP239" s="60"/>
      <c r="DQ239" s="60"/>
      <c r="DR239" s="60"/>
      <c r="DS239" s="60"/>
      <c r="DT239" s="60"/>
      <c r="DU239" s="60"/>
      <c r="DV239" s="60"/>
      <c r="DW239" s="60"/>
      <c r="DX239" s="60"/>
      <c r="DY239" s="60"/>
      <c r="DZ239" s="60"/>
      <c r="EA239" s="60"/>
      <c r="EB239" s="60"/>
      <c r="EC239" s="60"/>
      <c r="ED239" s="60"/>
      <c r="EE239" s="60"/>
      <c r="EF239" s="60"/>
      <c r="EG239" s="60"/>
      <c r="EH239" s="60"/>
      <c r="EI239" s="60"/>
      <c r="EJ239" s="60"/>
      <c r="EK239" s="60"/>
      <c r="EL239" s="60"/>
      <c r="EM239" s="60"/>
      <c r="EN239" s="60"/>
      <c r="EO239" s="60"/>
      <c r="EP239" s="60"/>
      <c r="EQ239" s="60"/>
      <c r="ER239" s="60"/>
      <c r="ES239" s="60"/>
      <c r="ET239" s="60"/>
      <c r="EU239" s="60"/>
      <c r="EV239" s="60"/>
      <c r="EW239" s="60"/>
      <c r="EX239" s="60"/>
      <c r="EY239" s="60"/>
      <c r="EZ239" s="60"/>
      <c r="FA239" s="60"/>
      <c r="FB239" s="60"/>
      <c r="FC239" s="60"/>
      <c r="FD239" s="60"/>
      <c r="FE239" s="60"/>
      <c r="FF239" s="60"/>
      <c r="FG239" s="60"/>
      <c r="FH239" s="60"/>
      <c r="FI239" s="60"/>
      <c r="FJ239" s="60"/>
      <c r="FK239" s="60"/>
      <c r="FL239" s="60"/>
      <c r="FM239" s="60"/>
      <c r="FN239" s="60"/>
      <c r="FO239" s="60"/>
      <c r="FP239" s="60"/>
      <c r="FQ239" s="60"/>
      <c r="FR239" s="60"/>
      <c r="FS239" s="60"/>
      <c r="FT239" s="60"/>
      <c r="FU239" s="60"/>
      <c r="FV239" s="60"/>
      <c r="FW239" s="60"/>
      <c r="FX239" s="60"/>
      <c r="FY239" s="60"/>
      <c r="FZ239" s="60"/>
      <c r="GA239" s="60"/>
      <c r="GB239" s="60"/>
      <c r="GC239" s="60"/>
      <c r="GD239" s="60"/>
      <c r="GE239" s="60"/>
      <c r="GF239" s="60"/>
      <c r="GG239" s="60"/>
      <c r="GH239" s="60"/>
      <c r="GI239" s="60"/>
      <c r="GJ239" s="60"/>
      <c r="GK239" s="60"/>
      <c r="GL239" s="60"/>
      <c r="GM239" s="60"/>
      <c r="GN239" s="60"/>
      <c r="GO239" s="60"/>
      <c r="GP239" s="60"/>
      <c r="GQ239" s="60"/>
      <c r="GR239" s="60"/>
      <c r="GS239" s="60"/>
      <c r="GT239" s="60"/>
      <c r="GU239" s="60"/>
      <c r="GV239" s="60"/>
      <c r="GW239" s="60"/>
      <c r="GX239" s="60"/>
      <c r="GY239" s="60"/>
      <c r="GZ239" s="60"/>
      <c r="HA239" s="60"/>
      <c r="HB239" s="60"/>
      <c r="HC239" s="60"/>
      <c r="HD239" s="60"/>
      <c r="HE239" s="60"/>
      <c r="HF239" s="60"/>
      <c r="HG239" s="60"/>
      <c r="HH239" s="60"/>
      <c r="HI239" s="60"/>
      <c r="HJ239" s="60"/>
      <c r="HK239" s="60"/>
      <c r="HL239" s="60"/>
      <c r="HM239" s="60"/>
      <c r="HN239" s="60"/>
      <c r="HO239" s="60"/>
      <c r="HP239" s="60"/>
      <c r="HQ239" s="60"/>
      <c r="HR239" s="60"/>
      <c r="HS239" s="60"/>
      <c r="HT239" s="60"/>
      <c r="HU239" s="60"/>
      <c r="HV239" s="60"/>
      <c r="HW239" s="60"/>
      <c r="HX239" s="60"/>
      <c r="HY239" s="60"/>
      <c r="HZ239" s="60"/>
      <c r="IA239" s="60"/>
      <c r="IB239" s="60"/>
      <c r="IC239" s="60"/>
      <c r="ID239" s="60"/>
      <c r="IE239" s="60"/>
      <c r="IF239" s="60"/>
      <c r="IG239" s="60"/>
      <c r="IH239" s="60"/>
      <c r="II239" s="60"/>
      <c r="IJ239" s="60"/>
      <c r="IK239" s="60"/>
      <c r="IL239" s="60"/>
      <c r="IM239" s="60"/>
      <c r="IN239" s="60"/>
      <c r="IO239" s="60"/>
      <c r="IP239" s="60"/>
      <c r="IQ239" s="60"/>
      <c r="IR239" s="60"/>
      <c r="IS239" s="60"/>
      <c r="IT239" s="60"/>
      <c r="IU239" s="60"/>
      <c r="IV239" s="60"/>
      <c r="IW239" s="60"/>
      <c r="IX239" s="60"/>
      <c r="IY239" s="60"/>
      <c r="IZ239" s="60"/>
      <c r="JA239" s="60"/>
      <c r="JB239" s="60"/>
      <c r="JC239" s="60"/>
      <c r="JD239" s="60"/>
      <c r="JE239" s="60"/>
      <c r="JF239" s="60"/>
      <c r="JG239" s="60"/>
      <c r="JH239" s="60"/>
      <c r="JI239" s="60"/>
      <c r="JJ239" s="60"/>
      <c r="JK239" s="60"/>
      <c r="JL239" s="60"/>
      <c r="JM239" s="60"/>
      <c r="JN239" s="60"/>
      <c r="JO239" s="60"/>
      <c r="JP239" s="60"/>
      <c r="JQ239" s="60"/>
      <c r="JR239" s="60"/>
      <c r="JS239" s="60"/>
      <c r="JT239" s="60"/>
      <c r="JU239" s="60"/>
      <c r="JV239" s="60"/>
      <c r="JW239" s="60"/>
      <c r="JX239" s="60"/>
      <c r="JY239" s="60"/>
      <c r="JZ239" s="60"/>
      <c r="KA239" s="60"/>
      <c r="KB239" s="60"/>
      <c r="KC239" s="60"/>
      <c r="KD239" s="60"/>
      <c r="KE239" s="60"/>
      <c r="KF239" s="60"/>
      <c r="KG239" s="60"/>
      <c r="KH239" s="60"/>
      <c r="KI239" s="60"/>
      <c r="KJ239" s="60"/>
      <c r="KK239" s="60"/>
      <c r="KL239" s="60"/>
      <c r="KM239" s="60"/>
      <c r="KN239" s="60"/>
      <c r="KO239" s="60"/>
      <c r="KP239" s="60"/>
      <c r="KQ239" s="60"/>
      <c r="KR239" s="60"/>
      <c r="KS239" s="60"/>
      <c r="KT239" s="60"/>
      <c r="KU239" s="60"/>
      <c r="KV239" s="60"/>
      <c r="KW239" s="60"/>
      <c r="KX239" s="60"/>
      <c r="KY239" s="60"/>
      <c r="KZ239" s="60"/>
      <c r="LA239" s="60"/>
      <c r="LB239" s="60"/>
      <c r="LC239" s="60"/>
      <c r="LD239" s="60"/>
      <c r="LE239" s="60"/>
      <c r="LF239" s="60"/>
      <c r="LG239" s="60"/>
      <c r="LH239" s="60"/>
    </row>
    <row r="240" spans="1:320" s="146" customFormat="1" x14ac:dyDescent="0.25">
      <c r="A240" s="147"/>
      <c r="B240" s="1"/>
      <c r="C240" s="1"/>
      <c r="D240" s="1"/>
      <c r="F240" s="148" t="s">
        <v>94</v>
      </c>
      <c r="G240" s="148"/>
      <c r="T240" s="17"/>
      <c r="U240" s="17"/>
      <c r="V240" s="17"/>
      <c r="W240" s="17"/>
      <c r="X240" s="17"/>
      <c r="Y240" s="17"/>
      <c r="Z240" s="17"/>
      <c r="AA240" s="17"/>
      <c r="AB240" s="17"/>
      <c r="AC240" s="60"/>
      <c r="AD240" s="60"/>
      <c r="AE240" s="60"/>
      <c r="AF240" s="60"/>
      <c r="AG240" s="60"/>
      <c r="AH240" s="60"/>
      <c r="AI240" s="60"/>
      <c r="AJ240" s="60"/>
      <c r="AK240" s="60"/>
      <c r="AL240" s="60"/>
      <c r="AM240" s="60"/>
      <c r="AN240" s="60"/>
      <c r="AO240" s="60"/>
      <c r="AP240" s="60"/>
      <c r="AQ240" s="60"/>
      <c r="AR240" s="60"/>
      <c r="AS240" s="60"/>
      <c r="AT240" s="60"/>
      <c r="AU240" s="60"/>
      <c r="AV240" s="60"/>
      <c r="AW240" s="60"/>
      <c r="AX240" s="60"/>
      <c r="AY240" s="60"/>
      <c r="AZ240" s="60"/>
      <c r="BA240" s="60"/>
      <c r="BB240" s="60"/>
      <c r="BC240" s="60"/>
      <c r="BD240" s="60"/>
      <c r="BE240" s="60"/>
      <c r="BF240" s="60"/>
      <c r="BG240" s="60"/>
      <c r="BH240" s="60"/>
      <c r="BI240" s="60"/>
      <c r="BJ240" s="60"/>
      <c r="BK240" s="60"/>
      <c r="BL240" s="60"/>
      <c r="BM240" s="60"/>
      <c r="BN240" s="60"/>
      <c r="BO240" s="60"/>
      <c r="BP240" s="60"/>
      <c r="BQ240" s="60"/>
      <c r="BR240" s="60"/>
      <c r="BS240" s="60"/>
      <c r="BT240" s="60"/>
      <c r="BU240" s="60"/>
      <c r="BV240" s="60"/>
      <c r="BW240" s="60"/>
      <c r="BX240" s="60"/>
      <c r="BY240" s="60"/>
      <c r="BZ240" s="60"/>
      <c r="CA240" s="60"/>
      <c r="CB240" s="60"/>
      <c r="CC240" s="60"/>
      <c r="CD240" s="60"/>
      <c r="CE240" s="60"/>
      <c r="CF240" s="60"/>
      <c r="CG240" s="60"/>
      <c r="CH240" s="60"/>
      <c r="CI240" s="60"/>
      <c r="CJ240" s="60"/>
      <c r="CK240" s="60"/>
      <c r="CL240" s="60"/>
      <c r="CM240" s="60"/>
      <c r="CN240" s="60"/>
      <c r="CO240" s="60"/>
      <c r="CP240" s="60"/>
      <c r="CQ240" s="60"/>
      <c r="CR240" s="60"/>
      <c r="CS240" s="60"/>
      <c r="CT240" s="60"/>
      <c r="CU240" s="60"/>
      <c r="CV240" s="60"/>
      <c r="CW240" s="60"/>
      <c r="CX240" s="60"/>
      <c r="CY240" s="60"/>
      <c r="CZ240" s="60"/>
      <c r="DA240" s="60"/>
      <c r="DB240" s="60"/>
      <c r="DC240" s="60"/>
      <c r="DD240" s="60"/>
      <c r="DE240" s="60"/>
      <c r="DF240" s="60"/>
      <c r="DG240" s="60"/>
      <c r="DH240" s="60"/>
      <c r="DI240" s="60"/>
      <c r="DJ240" s="60"/>
      <c r="DK240" s="60"/>
      <c r="DL240" s="60"/>
      <c r="DM240" s="60"/>
      <c r="DN240" s="60"/>
      <c r="DO240" s="60"/>
      <c r="DP240" s="60"/>
      <c r="DQ240" s="60"/>
      <c r="DR240" s="60"/>
      <c r="DS240" s="60"/>
      <c r="DT240" s="60"/>
      <c r="DU240" s="60"/>
      <c r="DV240" s="60"/>
      <c r="DW240" s="60"/>
      <c r="DX240" s="60"/>
      <c r="DY240" s="60"/>
      <c r="DZ240" s="60"/>
      <c r="EA240" s="60"/>
      <c r="EB240" s="60"/>
      <c r="EC240" s="60"/>
      <c r="ED240" s="60"/>
      <c r="EE240" s="60"/>
      <c r="EF240" s="60"/>
      <c r="EG240" s="60"/>
      <c r="EH240" s="60"/>
      <c r="EI240" s="60"/>
      <c r="EJ240" s="60"/>
      <c r="EK240" s="60"/>
      <c r="EL240" s="60"/>
      <c r="EM240" s="60"/>
      <c r="EN240" s="60"/>
      <c r="EO240" s="60"/>
      <c r="EP240" s="60"/>
      <c r="EQ240" s="60"/>
      <c r="ER240" s="60"/>
      <c r="ES240" s="60"/>
      <c r="ET240" s="60"/>
      <c r="EU240" s="60"/>
      <c r="EV240" s="60"/>
      <c r="EW240" s="60"/>
      <c r="EX240" s="60"/>
      <c r="EY240" s="60"/>
      <c r="EZ240" s="60"/>
      <c r="FA240" s="60"/>
      <c r="FB240" s="60"/>
      <c r="FC240" s="60"/>
      <c r="FD240" s="60"/>
      <c r="FE240" s="60"/>
      <c r="FF240" s="60"/>
      <c r="FG240" s="60"/>
      <c r="FH240" s="60"/>
      <c r="FI240" s="60"/>
      <c r="FJ240" s="60"/>
      <c r="FK240" s="60"/>
      <c r="FL240" s="60"/>
      <c r="FM240" s="60"/>
      <c r="FN240" s="60"/>
      <c r="FO240" s="60"/>
      <c r="FP240" s="60"/>
      <c r="FQ240" s="60"/>
      <c r="FR240" s="60"/>
      <c r="FS240" s="60"/>
      <c r="FT240" s="60"/>
      <c r="FU240" s="60"/>
      <c r="FV240" s="60"/>
      <c r="FW240" s="60"/>
      <c r="FX240" s="60"/>
      <c r="FY240" s="60"/>
      <c r="FZ240" s="60"/>
      <c r="GA240" s="60"/>
      <c r="GB240" s="60"/>
      <c r="GC240" s="60"/>
      <c r="GD240" s="60"/>
      <c r="GE240" s="60"/>
      <c r="GF240" s="60"/>
      <c r="GG240" s="60"/>
      <c r="GH240" s="60"/>
      <c r="GI240" s="60"/>
      <c r="GJ240" s="60"/>
      <c r="GK240" s="60"/>
      <c r="GL240" s="60"/>
      <c r="GM240" s="60"/>
      <c r="GN240" s="60"/>
      <c r="GO240" s="60"/>
      <c r="GP240" s="60"/>
      <c r="GQ240" s="60"/>
      <c r="GR240" s="60"/>
      <c r="GS240" s="60"/>
      <c r="GT240" s="60"/>
      <c r="GU240" s="60"/>
      <c r="GV240" s="60"/>
      <c r="GW240" s="60"/>
      <c r="GX240" s="60"/>
      <c r="GY240" s="60"/>
      <c r="GZ240" s="60"/>
      <c r="HA240" s="60"/>
      <c r="HB240" s="60"/>
      <c r="HC240" s="60"/>
      <c r="HD240" s="60"/>
      <c r="HE240" s="60"/>
      <c r="HF240" s="60"/>
      <c r="HG240" s="60"/>
      <c r="HH240" s="60"/>
      <c r="HI240" s="60"/>
      <c r="HJ240" s="60"/>
      <c r="HK240" s="60"/>
      <c r="HL240" s="60"/>
      <c r="HM240" s="60"/>
      <c r="HN240" s="60"/>
      <c r="HO240" s="60"/>
      <c r="HP240" s="60"/>
      <c r="HQ240" s="60"/>
      <c r="HR240" s="60"/>
      <c r="HS240" s="60"/>
      <c r="HT240" s="60"/>
      <c r="HU240" s="60"/>
      <c r="HV240" s="60"/>
      <c r="HW240" s="60"/>
      <c r="HX240" s="60"/>
      <c r="HY240" s="60"/>
      <c r="HZ240" s="60"/>
      <c r="IA240" s="60"/>
      <c r="IB240" s="60"/>
      <c r="IC240" s="60"/>
      <c r="ID240" s="60"/>
      <c r="IE240" s="60"/>
      <c r="IF240" s="60"/>
      <c r="IG240" s="60"/>
      <c r="IH240" s="60"/>
      <c r="II240" s="60"/>
      <c r="IJ240" s="60"/>
      <c r="IK240" s="60"/>
      <c r="IL240" s="60"/>
      <c r="IM240" s="60"/>
      <c r="IN240" s="60"/>
      <c r="IO240" s="60"/>
      <c r="IP240" s="60"/>
      <c r="IQ240" s="60"/>
      <c r="IR240" s="60"/>
      <c r="IS240" s="60"/>
      <c r="IT240" s="60"/>
      <c r="IU240" s="60"/>
      <c r="IV240" s="60"/>
      <c r="IW240" s="60"/>
      <c r="IX240" s="60"/>
      <c r="IY240" s="60"/>
      <c r="IZ240" s="60"/>
      <c r="JA240" s="60"/>
      <c r="JB240" s="60"/>
      <c r="JC240" s="60"/>
      <c r="JD240" s="60"/>
      <c r="JE240" s="60"/>
      <c r="JF240" s="60"/>
      <c r="JG240" s="60"/>
      <c r="JH240" s="60"/>
      <c r="JI240" s="60"/>
      <c r="JJ240" s="60"/>
      <c r="JK240" s="60"/>
      <c r="JL240" s="60"/>
      <c r="JM240" s="60"/>
      <c r="JN240" s="60"/>
      <c r="JO240" s="60"/>
      <c r="JP240" s="60"/>
      <c r="JQ240" s="60"/>
      <c r="JR240" s="60"/>
      <c r="JS240" s="60"/>
      <c r="JT240" s="60"/>
      <c r="JU240" s="60"/>
      <c r="JV240" s="60"/>
      <c r="JW240" s="60"/>
      <c r="JX240" s="60"/>
      <c r="JY240" s="60"/>
      <c r="JZ240" s="60"/>
      <c r="KA240" s="60"/>
      <c r="KB240" s="60"/>
      <c r="KC240" s="60"/>
      <c r="KD240" s="60"/>
      <c r="KE240" s="60"/>
      <c r="KF240" s="60"/>
      <c r="KG240" s="60"/>
      <c r="KH240" s="60"/>
      <c r="KI240" s="60"/>
      <c r="KJ240" s="60"/>
      <c r="KK240" s="60"/>
      <c r="KL240" s="60"/>
      <c r="KM240" s="60"/>
      <c r="KN240" s="60"/>
      <c r="KO240" s="60"/>
      <c r="KP240" s="60"/>
      <c r="KQ240" s="60"/>
      <c r="KR240" s="60"/>
      <c r="KS240" s="60"/>
      <c r="KT240" s="60"/>
      <c r="KU240" s="60"/>
      <c r="KV240" s="60"/>
      <c r="KW240" s="60"/>
      <c r="KX240" s="60"/>
      <c r="KY240" s="60"/>
      <c r="KZ240" s="60"/>
      <c r="LA240" s="60"/>
      <c r="LB240" s="60"/>
      <c r="LC240" s="60"/>
      <c r="LD240" s="60"/>
      <c r="LE240" s="60"/>
      <c r="LF240" s="60"/>
      <c r="LG240" s="60"/>
      <c r="LH240" s="60"/>
    </row>
    <row r="241" spans="1:320" s="146" customFormat="1" x14ac:dyDescent="0.25">
      <c r="A241" s="147"/>
      <c r="B241" s="1"/>
      <c r="C241" s="1"/>
      <c r="D241" s="1"/>
      <c r="F241" s="148"/>
      <c r="G241" s="148"/>
      <c r="T241" s="17"/>
      <c r="U241" s="17"/>
      <c r="V241" s="17"/>
      <c r="W241" s="17"/>
      <c r="X241" s="17"/>
      <c r="Y241" s="17"/>
      <c r="Z241" s="17"/>
      <c r="AA241" s="17"/>
      <c r="AB241" s="17"/>
      <c r="AC241" s="60"/>
      <c r="AD241" s="60"/>
      <c r="AE241" s="60"/>
      <c r="AF241" s="60"/>
      <c r="AG241" s="60"/>
      <c r="AH241" s="60"/>
      <c r="AI241" s="60"/>
      <c r="AJ241" s="60"/>
      <c r="AK241" s="60"/>
      <c r="AL241" s="60"/>
      <c r="AM241" s="60"/>
      <c r="AN241" s="60"/>
      <c r="AO241" s="60"/>
      <c r="AP241" s="60"/>
      <c r="AQ241" s="60"/>
      <c r="AR241" s="60"/>
      <c r="AS241" s="60"/>
      <c r="AT241" s="60"/>
      <c r="AU241" s="60"/>
      <c r="AV241" s="60"/>
      <c r="AW241" s="60"/>
      <c r="AX241" s="60"/>
      <c r="AY241" s="60"/>
      <c r="AZ241" s="60"/>
      <c r="BA241" s="60"/>
      <c r="BB241" s="60"/>
      <c r="BC241" s="60"/>
      <c r="BD241" s="60"/>
      <c r="BE241" s="60"/>
      <c r="BF241" s="60"/>
      <c r="BG241" s="60"/>
      <c r="BH241" s="60"/>
      <c r="BI241" s="60"/>
      <c r="BJ241" s="60"/>
      <c r="BK241" s="60"/>
      <c r="BL241" s="60"/>
      <c r="BM241" s="60"/>
      <c r="BN241" s="60"/>
      <c r="BO241" s="60"/>
      <c r="BP241" s="60"/>
      <c r="BQ241" s="60"/>
      <c r="BR241" s="60"/>
      <c r="BS241" s="60"/>
      <c r="BT241" s="60"/>
      <c r="BU241" s="60"/>
      <c r="BV241" s="60"/>
      <c r="BW241" s="60"/>
      <c r="BX241" s="60"/>
      <c r="BY241" s="60"/>
      <c r="BZ241" s="60"/>
      <c r="CA241" s="60"/>
      <c r="CB241" s="60"/>
      <c r="CC241" s="60"/>
      <c r="CD241" s="60"/>
      <c r="CE241" s="60"/>
      <c r="CF241" s="60"/>
      <c r="CG241" s="60"/>
      <c r="CH241" s="60"/>
      <c r="CI241" s="60"/>
      <c r="CJ241" s="60"/>
      <c r="CK241" s="60"/>
      <c r="CL241" s="60"/>
      <c r="CM241" s="60"/>
      <c r="CN241" s="60"/>
      <c r="CO241" s="60"/>
      <c r="CP241" s="60"/>
      <c r="CQ241" s="60"/>
      <c r="CR241" s="60"/>
      <c r="CS241" s="60"/>
      <c r="CT241" s="60"/>
      <c r="CU241" s="60"/>
      <c r="CV241" s="60"/>
      <c r="CW241" s="60"/>
      <c r="CX241" s="60"/>
      <c r="CY241" s="60"/>
      <c r="CZ241" s="60"/>
      <c r="DA241" s="60"/>
      <c r="DB241" s="60"/>
      <c r="DC241" s="60"/>
      <c r="DD241" s="60"/>
      <c r="DE241" s="60"/>
      <c r="DF241" s="60"/>
      <c r="DG241" s="60"/>
      <c r="DH241" s="60"/>
      <c r="DI241" s="60"/>
      <c r="DJ241" s="60"/>
      <c r="DK241" s="60"/>
      <c r="DL241" s="60"/>
      <c r="DM241" s="60"/>
      <c r="DN241" s="60"/>
      <c r="DO241" s="60"/>
      <c r="DP241" s="60"/>
      <c r="DQ241" s="60"/>
      <c r="DR241" s="60"/>
      <c r="DS241" s="60"/>
      <c r="DT241" s="60"/>
      <c r="DU241" s="60"/>
      <c r="DV241" s="60"/>
      <c r="DW241" s="60"/>
      <c r="DX241" s="60"/>
      <c r="DY241" s="60"/>
      <c r="DZ241" s="60"/>
      <c r="EA241" s="60"/>
      <c r="EB241" s="60"/>
      <c r="EC241" s="60"/>
      <c r="ED241" s="60"/>
      <c r="EE241" s="60"/>
      <c r="EF241" s="60"/>
      <c r="EG241" s="60"/>
      <c r="EH241" s="60"/>
      <c r="EI241" s="60"/>
      <c r="EJ241" s="60"/>
      <c r="EK241" s="60"/>
      <c r="EL241" s="60"/>
      <c r="EM241" s="60"/>
      <c r="EN241" s="60"/>
      <c r="EO241" s="60"/>
      <c r="EP241" s="60"/>
      <c r="EQ241" s="60"/>
      <c r="ER241" s="60"/>
      <c r="ES241" s="60"/>
      <c r="ET241" s="60"/>
      <c r="EU241" s="60"/>
      <c r="EV241" s="60"/>
      <c r="EW241" s="60"/>
      <c r="EX241" s="60"/>
      <c r="EY241" s="60"/>
      <c r="EZ241" s="60"/>
      <c r="FA241" s="60"/>
      <c r="FB241" s="60"/>
      <c r="FC241" s="60"/>
      <c r="FD241" s="60"/>
      <c r="FE241" s="60"/>
      <c r="FF241" s="60"/>
      <c r="FG241" s="60"/>
      <c r="FH241" s="60"/>
      <c r="FI241" s="60"/>
      <c r="FJ241" s="60"/>
      <c r="FK241" s="60"/>
      <c r="FL241" s="60"/>
      <c r="FM241" s="60"/>
      <c r="FN241" s="60"/>
      <c r="FO241" s="60"/>
      <c r="FP241" s="60"/>
      <c r="FQ241" s="60"/>
      <c r="FR241" s="60"/>
      <c r="FS241" s="60"/>
      <c r="FT241" s="60"/>
      <c r="FU241" s="60"/>
      <c r="FV241" s="60"/>
      <c r="FW241" s="60"/>
      <c r="FX241" s="60"/>
      <c r="FY241" s="60"/>
      <c r="FZ241" s="60"/>
      <c r="GA241" s="60"/>
      <c r="GB241" s="60"/>
      <c r="GC241" s="60"/>
      <c r="GD241" s="60"/>
      <c r="GE241" s="60"/>
      <c r="GF241" s="60"/>
      <c r="GG241" s="60"/>
      <c r="GH241" s="60"/>
      <c r="GI241" s="60"/>
      <c r="GJ241" s="60"/>
      <c r="GK241" s="60"/>
      <c r="GL241" s="60"/>
      <c r="GM241" s="60"/>
      <c r="GN241" s="60"/>
      <c r="GO241" s="60"/>
      <c r="GP241" s="60"/>
      <c r="GQ241" s="60"/>
      <c r="GR241" s="60"/>
      <c r="GS241" s="60"/>
      <c r="GT241" s="60"/>
      <c r="GU241" s="60"/>
      <c r="GV241" s="60"/>
      <c r="GW241" s="60"/>
      <c r="GX241" s="60"/>
      <c r="GY241" s="60"/>
      <c r="GZ241" s="60"/>
      <c r="HA241" s="60"/>
      <c r="HB241" s="60"/>
      <c r="HC241" s="60"/>
      <c r="HD241" s="60"/>
      <c r="HE241" s="60"/>
      <c r="HF241" s="60"/>
      <c r="HG241" s="60"/>
      <c r="HH241" s="60"/>
      <c r="HI241" s="60"/>
      <c r="HJ241" s="60"/>
      <c r="HK241" s="60"/>
      <c r="HL241" s="60"/>
      <c r="HM241" s="60"/>
      <c r="HN241" s="60"/>
      <c r="HO241" s="60"/>
      <c r="HP241" s="60"/>
      <c r="HQ241" s="60"/>
      <c r="HR241" s="60"/>
      <c r="HS241" s="60"/>
      <c r="HT241" s="60"/>
      <c r="HU241" s="60"/>
      <c r="HV241" s="60"/>
      <c r="HW241" s="60"/>
      <c r="HX241" s="60"/>
      <c r="HY241" s="60"/>
      <c r="HZ241" s="60"/>
      <c r="IA241" s="60"/>
      <c r="IB241" s="60"/>
      <c r="IC241" s="60"/>
      <c r="ID241" s="60"/>
      <c r="IE241" s="60"/>
      <c r="IF241" s="60"/>
      <c r="IG241" s="60"/>
      <c r="IH241" s="60"/>
      <c r="II241" s="60"/>
      <c r="IJ241" s="60"/>
      <c r="IK241" s="60"/>
      <c r="IL241" s="60"/>
      <c r="IM241" s="60"/>
      <c r="IN241" s="60"/>
      <c r="IO241" s="60"/>
      <c r="IP241" s="60"/>
      <c r="IQ241" s="60"/>
      <c r="IR241" s="60"/>
      <c r="IS241" s="60"/>
      <c r="IT241" s="60"/>
      <c r="IU241" s="60"/>
      <c r="IV241" s="60"/>
      <c r="IW241" s="60"/>
      <c r="IX241" s="60"/>
      <c r="IY241" s="60"/>
      <c r="IZ241" s="60"/>
      <c r="JA241" s="60"/>
      <c r="JB241" s="60"/>
      <c r="JC241" s="60"/>
      <c r="JD241" s="60"/>
      <c r="JE241" s="60"/>
      <c r="JF241" s="60"/>
      <c r="JG241" s="60"/>
      <c r="JH241" s="60"/>
      <c r="JI241" s="60"/>
      <c r="JJ241" s="60"/>
      <c r="JK241" s="60"/>
      <c r="JL241" s="60"/>
      <c r="JM241" s="60"/>
      <c r="JN241" s="60"/>
      <c r="JO241" s="60"/>
      <c r="JP241" s="60"/>
      <c r="JQ241" s="60"/>
      <c r="JR241" s="60"/>
      <c r="JS241" s="60"/>
      <c r="JT241" s="60"/>
      <c r="JU241" s="60"/>
      <c r="JV241" s="60"/>
      <c r="JW241" s="60"/>
      <c r="JX241" s="60"/>
      <c r="JY241" s="60"/>
      <c r="JZ241" s="60"/>
      <c r="KA241" s="60"/>
      <c r="KB241" s="60"/>
      <c r="KC241" s="60"/>
      <c r="KD241" s="60"/>
      <c r="KE241" s="60"/>
      <c r="KF241" s="60"/>
      <c r="KG241" s="60"/>
      <c r="KH241" s="60"/>
      <c r="KI241" s="60"/>
      <c r="KJ241" s="60"/>
      <c r="KK241" s="60"/>
      <c r="KL241" s="60"/>
      <c r="KM241" s="60"/>
      <c r="KN241" s="60"/>
      <c r="KO241" s="60"/>
      <c r="KP241" s="60"/>
      <c r="KQ241" s="60"/>
      <c r="KR241" s="60"/>
      <c r="KS241" s="60"/>
      <c r="KT241" s="60"/>
      <c r="KU241" s="60"/>
      <c r="KV241" s="60"/>
      <c r="KW241" s="60"/>
      <c r="KX241" s="60"/>
      <c r="KY241" s="60"/>
      <c r="KZ241" s="60"/>
      <c r="LA241" s="60"/>
      <c r="LB241" s="60"/>
      <c r="LC241" s="60"/>
      <c r="LD241" s="60"/>
      <c r="LE241" s="60"/>
      <c r="LF241" s="60"/>
      <c r="LG241" s="60"/>
      <c r="LH241" s="60"/>
    </row>
  </sheetData>
  <sheetProtection algorithmName="SHA-512" hashValue="e2Tx9I0HnHqDmZWU/9SoRQSBrF0/YbleRprbl+qedupA0h+vyU6IMmiXRua9taorbxqoLalFNLtiOqXyNQDNDQ==" saltValue="SAbTZeJTuKHS5/M+btSjQA==" spinCount="100000" sheet="1" objects="1" scenarios="1" formatColumns="0" formatRows="0" selectLockedCells="1"/>
  <protectedRanges>
    <protectedRange sqref="F187:H187 AF22:LH22 F4:G4" name="Range1"/>
    <protectedRange sqref="H22 J22:AE22" name="Range1_5"/>
    <protectedRange sqref="H3 G5:G8 F5:F6 F8" name="Range1_6"/>
  </protectedRanges>
  <mergeCells count="40">
    <mergeCell ref="N2:O2"/>
    <mergeCell ref="H2:J2"/>
    <mergeCell ref="K2:L2"/>
    <mergeCell ref="I13:I18"/>
    <mergeCell ref="B14:G15"/>
    <mergeCell ref="B11:B12"/>
    <mergeCell ref="C13:G13"/>
    <mergeCell ref="F6:G6"/>
    <mergeCell ref="B7:E7"/>
    <mergeCell ref="F7:G7"/>
    <mergeCell ref="B150:L150"/>
    <mergeCell ref="B16:G16"/>
    <mergeCell ref="B17:G17"/>
    <mergeCell ref="B18:G18"/>
    <mergeCell ref="B188:E188"/>
    <mergeCell ref="F188:H188"/>
    <mergeCell ref="C22:F22"/>
    <mergeCell ref="B25:E25"/>
    <mergeCell ref="F25:G25"/>
    <mergeCell ref="B26:E26"/>
    <mergeCell ref="B152:H152"/>
    <mergeCell ref="B187:E187"/>
    <mergeCell ref="F187:H187"/>
    <mergeCell ref="B20:E20"/>
    <mergeCell ref="F20:J20"/>
    <mergeCell ref="F26:G26"/>
    <mergeCell ref="B1:G1"/>
    <mergeCell ref="B2:E2"/>
    <mergeCell ref="I5:M7"/>
    <mergeCell ref="F8:G8"/>
    <mergeCell ref="C10:E10"/>
    <mergeCell ref="F10:G10"/>
    <mergeCell ref="B3:E3"/>
    <mergeCell ref="B4:E4"/>
    <mergeCell ref="F4:G4"/>
    <mergeCell ref="B5:E5"/>
    <mergeCell ref="F5:G5"/>
    <mergeCell ref="B6:E6"/>
    <mergeCell ref="B8:E8"/>
    <mergeCell ref="F2:G2"/>
  </mergeCells>
  <conditionalFormatting sqref="B8:G8">
    <cfRule type="cellIs" dxfId="58" priority="46" operator="equal">
      <formula>"caca"</formula>
    </cfRule>
  </conditionalFormatting>
  <conditionalFormatting sqref="F7 G154">
    <cfRule type="cellIs" dxfId="57" priority="54" operator="lessThan">
      <formula>10</formula>
    </cfRule>
  </conditionalFormatting>
  <conditionalFormatting sqref="F187:G187">
    <cfRule type="cellIs" dxfId="56" priority="56" operator="greaterThan">
      <formula>1-(1/#REF!)</formula>
    </cfRule>
  </conditionalFormatting>
  <conditionalFormatting sqref="F188:G188">
    <cfRule type="cellIs" dxfId="55" priority="55" operator="notEqual">
      <formula>10/F187</formula>
    </cfRule>
  </conditionalFormatting>
  <conditionalFormatting sqref="H15">
    <cfRule type="cellIs" dxfId="54" priority="47" operator="equal">
      <formula>0</formula>
    </cfRule>
  </conditionalFormatting>
  <conditionalFormatting sqref="I10">
    <cfRule type="cellIs" dxfId="53" priority="53" operator="equal">
      <formula>0</formula>
    </cfRule>
  </conditionalFormatting>
  <conditionalFormatting sqref="I11 K11 M11 O11 Q11">
    <cfRule type="containsText" dxfId="52" priority="50" operator="containsText" text="From">
      <formula>NOT(ISERROR(SEARCH("From",I11)))</formula>
    </cfRule>
  </conditionalFormatting>
  <conditionalFormatting sqref="J10:AL18">
    <cfRule type="cellIs" dxfId="51" priority="52" operator="equal">
      <formula>0</formula>
    </cfRule>
  </conditionalFormatting>
  <conditionalFormatting sqref="K11 M11 O11 Q11">
    <cfRule type="containsText" dxfId="50" priority="51" operator="containsText" text="Throw away">
      <formula>NOT(ISERROR(SEARCH("Throw away",K11)))</formula>
    </cfRule>
  </conditionalFormatting>
  <conditionalFormatting sqref="L154">
    <cfRule type="cellIs" dxfId="49" priority="57" operator="notEqual">
      <formula>ROUNDDOWN(P5,N5)</formula>
    </cfRule>
  </conditionalFormatting>
  <conditionalFormatting sqref="M154">
    <cfRule type="cellIs" dxfId="48" priority="58" operator="notEqual">
      <formula>ROUNDDOWN(B25,P5)</formula>
    </cfRule>
  </conditionalFormatting>
  <conditionalFormatting sqref="N154">
    <cfRule type="cellIs" dxfId="47" priority="60" operator="notEqual">
      <formula>ROUNDDOWN(B25,P5)</formula>
    </cfRule>
  </conditionalFormatting>
  <conditionalFormatting sqref="O154">
    <cfRule type="cellIs" dxfId="46" priority="59" operator="notEqual">
      <formula>ROUNDDOWN(T5,B25)</formula>
    </cfRule>
  </conditionalFormatting>
  <conditionalFormatting sqref="P154">
    <cfRule type="cellIs" dxfId="45" priority="61" operator="notEqual">
      <formula>ROUNDDOWN(T5,B25)</formula>
    </cfRule>
  </conditionalFormatting>
  <conditionalFormatting sqref="R15">
    <cfRule type="containsText" dxfId="44" priority="43" operator="containsText" text="caca">
      <formula>NOT(ISERROR(SEARCH("caca",R15)))</formula>
    </cfRule>
  </conditionalFormatting>
  <conditionalFormatting sqref="R13:T14">
    <cfRule type="cellIs" dxfId="43" priority="44" operator="equal">
      <formula>0</formula>
    </cfRule>
  </conditionalFormatting>
  <conditionalFormatting sqref="S10 S15">
    <cfRule type="cellIs" dxfId="42" priority="45" operator="equal">
      <formula>0</formula>
    </cfRule>
  </conditionalFormatting>
  <conditionalFormatting sqref="S11">
    <cfRule type="containsText" dxfId="41" priority="19" operator="containsText" text="From">
      <formula>NOT(ISERROR(SEARCH("From",S11)))</formula>
    </cfRule>
    <cfRule type="containsText" dxfId="40" priority="20" operator="containsText" text="Throw away">
      <formula>NOT(ISERROR(SEARCH("Throw away",S11)))</formula>
    </cfRule>
  </conditionalFormatting>
  <conditionalFormatting sqref="T15">
    <cfRule type="containsText" dxfId="39" priority="42" operator="containsText" text="caca">
      <formula>NOT(ISERROR(SEARCH("caca",T15)))</formula>
    </cfRule>
  </conditionalFormatting>
  <conditionalFormatting sqref="U10 U13:U15">
    <cfRule type="cellIs" dxfId="38" priority="40" operator="equal">
      <formula>0</formula>
    </cfRule>
  </conditionalFormatting>
  <conditionalFormatting sqref="U11">
    <cfRule type="containsText" dxfId="37" priority="17" operator="containsText" text="From">
      <formula>NOT(ISERROR(SEARCH("From",U11)))</formula>
    </cfRule>
    <cfRule type="containsText" dxfId="36" priority="18" operator="containsText" text="Throw away">
      <formula>NOT(ISERROR(SEARCH("Throw away",U11)))</formula>
    </cfRule>
  </conditionalFormatting>
  <conditionalFormatting sqref="U22">
    <cfRule type="cellIs" dxfId="35" priority="41" operator="equal">
      <formula>0</formula>
    </cfRule>
  </conditionalFormatting>
  <conditionalFormatting sqref="V13:V14">
    <cfRule type="cellIs" dxfId="34" priority="39" operator="equal">
      <formula>0</formula>
    </cfRule>
  </conditionalFormatting>
  <conditionalFormatting sqref="W10 W13:W15">
    <cfRule type="cellIs" dxfId="33" priority="37" operator="equal">
      <formula>0</formula>
    </cfRule>
  </conditionalFormatting>
  <conditionalFormatting sqref="W11">
    <cfRule type="containsText" dxfId="32" priority="15" operator="containsText" text="From">
      <formula>NOT(ISERROR(SEARCH("From",W11)))</formula>
    </cfRule>
    <cfRule type="containsText" dxfId="31" priority="16" operator="containsText" text="Throw away">
      <formula>NOT(ISERROR(SEARCH("Throw away",W11)))</formula>
    </cfRule>
  </conditionalFormatting>
  <conditionalFormatting sqref="W22">
    <cfRule type="cellIs" dxfId="30" priority="38" operator="equal">
      <formula>0</formula>
    </cfRule>
  </conditionalFormatting>
  <conditionalFormatting sqref="X13:X14">
    <cfRule type="cellIs" dxfId="29" priority="36" operator="equal">
      <formula>0</formula>
    </cfRule>
  </conditionalFormatting>
  <conditionalFormatting sqref="X15">
    <cfRule type="containsText" dxfId="28" priority="35" operator="containsText" text="caca">
      <formula>NOT(ISERROR(SEARCH("caca",X15)))</formula>
    </cfRule>
  </conditionalFormatting>
  <conditionalFormatting sqref="Y10 Y13:Y15">
    <cfRule type="cellIs" dxfId="27" priority="33" operator="equal">
      <formula>0</formula>
    </cfRule>
  </conditionalFormatting>
  <conditionalFormatting sqref="Y11">
    <cfRule type="containsText" dxfId="26" priority="13" operator="containsText" text="From">
      <formula>NOT(ISERROR(SEARCH("From",Y11)))</formula>
    </cfRule>
    <cfRule type="containsText" dxfId="25" priority="14" operator="containsText" text="Throw away">
      <formula>NOT(ISERROR(SEARCH("Throw away",Y11)))</formula>
    </cfRule>
  </conditionalFormatting>
  <conditionalFormatting sqref="Y22">
    <cfRule type="cellIs" dxfId="24" priority="34" operator="equal">
      <formula>0</formula>
    </cfRule>
  </conditionalFormatting>
  <conditionalFormatting sqref="Z13:Z14">
    <cfRule type="cellIs" dxfId="23" priority="32" operator="equal">
      <formula>0</formula>
    </cfRule>
  </conditionalFormatting>
  <conditionalFormatting sqref="Z15">
    <cfRule type="containsText" dxfId="22" priority="31" operator="containsText" text="caca">
      <formula>NOT(ISERROR(SEARCH("caca",Z15)))</formula>
    </cfRule>
  </conditionalFormatting>
  <conditionalFormatting sqref="AA10 AA13:AA15">
    <cfRule type="cellIs" dxfId="21" priority="29" operator="equal">
      <formula>0</formula>
    </cfRule>
  </conditionalFormatting>
  <conditionalFormatting sqref="AA11">
    <cfRule type="containsText" dxfId="20" priority="11" operator="containsText" text="From">
      <formula>NOT(ISERROR(SEARCH("From",AA11)))</formula>
    </cfRule>
    <cfRule type="containsText" dxfId="19" priority="12" operator="containsText" text="Throw away">
      <formula>NOT(ISERROR(SEARCH("Throw away",AA11)))</formula>
    </cfRule>
  </conditionalFormatting>
  <conditionalFormatting sqref="AA22">
    <cfRule type="cellIs" dxfId="18" priority="30" operator="equal">
      <formula>0</formula>
    </cfRule>
  </conditionalFormatting>
  <conditionalFormatting sqref="AB13:AB14">
    <cfRule type="cellIs" dxfId="17" priority="28" operator="equal">
      <formula>0</formula>
    </cfRule>
  </conditionalFormatting>
  <conditionalFormatting sqref="AB15">
    <cfRule type="containsText" dxfId="16" priority="27" operator="containsText" text="caca">
      <formula>NOT(ISERROR(SEARCH("caca",AB15)))</formula>
    </cfRule>
  </conditionalFormatting>
  <conditionalFormatting sqref="AC10 AC13:AC15">
    <cfRule type="cellIs" dxfId="15" priority="25" operator="equal">
      <formula>0</formula>
    </cfRule>
  </conditionalFormatting>
  <conditionalFormatting sqref="AC11">
    <cfRule type="containsText" dxfId="14" priority="9" operator="containsText" text="From">
      <formula>NOT(ISERROR(SEARCH("From",AC11)))</formula>
    </cfRule>
    <cfRule type="containsText" dxfId="13" priority="10" operator="containsText" text="Throw away">
      <formula>NOT(ISERROR(SEARCH("Throw away",AC11)))</formula>
    </cfRule>
  </conditionalFormatting>
  <conditionalFormatting sqref="AC22">
    <cfRule type="cellIs" dxfId="12" priority="26" operator="equal">
      <formula>0</formula>
    </cfRule>
  </conditionalFormatting>
  <conditionalFormatting sqref="AD13:AD14">
    <cfRule type="cellIs" dxfId="11" priority="24" operator="equal">
      <formula>0</formula>
    </cfRule>
  </conditionalFormatting>
  <conditionalFormatting sqref="AD15">
    <cfRule type="containsText" dxfId="10" priority="23" operator="containsText" text="caca">
      <formula>NOT(ISERROR(SEARCH("caca",AD15)))</formula>
    </cfRule>
  </conditionalFormatting>
  <conditionalFormatting sqref="AE11">
    <cfRule type="containsText" dxfId="9" priority="8" operator="containsText" text="Throw away">
      <formula>NOT(ISERROR(SEARCH("Throw away",AE11)))</formula>
    </cfRule>
  </conditionalFormatting>
  <conditionalFormatting sqref="AE22">
    <cfRule type="cellIs" dxfId="8" priority="22" operator="equal">
      <formula>0</formula>
    </cfRule>
  </conditionalFormatting>
  <conditionalFormatting sqref="AE10:AF10 AE13:AE15">
    <cfRule type="cellIs" dxfId="7" priority="21" operator="equal">
      <formula>0</formula>
    </cfRule>
  </conditionalFormatting>
  <conditionalFormatting sqref="AE11:AF11">
    <cfRule type="containsText" dxfId="6" priority="7" operator="containsText" text="From">
      <formula>NOT(ISERROR(SEARCH("From",AE11)))</formula>
    </cfRule>
  </conditionalFormatting>
  <conditionalFormatting sqref="AF11">
    <cfRule type="containsText" dxfId="5" priority="48" operator="containsText" text="Throw away">
      <formula>NOT(ISERROR(SEARCH("Throw away",AF11)))</formula>
    </cfRule>
  </conditionalFormatting>
  <conditionalFormatting sqref="AF13">
    <cfRule type="cellIs" dxfId="4" priority="49" operator="equal">
      <formula>0</formula>
    </cfRule>
  </conditionalFormatting>
  <conditionalFormatting sqref="I5">
    <cfRule type="cellIs" dxfId="3" priority="5" operator="notEqual">
      <formula>"Bla"</formula>
    </cfRule>
  </conditionalFormatting>
  <conditionalFormatting sqref="I13">
    <cfRule type="expression" dxfId="2" priority="4">
      <formula>H13</formula>
    </cfRule>
  </conditionalFormatting>
  <conditionalFormatting sqref="H12 I11">
    <cfRule type="cellIs" dxfId="1" priority="3" operator="equal">
      <formula>0</formula>
    </cfRule>
  </conditionalFormatting>
  <conditionalFormatting sqref="K2 P2:Q2 M2:N2">
    <cfRule type="cellIs" dxfId="0" priority="1" operator="equal">
      <formula>1</formula>
    </cfRule>
  </conditionalFormatting>
  <dataValidations disablePrompts="1" count="1">
    <dataValidation type="list" allowBlank="1" showInputMessage="1" showErrorMessage="1" sqref="F25" xr:uid="{8921B577-1608-44B3-A58F-80FAAE6FA962}">
      <formula1>$T$5:$U$5</formula1>
    </dataValidation>
  </dataValidations>
  <hyperlinks>
    <hyperlink ref="F20" r:id="rId1" xr:uid="{54287CA8-6C88-42E6-A4DB-D43DADB23A92}"/>
  </hyperlinks>
  <pageMargins left="0.7" right="0.7" top="0.75" bottom="0.75" header="0.3" footer="0.3"/>
  <pageSetup orientation="portrait" horizontalDpi="4294967292" verticalDpi="4294967292"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Create</vt:lpstr>
      <vt:lpstr>Transfert to Runner</vt:lpstr>
      <vt:lpstr>Print</vt:lpstr>
      <vt:lpstr>Capture dilutions</vt:lpstr>
      <vt:lpstr>Detect Dilutions</vt:lpstr>
      <vt:lpstr>Standard Dilutions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 Viver</dc:creator>
  <cp:lastModifiedBy>Benjamin Djian</cp:lastModifiedBy>
  <cp:lastPrinted>2024-03-13T14:37:15Z</cp:lastPrinted>
  <dcterms:created xsi:type="dcterms:W3CDTF">2019-06-13T15:03:26Z</dcterms:created>
  <dcterms:modified xsi:type="dcterms:W3CDTF">2025-07-27T08:28:52Z</dcterms:modified>
</cp:coreProperties>
</file>